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wnloads\"/>
    </mc:Choice>
  </mc:AlternateContent>
  <bookViews>
    <workbookView xWindow="0" yWindow="0" windowWidth="25128" windowHeight="13716"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Schedule!$M$3:$AB$142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E15" i="2"/>
  <c r="AD16" i="2"/>
  <c r="AD20" i="2"/>
  <c r="AD21" i="2"/>
  <c r="AD22" i="2"/>
  <c r="AD23" i="2"/>
  <c r="AD24" i="2"/>
  <c r="AE25" i="2"/>
  <c r="AE26" i="2"/>
  <c r="AD27" i="2"/>
  <c r="AD28" i="2"/>
  <c r="AE29" i="2"/>
  <c r="AE30" i="2"/>
  <c r="AE31" i="2"/>
  <c r="AD32" i="2"/>
  <c r="AD33" i="2"/>
  <c r="AE34" i="2"/>
  <c r="AE35" i="2"/>
  <c r="AE36" i="2"/>
  <c r="AD37" i="2"/>
  <c r="AD38" i="2"/>
  <c r="AE39" i="2"/>
  <c r="AE40" i="2"/>
  <c r="AE41" i="2"/>
  <c r="AD42" i="2"/>
  <c r="AD43" i="2"/>
  <c r="AE44" i="2"/>
  <c r="AE45" i="2"/>
  <c r="AD50" i="2"/>
  <c r="AD51" i="2"/>
  <c r="AD52" i="2"/>
  <c r="AD53" i="2"/>
  <c r="AC86" i="2"/>
  <c r="AJ86" i="2"/>
  <c r="AC87" i="2"/>
  <c r="AJ87" i="2"/>
  <c r="AC90" i="2"/>
  <c r="AJ90" i="2"/>
  <c r="AC91" i="2"/>
  <c r="AJ91" i="2"/>
  <c r="AC92" i="2"/>
  <c r="AJ92" i="2"/>
  <c r="D15" i="4"/>
  <c r="E7" i="4"/>
  <c r="E8" i="4" s="1"/>
  <c r="H58" i="8"/>
  <c r="F8" i="4" l="1"/>
  <c r="E9" i="4"/>
  <c r="F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1" i="2"/>
  <c r="AB2" i="2"/>
  <c r="F10" i="4" l="1"/>
  <c r="E11" i="4"/>
  <c r="E12" i="4" l="1"/>
  <c r="F11" i="4"/>
  <c r="F12" i="4" l="1"/>
  <c r="E13" i="4"/>
  <c r="F13" i="4" l="1"/>
  <c r="E14" i="4"/>
  <c r="F14" i="4" s="1"/>
</calcChain>
</file>

<file path=xl/sharedStrings.xml><?xml version="1.0" encoding="utf-8"?>
<sst xmlns="http://schemas.openxmlformats.org/spreadsheetml/2006/main" count="1529" uniqueCount="1230">
  <si>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</si>
  <si>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</si>
  <si>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</si>
  <si>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</si>
  <si>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</si>
  <si>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</si>
  <si>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</si>
  <si>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</si>
  <si>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</si>
  <si>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</si>
  <si>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</si>
  <si>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</si>
  <si>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</si>
  <si>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</si>
  <si>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</si>
  <si>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</si>
  <si>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</si>
  <si>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</si>
  <si>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</si>
  <si>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</si>
  <si>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</si>
  <si>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</si>
  <si>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</si>
  <si>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</si>
  <si>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</si>
  <si>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</si>
  <si>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</si>
  <si>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</si>
  <si>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</si>
  <si>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</si>
  <si>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</si>
  <si>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</si>
  <si>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</si>
  <si>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</si>
  <si>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</si>
  <si>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</si>
  <si>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</si>
  <si>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</si>
  <si>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</si>
  <si>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</si>
  <si>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</si>
  <si>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</si>
  <si>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</si>
  <si>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</si>
  <si>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</si>
  <si>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</si>
  <si>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</si>
  <si>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</si>
  <si>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</si>
  <si>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</si>
  <si>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</si>
  <si>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</si>
  <si>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</si>
  <si>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</si>
  <si>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</si>
  <si>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</si>
  <si>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</si>
  <si>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</si>
  <si>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</si>
  <si>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</si>
  <si>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</si>
  <si>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</si>
  <si>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</si>
  <si>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</si>
  <si>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</si>
  <si>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</si>
  <si>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</si>
  <si>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</si>
  <si>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</si>
  <si>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</si>
  <si>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</si>
  <si>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</si>
  <si>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</si>
  <si>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</si>
  <si>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</si>
  <si>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</si>
  <si>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</si>
  <si>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</si>
  <si>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</si>
  <si>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</si>
  <si>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</si>
  <si>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</si>
  <si>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</si>
  <si>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</si>
  <si>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</si>
  <si>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</si>
  <si>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</si>
  <si>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</si>
  <si>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</si>
  <si>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</si>
  <si>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</si>
  <si>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</si>
  <si>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</si>
  <si>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</si>
  <si>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</si>
  <si>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</si>
  <si>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</si>
  <si>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</si>
  <si>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</si>
  <si>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</si>
  <si>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</si>
  <si>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</si>
  <si>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</si>
  <si>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</si>
  <si>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</si>
  <si>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</si>
  <si>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</si>
  <si>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</si>
  <si>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</si>
  <si>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</si>
  <si>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</si>
  <si>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</si>
  <si>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</si>
  <si>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</si>
  <si>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</si>
  <si>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</si>
  <si>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</si>
  <si>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</si>
  <si>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</si>
  <si>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</si>
  <si>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</si>
  <si>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</si>
  <si>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</si>
  <si>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</si>
  <si>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</si>
  <si>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</si>
  <si>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</si>
  <si>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</si>
  <si>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</si>
  <si>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</si>
  <si>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</si>
  <si>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</si>
  <si>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</si>
  <si>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</si>
  <si>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</si>
  <si>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</si>
  <si>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</si>
  <si>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</si>
  <si>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</si>
  <si>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</si>
  <si>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</si>
  <si>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</si>
  <si>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</si>
  <si>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</si>
  <si>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</si>
  <si>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</si>
  <si>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</si>
  <si>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</si>
  <si>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</si>
  <si>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</si>
  <si>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</si>
  <si>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</si>
  <si>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</si>
  <si>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</si>
  <si>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</si>
  <si>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</si>
  <si>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</si>
  <si>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</si>
  <si>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</si>
  <si>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</si>
  <si>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</si>
  <si>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</si>
  <si>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</si>
  <si>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</si>
  <si>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</si>
  <si>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</si>
  <si>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</si>
  <si>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</si>
  <si>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</si>
  <si>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</si>
  <si>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</si>
  <si>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</si>
  <si>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</si>
  <si>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</si>
  <si>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</si>
  <si>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</si>
  <si>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</si>
  <si>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</si>
  <si>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</si>
  <si>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</si>
  <si>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</si>
  <si>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</si>
  <si>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</si>
  <si>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</si>
  <si>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</si>
  <si>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</si>
  <si>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</si>
  <si>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</si>
  <si>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</si>
  <si>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</si>
  <si>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</si>
  <si>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</si>
  <si>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</si>
  <si>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</si>
  <si>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</si>
  <si>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</si>
  <si>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</si>
  <si>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</si>
  <si>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</si>
  <si>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</si>
  <si>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</si>
  <si>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</si>
  <si>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</si>
  <si>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</si>
  <si>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</si>
  <si>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</si>
  <si>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</si>
  <si>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</si>
  <si>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</si>
  <si>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</si>
  <si>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</si>
  <si>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</si>
  <si>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</si>
  <si>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</si>
  <si>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</si>
  <si>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</si>
  <si>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</si>
  <si>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</si>
  <si>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</si>
  <si>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</si>
  <si>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</si>
  <si>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</si>
  <si>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</si>
  <si>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</si>
  <si>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</si>
  <si>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</si>
  <si>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</si>
  <si>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</si>
  <si>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</si>
  <si>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</si>
  <si>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</si>
  <si>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</si>
  <si>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</si>
  <si>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</si>
  <si>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</si>
  <si>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</si>
  <si>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</si>
  <si>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</si>
  <si>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</si>
  <si>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</si>
  <si>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</si>
  <si>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</si>
  <si>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</si>
  <si>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</si>
  <si>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</si>
  <si>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</si>
  <si>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</si>
  <si>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</si>
  <si>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</si>
  <si>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</si>
  <si>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</si>
  <si>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</si>
  <si>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</si>
  <si>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</si>
  <si>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</si>
  <si>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</si>
  <si>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</si>
  <si>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</si>
  <si>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</si>
  <si>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</si>
  <si>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</si>
  <si>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</si>
  <si>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</si>
  <si>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</si>
  <si>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</si>
  <si>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</si>
  <si>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</si>
  <si>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</si>
  <si>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</si>
  <si>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</si>
  <si>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</si>
  <si>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</si>
  <si>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</si>
  <si>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</si>
  <si>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</si>
  <si>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</si>
  <si>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</si>
  <si>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</si>
  <si>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</si>
  <si>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</si>
  <si>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</si>
  <si>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</si>
  <si>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</si>
  <si>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</si>
  <si>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</si>
  <si>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</si>
  <si>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</si>
  <si>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</si>
  <si>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</si>
  <si>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</si>
  <si>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</si>
  <si>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</si>
  <si>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</si>
  <si>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</si>
  <si>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</si>
  <si>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</si>
  <si>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</si>
  <si>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</si>
  <si>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</si>
  <si>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</si>
  <si>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</si>
  <si>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</si>
  <si>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</si>
  <si>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</si>
  <si>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</si>
  <si>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</si>
  <si>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</si>
  <si>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</si>
  <si>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</si>
  <si>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</si>
  <si>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</si>
  <si>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</si>
  <si>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</si>
  <si>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</si>
  <si>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</si>
  <si>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</si>
  <si>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</si>
  <si>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</si>
  <si>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</si>
  <si>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</si>
  <si>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</si>
  <si>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</si>
  <si>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</si>
  <si>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</si>
  <si>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</si>
  <si>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</si>
  <si>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</si>
  <si>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</si>
  <si>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</si>
  <si>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</si>
  <si>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</si>
  <si>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</si>
  <si>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</si>
  <si>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</si>
  <si>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</si>
  <si>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</si>
  <si>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</si>
  <si>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</si>
  <si>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</si>
  <si>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</si>
  <si>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</si>
  <si>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</si>
  <si>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</si>
  <si>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</si>
  <si>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</si>
  <si>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</si>
  <si>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</si>
  <si>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</si>
  <si>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</si>
  <si>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</si>
  <si>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</si>
  <si>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</si>
  <si>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</si>
  <si>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</si>
  <si>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</si>
  <si>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</si>
  <si>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</si>
  <si>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</si>
  <si>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</si>
  <si>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</si>
  <si>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</si>
  <si>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</si>
  <si>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</si>
  <si>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</si>
  <si>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</si>
  <si>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</si>
  <si>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</si>
  <si>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</si>
  <si>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</si>
  <si>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</si>
  <si>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</si>
  <si>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</si>
  <si>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</si>
  <si>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</si>
  <si>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</si>
  <si>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</si>
  <si>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</si>
  <si>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</si>
  <si>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</si>
  <si>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</si>
  <si>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</si>
  <si>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</si>
  <si>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</si>
  <si>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</si>
  <si>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</si>
  <si>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</si>
  <si>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</si>
  <si>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</si>
  <si>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</si>
  <si>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</si>
  <si>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</si>
  <si>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</si>
  <si>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</si>
  <si>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</si>
  <si>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</si>
  <si>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</si>
  <si>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</si>
  <si>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</si>
  <si>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</si>
  <si>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</si>
  <si>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</si>
  <si>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</si>
  <si>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</si>
  <si>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</si>
  <si>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</si>
  <si>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</si>
  <si>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</si>
  <si>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</si>
  <si>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</si>
  <si>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</si>
  <si>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</si>
  <si>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</si>
  <si>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</si>
  <si>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</si>
  <si>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</si>
  <si>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</si>
  <si>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</si>
  <si>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</si>
  <si>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</si>
  <si>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</si>
  <si>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</si>
  <si>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</si>
  <si>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</si>
  <si>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</si>
  <si>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</si>
  <si>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</si>
  <si>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</si>
  <si>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</si>
  <si>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</si>
  <si>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</si>
  <si>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</si>
  <si>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</si>
  <si>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</si>
  <si>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</si>
  <si>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</si>
  <si>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</si>
  <si>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</si>
  <si>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</si>
  <si>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</si>
  <si>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</si>
  <si>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</si>
  <si>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</si>
  <si>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</si>
  <si>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</si>
  <si>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</si>
  <si>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</si>
  <si>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</si>
  <si>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</si>
  <si>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</si>
  <si>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</si>
  <si>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</si>
  <si>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</si>
  <si>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</si>
  <si>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</si>
  <si>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</si>
  <si>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</si>
  <si>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</si>
  <si>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</si>
  <si>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</si>
  <si>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</si>
  <si>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</si>
  <si>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</si>
  <si>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</si>
  <si>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</si>
  <si>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</si>
  <si>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</si>
  <si>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</si>
  <si>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</si>
  <si>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</si>
  <si>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</si>
  <si>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</si>
  <si>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</si>
  <si>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</si>
  <si>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</si>
  <si>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</si>
  <si>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</si>
  <si>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</si>
  <si>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</si>
  <si>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</si>
  <si>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</si>
  <si>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</si>
  <si>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</si>
  <si>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</si>
  <si>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</si>
  <si>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</si>
  <si>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</si>
  <si>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</si>
  <si>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</si>
  <si>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</si>
  <si>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</si>
  <si>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</si>
  <si>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</si>
  <si>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</si>
  <si>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</si>
  <si>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</si>
  <si>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</si>
  <si>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</si>
  <si>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</si>
  <si>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</si>
  <si>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</si>
  <si>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</si>
  <si>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</si>
  <si>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</si>
  <si>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</si>
  <si>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</si>
  <si>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</si>
  <si>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</si>
  <si>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</si>
  <si>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</si>
  <si>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</si>
  <si>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</si>
  <si>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</si>
  <si>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</si>
  <si>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</si>
  <si>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</si>
  <si>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</si>
  <si>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</si>
  <si>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</si>
  <si>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</si>
  <si>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</si>
  <si>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</si>
  <si>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</si>
  <si>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</si>
  <si>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</si>
  <si>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</si>
  <si>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</si>
  <si>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</si>
  <si>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</si>
  <si>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</si>
  <si>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</si>
  <si>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</si>
  <si>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</si>
  <si>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</si>
  <si>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</si>
  <si>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</si>
  <si>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</si>
  <si>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</si>
  <si>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</si>
  <si>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</si>
  <si>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</si>
  <si>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</si>
  <si>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</si>
  <si>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</si>
  <si>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</si>
  <si>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</si>
  <si>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</si>
  <si>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</si>
  <si>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</si>
  <si>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</si>
  <si>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</si>
  <si>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</si>
  <si>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</si>
  <si>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</si>
  <si>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</si>
  <si>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</si>
  <si>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</si>
  <si>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</si>
  <si>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</si>
  <si>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</si>
  <si>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</si>
  <si>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</si>
  <si>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</si>
  <si>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</si>
  <si>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</si>
  <si>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</si>
  <si>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</si>
  <si>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</si>
  <si>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</si>
  <si>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</si>
  <si>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</si>
  <si>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</si>
  <si>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</si>
  <si>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</si>
  <si>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</si>
  <si>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</si>
  <si>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</si>
  <si>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</si>
  <si>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</si>
  <si>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</si>
  <si>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</si>
  <si>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</si>
  <si>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</si>
  <si>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</si>
  <si>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</si>
  <si>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</si>
  <si>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</si>
  <si>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</si>
  <si>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</si>
  <si>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</si>
  <si>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</si>
  <si>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</si>
  <si>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</si>
  <si>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</si>
  <si>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</si>
  <si>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</si>
  <si>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</si>
  <si>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</si>
  <si>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</si>
  <si>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</si>
  <si>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</si>
  <si>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</si>
  <si>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</si>
  <si>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</si>
  <si>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</si>
  <si>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</si>
  <si>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</si>
  <si>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</si>
  <si>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</si>
  <si>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</si>
  <si>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</si>
  <si>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</si>
  <si>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</si>
  <si>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</si>
  <si>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</si>
  <si>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</si>
  <si>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</si>
  <si>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</si>
  <si>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</si>
  <si>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</si>
  <si>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</si>
  <si>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</si>
  <si>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</si>
  <si>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</si>
  <si>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</si>
  <si>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</si>
  <si>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</si>
  <si>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</si>
  <si>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</si>
  <si>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</si>
  <si>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</si>
  <si>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</si>
  <si>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</si>
  <si>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</si>
  <si>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</si>
  <si>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</si>
  <si>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</si>
  <si>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</si>
  <si>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</si>
  <si>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</si>
  <si>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</si>
  <si>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</si>
  <si>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</si>
  <si>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</si>
  <si>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</si>
  <si>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</si>
  <si>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</si>
  <si>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</si>
  <si>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</si>
  <si>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</si>
  <si>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</si>
  <si>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</si>
  <si>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</si>
  <si>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</si>
  <si>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</si>
  <si>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</si>
  <si>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</si>
  <si>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</si>
  <si>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</si>
  <si>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</si>
  <si>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</si>
  <si>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</si>
  <si>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</si>
  <si>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</si>
  <si>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</si>
  <si>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</si>
  <si>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</si>
  <si>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</si>
  <si>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</si>
  <si>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</si>
  <si>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</si>
  <si>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</si>
  <si>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</si>
  <si>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</si>
  <si>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</si>
  <si>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</si>
  <si>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</si>
  <si>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</si>
  <si>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</si>
  <si>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</si>
  <si>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</si>
  <si>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</si>
  <si>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</si>
  <si>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</si>
  <si>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</si>
  <si>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</si>
  <si>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</si>
  <si>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</si>
  <si>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</si>
  <si>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</si>
  <si>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</si>
  <si>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</si>
  <si>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</si>
  <si>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</si>
  <si>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</si>
  <si>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</si>
  <si>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</si>
  <si>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</si>
  <si>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</si>
  <si>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</si>
  <si>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</si>
  <si>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</si>
  <si>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</si>
  <si>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</si>
  <si>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</si>
  <si>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</si>
  <si>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</si>
  <si>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</si>
  <si>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</si>
  <si>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</si>
  <si>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</si>
  <si>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</si>
  <si>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</si>
  <si>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</si>
  <si>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</si>
  <si>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</si>
  <si>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</si>
  <si>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</si>
  <si>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</si>
  <si>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</si>
  <si>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</si>
  <si>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</si>
  <si>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</si>
  <si>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</si>
  <si>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</si>
  <si>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</si>
  <si>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</si>
  <si>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</si>
  <si>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</si>
  <si>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</si>
  <si>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</si>
  <si>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</si>
  <si>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</si>
  <si>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</si>
  <si>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</si>
  <si>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</si>
  <si>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</si>
  <si>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</si>
  <si>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</si>
  <si>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</si>
  <si>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</si>
  <si>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</si>
  <si>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</si>
  <si>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</si>
  <si>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</si>
  <si>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</si>
  <si>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</si>
  <si>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</si>
  <si>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</si>
  <si>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</si>
  <si>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</si>
  <si>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</si>
  <si>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</si>
  <si>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</si>
  <si>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</si>
  <si>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</si>
  <si>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</si>
  <si>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</si>
  <si>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</si>
  <si>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</si>
  <si>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</si>
  <si>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</si>
  <si>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</si>
  <si>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</si>
  <si>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</si>
  <si>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</si>
  <si>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</si>
  <si>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</si>
  <si>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</si>
  <si>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</si>
  <si>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</si>
  <si>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</si>
  <si>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</si>
  <si>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</si>
  <si>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</si>
  <si>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</si>
  <si>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</si>
  <si>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</si>
  <si>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</si>
  <si>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</si>
  <si>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</si>
  <si>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</si>
  <si>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</si>
  <si>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</si>
  <si>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</si>
  <si>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</si>
  <si>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</si>
  <si>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</si>
  <si>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</si>
  <si>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</si>
  <si>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</si>
  <si>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</si>
  <si>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</si>
  <si>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</si>
  <si>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</si>
  <si>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</si>
  <si>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</si>
  <si>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</si>
  <si>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</si>
  <si>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</si>
  <si>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</si>
  <si>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</si>
  <si>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</si>
  <si>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</si>
  <si>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</si>
  <si>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</si>
  <si>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</si>
  <si>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</si>
  <si>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</si>
  <si>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</si>
  <si>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</si>
  <si>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</si>
  <si>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</si>
  <si>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</si>
  <si>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</si>
  <si>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</si>
  <si>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</si>
  <si>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</si>
  <si>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</si>
  <si>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</si>
  <si>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</si>
  <si>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</si>
  <si>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</si>
  <si>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</si>
  <si>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</si>
  <si>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</si>
  <si>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</si>
  <si>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</si>
  <si>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</si>
  <si>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</si>
  <si>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</si>
  <si>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</si>
  <si>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</si>
  <si>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</si>
  <si>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</si>
  <si>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</si>
  <si>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</si>
  <si>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</si>
  <si>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</si>
  <si>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</si>
  <si>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</si>
  <si>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</si>
  <si>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</si>
  <si>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</si>
  <si>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</si>
  <si>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</si>
  <si>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</si>
  <si>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</si>
  <si>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</si>
  <si>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</si>
  <si>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</si>
  <si>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</si>
  <si>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</si>
  <si>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</si>
  <si>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</si>
  <si>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</si>
  <si>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</si>
  <si>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</si>
  <si>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</si>
  <si>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</si>
  <si>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</si>
  <si>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</si>
  <si>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</si>
  <si>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</si>
  <si>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</si>
  <si>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</si>
  <si>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</si>
  <si>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</si>
  <si>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</si>
  <si>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</si>
  <si>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</si>
  <si>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</si>
  <si>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</si>
  <si>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</si>
  <si>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</si>
  <si>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</si>
  <si>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</si>
  <si>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</si>
  <si>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</si>
  <si>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</si>
  <si>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</si>
  <si>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</si>
  <si>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</si>
  <si>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</si>
  <si>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</si>
  <si>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</si>
  <si>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</si>
  <si>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</si>
  <si>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</si>
  <si>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</si>
  <si>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</si>
  <si>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</si>
  <si>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</si>
  <si>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</si>
  <si>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</si>
  <si>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</si>
  <si>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</si>
  <si>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</si>
  <si>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</si>
  <si>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</si>
  <si>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</si>
  <si>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</si>
  <si>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</si>
  <si>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</si>
  <si>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</si>
  <si>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</si>
  <si>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</si>
  <si>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</si>
  <si>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</si>
  <si>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</si>
  <si>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</si>
  <si>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</si>
  <si>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</si>
  <si>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</si>
  <si>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</si>
  <si>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</si>
  <si>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</si>
  <si>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</si>
  <si>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</si>
  <si>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</si>
  <si>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</si>
  <si>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</si>
  <si>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</si>
  <si>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</si>
  <si>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</si>
  <si>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</si>
  <si>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</si>
  <si>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</si>
  <si>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</si>
  <si>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</si>
  <si>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</si>
  <si>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</si>
  <si>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</si>
  <si>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</si>
  <si>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</si>
  <si>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</si>
  <si>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</si>
  <si>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</si>
  <si>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</si>
  <si>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</si>
  <si>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</si>
  <si>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</si>
  <si>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</si>
  <si>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</si>
  <si>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</si>
  <si>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</si>
  <si>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</si>
  <si>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</si>
  <si>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</si>
  <si>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</si>
  <si>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</si>
  <si>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</si>
  <si>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</si>
  <si>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</si>
  <si>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</si>
  <si>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</si>
  <si>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</si>
  <si>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</si>
  <si>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</si>
  <si>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</si>
  <si>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</si>
  <si>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</si>
  <si>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</si>
  <si>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</si>
  <si>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</si>
  <si>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</si>
  <si>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</si>
  <si>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</si>
  <si>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</si>
  <si>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</si>
  <si>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</si>
  <si>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</si>
  <si>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</si>
  <si>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</si>
  <si>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</si>
  <si>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</si>
  <si>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</si>
  <si>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</si>
  <si>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</si>
  <si>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</si>
  <si>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</si>
  <si>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</si>
  <si>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</si>
  <si>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</si>
  <si>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</si>
  <si>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</si>
  <si>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</si>
  <si>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</si>
  <si>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</si>
  <si>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</si>
  <si>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</si>
  <si>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</si>
  <si>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</si>
  <si>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</si>
  <si>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</si>
  <si>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</si>
  <si>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</si>
  <si>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</si>
  <si>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</si>
  <si>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</si>
  <si>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</si>
  <si>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</si>
  <si>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</si>
  <si>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</si>
  <si>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[담당자미지정]</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</si>
  <si>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</si>
  <si>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</si>
  <si>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</si>
  <si>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</si>
  <si>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</si>
  <si>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</si>
  <si>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</si>
  <si>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</si>
  <si>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</si>
  <si>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</si>
  <si>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</si>
  <si>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</si>
  <si>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</si>
  <si>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</si>
  <si>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</si>
  <si>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task_group</t>
    <phoneticPr fontId="5" type="noConversion"/>
  </si>
  <si>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</si>
  <si>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</si>
  <si>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</si>
  <si>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</si>
  <si>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</si>
  <si>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</si>
  <si>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</si>
  <si>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</si>
  <si>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</si>
  <si>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</si>
  <si>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</si>
  <si>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</si>
  <si>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</si>
  <si>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</si>
  <si>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</si>
  <si>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</si>
  <si>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</si>
  <si>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</si>
  <si>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</si>
  <si>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</si>
  <si>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</si>
  <si>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</si>
  <si>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</si>
  <si>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</si>
  <si>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</si>
  <si>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</si>
  <si>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</si>
  <si>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운동 컨텐츠 화면</t>
  </si>
  <si>
    <t>상세 설계</t>
  </si>
  <si>
    <t>화면 설계서 작성</t>
  </si>
  <si>
    <t>화면 설계서 검토</t>
  </si>
  <si>
    <t>화면 설계서 수정 및 보완</t>
  </si>
  <si>
    <t>화면 설계서 최종 fix</t>
  </si>
  <si>
    <t>3.2</t>
  </si>
  <si>
    <t>3.2.1</t>
  </si>
  <si>
    <t>3.2.1.1</t>
  </si>
  <si>
    <t>3.2.1.2</t>
  </si>
  <si>
    <t>3.2.1.3</t>
  </si>
  <si>
    <t>3.2.1.4</t>
  </si>
  <si>
    <t>식단 컨텐츠 화면</t>
  </si>
  <si>
    <t>수면 컨텐츠 화면</t>
  </si>
  <si>
    <t>관리자 화면</t>
  </si>
  <si>
    <t>데이터베이스 설계</t>
  </si>
  <si>
    <t>아키텍처 설계</t>
  </si>
  <si>
    <t>클래스 설계</t>
  </si>
  <si>
    <t>다이어그램 정의 (다이어그램) -&gt; DB설계</t>
  </si>
  <si>
    <t>3.2.2</t>
  </si>
  <si>
    <t>3.2.2.1</t>
  </si>
  <si>
    <t>3.2.2.2</t>
  </si>
  <si>
    <t>3.2.2.3</t>
  </si>
  <si>
    <t>3.2.2.4</t>
  </si>
  <si>
    <t>3.2.3</t>
  </si>
  <si>
    <t>3.2.3.1</t>
  </si>
  <si>
    <t>3.2.3.2</t>
  </si>
  <si>
    <t>3.2.3.3</t>
  </si>
  <si>
    <t>3.2.3.4</t>
  </si>
  <si>
    <t>3.2.4</t>
  </si>
  <si>
    <t>3.2.4.1</t>
  </si>
  <si>
    <t>3.2.4.2</t>
  </si>
  <si>
    <t>3.2.4.3</t>
  </si>
  <si>
    <t>3.2.4.4</t>
  </si>
  <si>
    <t>3.2.5</t>
  </si>
  <si>
    <t>3.2.5.1</t>
  </si>
  <si>
    <t>3.2.5.2</t>
  </si>
  <si>
    <t>3.2.5.3</t>
  </si>
  <si>
    <t>3.2.6</t>
  </si>
  <si>
    <t>3.2.6.1</t>
  </si>
  <si>
    <t>3.2.6.2</t>
  </si>
  <si>
    <t>3.2.6.3</t>
  </si>
  <si>
    <t>퍼블리싱(모듈별)</t>
  </si>
  <si>
    <t>관리자 웹 화면</t>
  </si>
  <si>
    <t>메인/로그인</t>
  </si>
  <si>
    <t>운동</t>
  </si>
  <si>
    <t>음주</t>
  </si>
  <si>
    <t>수면</t>
  </si>
  <si>
    <t>식단</t>
  </si>
  <si>
    <t>4.1</t>
  </si>
  <si>
    <t>4.1.1</t>
  </si>
  <si>
    <t>4.1.2</t>
  </si>
  <si>
    <t>4.1.3</t>
  </si>
  <si>
    <t>4.1.4</t>
  </si>
  <si>
    <t>4.1.5</t>
  </si>
  <si>
    <t>4.1.6</t>
  </si>
  <si>
    <t>통합 테스트 및 디버깅</t>
  </si>
  <si>
    <t>개발 (모듈별)</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</si>
  <si>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</si>
  <si>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</si>
  <si>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</si>
  <si>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</si>
  <si>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</si>
  <si>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</si>
  <si>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</si>
  <si>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</si>
  <si>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</si>
  <si>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</si>
  <si>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</si>
  <si>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</si>
  <si>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</si>
  <si>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</si>
  <si>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</si>
  <si>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</si>
  <si>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</si>
  <si>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</si>
  <si>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4.2.7</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</si>
  <si>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</si>
  <si>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</si>
  <si>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</si>
  <si>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</si>
  <si>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</si>
  <si>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</si>
  <si>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</si>
  <si>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</si>
  <si>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</si>
  <si>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</si>
  <si>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</si>
  <si>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</si>
  <si>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</si>
  <si>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</si>
  <si>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</si>
  <si>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</si>
  <si>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</si>
  <si>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</si>
  <si>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</si>
  <si>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</si>
  <si>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</si>
  <si>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</si>
  <si>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</si>
  <si>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</si>
  <si>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</si>
  <si>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</si>
  <si>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</si>
  <si>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</si>
  <si>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공통</t>
  </si>
  <si>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</si>
  <si>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</si>
  <si>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</si>
  <si>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</si>
  <si>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</si>
  <si>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</si>
  <si>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</si>
  <si>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</si>
  <si>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</si>
  <si>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</si>
  <si>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</si>
  <si>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</si>
  <si>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 이름(공통)</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</si>
  <si>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</si>
  <si>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</si>
  <si>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</si>
  <si>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</si>
  <si>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</si>
  <si>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</si>
  <si>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</si>
  <si>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실제_x000D_
총기간</t>
    <phoneticPr fontId="5" type="noConversion"/>
  </si>
  <si>
    <t>SCHEDULE_SHEET_POSITION:3545121314151617181920212223242526272829</t>
    <phoneticPr fontId="2" type="noConversion"/>
  </si>
  <si>
    <t>총_x000D_
기간</t>
    <phoneticPr fontId="5" type="noConversion"/>
  </si>
  <si>
    <t>계획_x000D_
기간</t>
    <phoneticPr fontId="5" type="noConversion"/>
  </si>
  <si>
    <t>계획</t>
    <phoneticPr fontId="5" type="noConversion"/>
  </si>
  <si>
    <t>일정변경관리 하지 않을 때 현재까지 실제로 진행된 작업기간을 표시함(총기간 x 총실적진행율)</t>
    <phoneticPr fontId="5" type="noConversion"/>
  </si>
  <si>
    <t>계획진척율(주별)</t>
  </si>
  <si>
    <t>* 주별로 프로젝트의 계획진적율을 보여줍니다.</t>
  </si>
  <si>
    <t>* "계획진척율" 메뉴를 클릭해야 갱신됨</t>
  </si>
  <si>
    <t>누적_x000D_
Man-Day</t>
  </si>
  <si>
    <t>진척율</t>
  </si>
  <si>
    <t>화면 설계서 시안</t>
  </si>
  <si>
    <t>상세 화면 설계서</t>
  </si>
  <si>
    <t>DB관계다이어그램</t>
  </si>
  <si>
    <t>클래스 다이어그램</t>
  </si>
  <si>
    <t>비고</t>
    <phoneticPr fontId="5" type="noConversion"/>
  </si>
  <si>
    <t>실제_x000D_
완료일</t>
    <phoneticPr fontId="5" type="noConversion"/>
  </si>
  <si>
    <t>{"TASK_FIRST_COL":"5","START_ROW":"5","WBS_AREA_LAST_COL":"28"}</t>
    <phoneticPr fontId="5" type="noConversion"/>
  </si>
  <si>
    <t>화면 캡쳐 API</t>
  </si>
  <si>
    <t>GPS 연동</t>
  </si>
  <si>
    <t>칼로리 계산 API</t>
  </si>
  <si>
    <t>데시벨 측정 API</t>
  </si>
  <si>
    <t>수면 패턴 설계 로직</t>
  </si>
  <si>
    <t>4.2.1.1</t>
  </si>
  <si>
    <t>4.2.2.1</t>
  </si>
  <si>
    <t>4.2.3.1</t>
  </si>
  <si>
    <t>4.2.4.1</t>
  </si>
  <si>
    <t>4.2.5.1</t>
  </si>
  <si>
    <t>4.2.5.2</t>
  </si>
  <si>
    <t>작업*</t>
    <phoneticPr fontId="5" type="noConversion"/>
  </si>
  <si>
    <t>모듈 통합</t>
  </si>
  <si>
    <t>프로젝트 진행율 - 일정변경 관리하지 않을때</t>
    <phoneticPr fontId="5" type="noConversion"/>
  </si>
  <si>
    <t>4.2.1.2</t>
  </si>
  <si>
    <t>아두이노 연동</t>
  </si>
  <si>
    <t>음주 측정 로직 설계</t>
  </si>
  <si>
    <t>4.2.4.2</t>
  </si>
  <si>
    <t>운동량 칼로리 구현</t>
  </si>
  <si>
    <t>회원 관리 페이지</t>
  </si>
  <si>
    <t>4.2.2.2</t>
  </si>
  <si>
    <t>4.2.6.1</t>
  </si>
  <si>
    <t>수정 및 보완점 정리</t>
  </si>
  <si>
    <t>음주 컨텐츠 화면</t>
  </si>
  <si>
    <t>실제_x000D_
시작일</t>
    <phoneticPr fontId="5" type="noConversion"/>
  </si>
  <si>
    <t>reserved</t>
    <phoneticPr fontId="5" type="noConversion"/>
  </si>
  <si>
    <t>wbs_level</t>
    <phoneticPr fontId="5" type="noConversion"/>
  </si>
  <si>
    <t>WBS</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</si>
  <si>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</si>
  <si>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</si>
  <si>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</si>
  <si>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</si>
  <si>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</si>
  <si>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실제_x000D_
총작업량</t>
    <phoneticPr fontId="5" type="noConversion"/>
  </si>
  <si>
    <t>가중치</t>
    <phoneticPr fontId="5" type="noConversion"/>
  </si>
  <si>
    <t>담당</t>
    <phoneticPr fontId="5" type="noConversion"/>
  </si>
  <si>
    <t>산출물</t>
    <phoneticPr fontId="5" type="noConversion"/>
  </si>
  <si>
    <t>실적*</t>
    <phoneticPr fontId="5" type="noConversion"/>
  </si>
  <si>
    <t>실제 진행된 작업량</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</si>
</sst>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58">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14" fontId="13" fillId="0" borderId="15" xfId="4" applyNumberFormat="1" applyFont="1" applyBorder="1"/>
    <xf numFmtId="0" fontId="13" fillId="0" borderId="15" xfId="4" applyFont="1" applyBorder="1"/>
    <xf numFmtId="14" fontId="13" fillId="0" borderId="26" xfId="4" applyNumberFormat="1" applyFont="1" applyBorder="1"/>
    <xf numFmtId="0" fontId="13" fillId="0" borderId="26" xfId="4" applyFont="1" applyBorder="1"/>
    <xf numFmtId="0" fontId="13" fillId="0" borderId="0" xfId="4" applyFont="1" applyBorder="1"/>
    <xf numFmtId="0" fontId="9" fillId="0" borderId="28" xfId="4" applyFont="1" applyFill="1" applyBorder="1" applyAlignment="1" applyProtection="1">
      <alignment horizontal="left" vertical="top"/>
      <protection locked="0"/>
    </xf>
    <xf numFmtId="0" fontId="9" fillId="0" borderId="27" xfId="4" applyFont="1" applyFill="1" applyBorder="1" applyAlignment="1" applyProtection="1">
      <alignment vertical="top"/>
      <protection locked="0"/>
    </xf>
    <xf numFmtId="0" fontId="9" fillId="0" borderId="29" xfId="4" applyFont="1" applyFill="1" applyBorder="1" applyAlignment="1" applyProtection="1">
      <alignment vertical="top"/>
      <protection locked="0"/>
    </xf>
    <xf numFmtId="0" fontId="9" fillId="0" borderId="30"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10" fontId="13" fillId="0" borderId="15" xfId="6" applyNumberFormat="1" applyFont="1" applyBorder="1" applyAlignment="1"/>
    <xf numFmtId="10" fontId="13" fillId="0" borderId="26" xfId="6" applyNumberFormat="1" applyFont="1" applyBorder="1" applyAlignment="1"/>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14" fontId="8" fillId="10" borderId="2" xfId="4" applyNumberFormat="1" applyFont="1" applyFill="1" applyBorder="1" applyAlignment="1" applyProtection="1">
      <alignment horizontal="center" vertical="center"/>
    </xf>
    <xf numFmtId="0" fontId="8" fillId="10" borderId="2" xfId="4" applyNumberFormat="1" applyFont="1" applyFill="1" applyBorder="1" applyAlignment="1" applyProtection="1">
      <alignment horizontal="center" vertical="center"/>
    </xf>
    <xf numFmtId="176" fontId="8" fillId="5" borderId="2" xfId="4" applyNumberFormat="1" applyFont="1" applyFill="1" applyBorder="1" applyAlignment="1" applyProtection="1">
      <alignment horizontal="center" vertical="center" wrapText="1"/>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xf numFmtId="0" fontId="39" fillId="0" borderId="7" xfId="4" applyFont="1" applyFill="1" applyBorder="1" applyAlignment="1" applyProtection="1">
      <alignment horizontal="lef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AnalysisReport!$C$7:$C$14</c:f>
              <c:numCache>
                <c:formatCode>m/d/yyyy</c:formatCode>
                <c:ptCount val="8"/>
                <c:pt idx="0">
                  <c:v>43631</c:v>
                </c:pt>
                <c:pt idx="1">
                  <c:v>43638</c:v>
                </c:pt>
                <c:pt idx="2">
                  <c:v>43645</c:v>
                </c:pt>
                <c:pt idx="3">
                  <c:v>43652</c:v>
                </c:pt>
                <c:pt idx="4">
                  <c:v>43659</c:v>
                </c:pt>
                <c:pt idx="5">
                  <c:v>43666</c:v>
                </c:pt>
                <c:pt idx="6">
                  <c:v>43673</c:v>
                </c:pt>
                <c:pt idx="7">
                  <c:v>43680</c:v>
                </c:pt>
              </c:numCache>
            </c:numRef>
          </c:cat>
          <c:val>
            <c:numRef>
              <c:f>AnalysisReport!$F$7:$F$14</c:f>
              <c:numCache>
                <c:formatCode>0.00%</c:formatCode>
                <c:ptCount val="8"/>
                <c:pt idx="0">
                  <c:v>9.1954022988505746E-2</c:v>
                </c:pt>
                <c:pt idx="1">
                  <c:v>0.37931034482758619</c:v>
                </c:pt>
                <c:pt idx="2">
                  <c:v>0.65517241379310343</c:v>
                </c:pt>
                <c:pt idx="3">
                  <c:v>0.74137931034482762</c:v>
                </c:pt>
                <c:pt idx="4">
                  <c:v>0.82758620689655171</c:v>
                </c:pt>
                <c:pt idx="5">
                  <c:v>0.91379310344827591</c:v>
                </c:pt>
                <c:pt idx="6">
                  <c:v>1</c:v>
                </c:pt>
                <c:pt idx="7">
                  <c:v>1</c:v>
                </c:pt>
              </c:numCache>
            </c:numRef>
          </c:val>
          <c:smooth val="0"/>
        </c:ser>
        <c:dLbls>
          <c:showLegendKey val="0"/>
          <c:showVal val="0"/>
          <c:showCatName val="0"/>
          <c:showSerName val="0"/>
          <c:showPercent val="0"/>
          <c:showBubbleSize val="0"/>
        </c:dLbls>
        <c:marker val="1"/>
        <c:smooth val="0"/>
        <c:axId val="409780720"/>
        <c:axId val="409781896"/>
      </c:lineChart>
      <c:dateAx>
        <c:axId val="40978072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09781896"/>
        <c:crosses val="autoZero"/>
        <c:auto val="1"/>
        <c:lblOffset val="100"/>
        <c:baseTimeUnit val="days"/>
      </c:dateAx>
      <c:valAx>
        <c:axId val="409781896"/>
        <c:scaling>
          <c:orientation val="minMax"/>
        </c:scaling>
        <c:delete val="0"/>
        <c:axPos val="l"/>
        <c:majorGridlines/>
        <c:numFmt formatCode="0.00%" sourceLinked="1"/>
        <c:majorTickMark val="out"/>
        <c:minorTickMark val="none"/>
        <c:tickLblPos val="nextTo"/>
        <c:crossAx val="4097807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82731</xdr:colOff>
      <xdr:row>3</xdr:row>
      <xdr:rowOff>59690</xdr:rowOff>
    </xdr:from>
    <xdr:to>
      <xdr:col>30</xdr:col>
      <xdr:colOff>82731</xdr:colOff>
      <xdr:row>99</xdr:row>
      <xdr:rowOff>0</xdr:rowOff>
    </xdr:to>
    <xdr:cxnSp macro="">
      <xdr:nvCxnSpPr>
        <xdr:cNvPr id="25187" name="직선 화살표 연결선 25186"/>
        <xdr:cNvCxnSpPr/>
      </xdr:nvCxnSpPr>
      <xdr:spPr>
        <a:xfrm>
          <a:off x="8929551" y="753110"/>
          <a:ext cx="0" cy="14479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91</xdr:row>
      <xdr:rowOff>19050</xdr:rowOff>
    </xdr:from>
    <xdr:to>
      <xdr:col>35</xdr:col>
      <xdr:colOff>20683</xdr:colOff>
      <xdr:row>91</xdr:row>
      <xdr:rowOff>133350</xdr:rowOff>
    </xdr:to>
    <xdr:sp macro="" textlink="">
      <xdr:nvSpPr>
        <xdr:cNvPr id="25188" name="직사각형 25187"/>
        <xdr:cNvSpPr/>
      </xdr:nvSpPr>
      <xdr:spPr>
        <a:xfrm>
          <a:off x="8577943" y="140322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91</xdr:row>
      <xdr:rowOff>76200</xdr:rowOff>
    </xdr:from>
    <xdr:to>
      <xdr:col>28</xdr:col>
      <xdr:colOff>20683</xdr:colOff>
      <xdr:row>91</xdr:row>
      <xdr:rowOff>76200</xdr:rowOff>
    </xdr:to>
    <xdr:cxnSp macro="">
      <xdr:nvCxnSpPr>
        <xdr:cNvPr id="25189" name="직선 화살표 연결선 25188"/>
        <xdr:cNvCxnSpPr/>
      </xdr:nvCxnSpPr>
      <xdr:spPr>
        <a:xfrm>
          <a:off x="8577943"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90</xdr:row>
      <xdr:rowOff>19050</xdr:rowOff>
    </xdr:from>
    <xdr:to>
      <xdr:col>35</xdr:col>
      <xdr:colOff>20683</xdr:colOff>
      <xdr:row>90</xdr:row>
      <xdr:rowOff>133350</xdr:rowOff>
    </xdr:to>
    <xdr:sp macro="" textlink="">
      <xdr:nvSpPr>
        <xdr:cNvPr id="25190" name="직사각형 25189"/>
        <xdr:cNvSpPr/>
      </xdr:nvSpPr>
      <xdr:spPr>
        <a:xfrm>
          <a:off x="8577943" y="138798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90</xdr:row>
      <xdr:rowOff>76200</xdr:rowOff>
    </xdr:from>
    <xdr:to>
      <xdr:col>28</xdr:col>
      <xdr:colOff>20683</xdr:colOff>
      <xdr:row>90</xdr:row>
      <xdr:rowOff>76200</xdr:rowOff>
    </xdr:to>
    <xdr:cxnSp macro="">
      <xdr:nvCxnSpPr>
        <xdr:cNvPr id="25191" name="직선 화살표 연결선 25190"/>
        <xdr:cNvCxnSpPr/>
      </xdr:nvCxnSpPr>
      <xdr:spPr>
        <a:xfrm>
          <a:off x="8577943"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89</xdr:row>
      <xdr:rowOff>19050</xdr:rowOff>
    </xdr:from>
    <xdr:to>
      <xdr:col>35</xdr:col>
      <xdr:colOff>20683</xdr:colOff>
      <xdr:row>89</xdr:row>
      <xdr:rowOff>133350</xdr:rowOff>
    </xdr:to>
    <xdr:sp macro="" textlink="">
      <xdr:nvSpPr>
        <xdr:cNvPr id="25192" name="직사각형 25191"/>
        <xdr:cNvSpPr/>
      </xdr:nvSpPr>
      <xdr:spPr>
        <a:xfrm>
          <a:off x="8577943" y="137274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89</xdr:row>
      <xdr:rowOff>76200</xdr:rowOff>
    </xdr:from>
    <xdr:to>
      <xdr:col>28</xdr:col>
      <xdr:colOff>20683</xdr:colOff>
      <xdr:row>89</xdr:row>
      <xdr:rowOff>76200</xdr:rowOff>
    </xdr:to>
    <xdr:cxnSp macro="">
      <xdr:nvCxnSpPr>
        <xdr:cNvPr id="25193" name="직선 화살표 연결선 25192"/>
        <xdr:cNvCxnSpPr/>
      </xdr:nvCxnSpPr>
      <xdr:spPr>
        <a:xfrm>
          <a:off x="8577943"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86</xdr:row>
      <xdr:rowOff>19050</xdr:rowOff>
    </xdr:from>
    <xdr:to>
      <xdr:col>35</xdr:col>
      <xdr:colOff>20683</xdr:colOff>
      <xdr:row>86</xdr:row>
      <xdr:rowOff>133350</xdr:rowOff>
    </xdr:to>
    <xdr:sp macro="" textlink="">
      <xdr:nvSpPr>
        <xdr:cNvPr id="25194" name="직사각형 25193"/>
        <xdr:cNvSpPr/>
      </xdr:nvSpPr>
      <xdr:spPr>
        <a:xfrm>
          <a:off x="8577943" y="132702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86</xdr:row>
      <xdr:rowOff>76200</xdr:rowOff>
    </xdr:from>
    <xdr:to>
      <xdr:col>28</xdr:col>
      <xdr:colOff>20683</xdr:colOff>
      <xdr:row>86</xdr:row>
      <xdr:rowOff>76200</xdr:rowOff>
    </xdr:to>
    <xdr:cxnSp macro="">
      <xdr:nvCxnSpPr>
        <xdr:cNvPr id="25195" name="직선 화살표 연결선 25194"/>
        <xdr:cNvCxnSpPr/>
      </xdr:nvCxnSpPr>
      <xdr:spPr>
        <a:xfrm>
          <a:off x="8577943"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85</xdr:row>
      <xdr:rowOff>19050</xdr:rowOff>
    </xdr:from>
    <xdr:to>
      <xdr:col>35</xdr:col>
      <xdr:colOff>20683</xdr:colOff>
      <xdr:row>85</xdr:row>
      <xdr:rowOff>133350</xdr:rowOff>
    </xdr:to>
    <xdr:sp macro="" textlink="">
      <xdr:nvSpPr>
        <xdr:cNvPr id="25196" name="직사각형 25195"/>
        <xdr:cNvSpPr/>
      </xdr:nvSpPr>
      <xdr:spPr>
        <a:xfrm>
          <a:off x="8577943" y="131178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85</xdr:row>
      <xdr:rowOff>76200</xdr:rowOff>
    </xdr:from>
    <xdr:to>
      <xdr:col>28</xdr:col>
      <xdr:colOff>20683</xdr:colOff>
      <xdr:row>85</xdr:row>
      <xdr:rowOff>76200</xdr:rowOff>
    </xdr:to>
    <xdr:cxnSp macro="">
      <xdr:nvCxnSpPr>
        <xdr:cNvPr id="25197" name="직선 화살표 연결선 25196"/>
        <xdr:cNvCxnSpPr/>
      </xdr:nvCxnSpPr>
      <xdr:spPr>
        <a:xfrm>
          <a:off x="8577943"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52</xdr:row>
      <xdr:rowOff>19050</xdr:rowOff>
    </xdr:from>
    <xdr:to>
      <xdr:col>30</xdr:col>
      <xdr:colOff>82731</xdr:colOff>
      <xdr:row>52</xdr:row>
      <xdr:rowOff>133350</xdr:rowOff>
    </xdr:to>
    <xdr:sp macro="" textlink="">
      <xdr:nvSpPr>
        <xdr:cNvPr id="25198" name="직사각형 25197"/>
        <xdr:cNvSpPr/>
      </xdr:nvSpPr>
      <xdr:spPr>
        <a:xfrm>
          <a:off x="8805454" y="8088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52</xdr:row>
      <xdr:rowOff>76200</xdr:rowOff>
    </xdr:from>
    <xdr:to>
      <xdr:col>29</xdr:col>
      <xdr:colOff>103414</xdr:colOff>
      <xdr:row>52</xdr:row>
      <xdr:rowOff>76200</xdr:rowOff>
    </xdr:to>
    <xdr:cxnSp macro="">
      <xdr:nvCxnSpPr>
        <xdr:cNvPr id="25199" name="직선 화살표 연결선 25198"/>
        <xdr:cNvCxnSpPr/>
      </xdr:nvCxnSpPr>
      <xdr:spPr>
        <a:xfrm>
          <a:off x="8805454"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51</xdr:row>
      <xdr:rowOff>19050</xdr:rowOff>
    </xdr:from>
    <xdr:to>
      <xdr:col>30</xdr:col>
      <xdr:colOff>82731</xdr:colOff>
      <xdr:row>51</xdr:row>
      <xdr:rowOff>133350</xdr:rowOff>
    </xdr:to>
    <xdr:sp macro="" textlink="">
      <xdr:nvSpPr>
        <xdr:cNvPr id="25200" name="직사각형 25199"/>
        <xdr:cNvSpPr/>
      </xdr:nvSpPr>
      <xdr:spPr>
        <a:xfrm>
          <a:off x="8805454" y="7936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51</xdr:row>
      <xdr:rowOff>76200</xdr:rowOff>
    </xdr:from>
    <xdr:to>
      <xdr:col>29</xdr:col>
      <xdr:colOff>103414</xdr:colOff>
      <xdr:row>51</xdr:row>
      <xdr:rowOff>76200</xdr:rowOff>
    </xdr:to>
    <xdr:cxnSp macro="">
      <xdr:nvCxnSpPr>
        <xdr:cNvPr id="25201" name="직선 화살표 연결선 25200"/>
        <xdr:cNvCxnSpPr/>
      </xdr:nvCxnSpPr>
      <xdr:spPr>
        <a:xfrm>
          <a:off x="8805454"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50</xdr:row>
      <xdr:rowOff>19050</xdr:rowOff>
    </xdr:from>
    <xdr:to>
      <xdr:col>30</xdr:col>
      <xdr:colOff>82731</xdr:colOff>
      <xdr:row>50</xdr:row>
      <xdr:rowOff>133350</xdr:rowOff>
    </xdr:to>
    <xdr:sp macro="" textlink="">
      <xdr:nvSpPr>
        <xdr:cNvPr id="25202" name="직사각형 25201"/>
        <xdr:cNvSpPr/>
      </xdr:nvSpPr>
      <xdr:spPr>
        <a:xfrm>
          <a:off x="8805454" y="7783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50</xdr:row>
      <xdr:rowOff>76200</xdr:rowOff>
    </xdr:from>
    <xdr:to>
      <xdr:col>29</xdr:col>
      <xdr:colOff>103414</xdr:colOff>
      <xdr:row>50</xdr:row>
      <xdr:rowOff>76200</xdr:rowOff>
    </xdr:to>
    <xdr:cxnSp macro="">
      <xdr:nvCxnSpPr>
        <xdr:cNvPr id="25203" name="직선 화살표 연결선 25202"/>
        <xdr:cNvCxnSpPr/>
      </xdr:nvCxnSpPr>
      <xdr:spPr>
        <a:xfrm>
          <a:off x="8805454"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49</xdr:row>
      <xdr:rowOff>19050</xdr:rowOff>
    </xdr:from>
    <xdr:to>
      <xdr:col>30</xdr:col>
      <xdr:colOff>82731</xdr:colOff>
      <xdr:row>49</xdr:row>
      <xdr:rowOff>133350</xdr:rowOff>
    </xdr:to>
    <xdr:sp macro="" textlink="">
      <xdr:nvSpPr>
        <xdr:cNvPr id="25204" name="직사각형 25203"/>
        <xdr:cNvSpPr/>
      </xdr:nvSpPr>
      <xdr:spPr>
        <a:xfrm>
          <a:off x="8805454" y="7631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49</xdr:row>
      <xdr:rowOff>76200</xdr:rowOff>
    </xdr:from>
    <xdr:to>
      <xdr:col>29</xdr:col>
      <xdr:colOff>103414</xdr:colOff>
      <xdr:row>49</xdr:row>
      <xdr:rowOff>76200</xdr:rowOff>
    </xdr:to>
    <xdr:cxnSp macro="">
      <xdr:nvCxnSpPr>
        <xdr:cNvPr id="25205" name="직선 화살표 연결선 25204"/>
        <xdr:cNvCxnSpPr/>
      </xdr:nvCxnSpPr>
      <xdr:spPr>
        <a:xfrm>
          <a:off x="8805454"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44</xdr:row>
      <xdr:rowOff>19050</xdr:rowOff>
    </xdr:from>
    <xdr:to>
      <xdr:col>31</xdr:col>
      <xdr:colOff>0</xdr:colOff>
      <xdr:row>44</xdr:row>
      <xdr:rowOff>133350</xdr:rowOff>
    </xdr:to>
    <xdr:sp macro="" textlink="">
      <xdr:nvSpPr>
        <xdr:cNvPr id="25206" name="직사각형 25205"/>
        <xdr:cNvSpPr/>
      </xdr:nvSpPr>
      <xdr:spPr>
        <a:xfrm>
          <a:off x="8908869" y="6869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44</xdr:row>
      <xdr:rowOff>76200</xdr:rowOff>
    </xdr:from>
    <xdr:to>
      <xdr:col>30</xdr:col>
      <xdr:colOff>62049</xdr:colOff>
      <xdr:row>44</xdr:row>
      <xdr:rowOff>76200</xdr:rowOff>
    </xdr:to>
    <xdr:cxnSp macro="">
      <xdr:nvCxnSpPr>
        <xdr:cNvPr id="25207" name="직선 화살표 연결선 25206"/>
        <xdr:cNvCxnSpPr/>
      </xdr:nvCxnSpPr>
      <xdr:spPr>
        <a:xfrm>
          <a:off x="89088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43</xdr:row>
      <xdr:rowOff>19050</xdr:rowOff>
    </xdr:from>
    <xdr:to>
      <xdr:col>30</xdr:col>
      <xdr:colOff>82731</xdr:colOff>
      <xdr:row>43</xdr:row>
      <xdr:rowOff>133350</xdr:rowOff>
    </xdr:to>
    <xdr:sp macro="" textlink="">
      <xdr:nvSpPr>
        <xdr:cNvPr id="25208" name="직사각형 25207"/>
        <xdr:cNvSpPr/>
      </xdr:nvSpPr>
      <xdr:spPr>
        <a:xfrm>
          <a:off x="8805454" y="6717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43</xdr:row>
      <xdr:rowOff>76200</xdr:rowOff>
    </xdr:from>
    <xdr:to>
      <xdr:col>30</xdr:col>
      <xdr:colOff>82731</xdr:colOff>
      <xdr:row>43</xdr:row>
      <xdr:rowOff>76200</xdr:rowOff>
    </xdr:to>
    <xdr:cxnSp macro="">
      <xdr:nvCxnSpPr>
        <xdr:cNvPr id="25209" name="직선 화살표 연결선 25208"/>
        <xdr:cNvCxnSpPr/>
      </xdr:nvCxnSpPr>
      <xdr:spPr>
        <a:xfrm>
          <a:off x="8805454" y="6774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42</xdr:row>
      <xdr:rowOff>19050</xdr:rowOff>
    </xdr:from>
    <xdr:to>
      <xdr:col>29</xdr:col>
      <xdr:colOff>124097</xdr:colOff>
      <xdr:row>42</xdr:row>
      <xdr:rowOff>133350</xdr:rowOff>
    </xdr:to>
    <xdr:sp macro="" textlink="">
      <xdr:nvSpPr>
        <xdr:cNvPr id="25210" name="직사각형 25209"/>
        <xdr:cNvSpPr/>
      </xdr:nvSpPr>
      <xdr:spPr>
        <a:xfrm>
          <a:off x="8805454" y="6564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42</xdr:row>
      <xdr:rowOff>76200</xdr:rowOff>
    </xdr:from>
    <xdr:to>
      <xdr:col>29</xdr:col>
      <xdr:colOff>124097</xdr:colOff>
      <xdr:row>42</xdr:row>
      <xdr:rowOff>76200</xdr:rowOff>
    </xdr:to>
    <xdr:cxnSp macro="">
      <xdr:nvCxnSpPr>
        <xdr:cNvPr id="25211" name="직선 화살표 연결선 25210"/>
        <xdr:cNvCxnSpPr/>
      </xdr:nvCxnSpPr>
      <xdr:spPr>
        <a:xfrm>
          <a:off x="8805454" y="6621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41</xdr:row>
      <xdr:rowOff>19050</xdr:rowOff>
    </xdr:from>
    <xdr:to>
      <xdr:col>29</xdr:col>
      <xdr:colOff>124097</xdr:colOff>
      <xdr:row>41</xdr:row>
      <xdr:rowOff>133350</xdr:rowOff>
    </xdr:to>
    <xdr:sp macro="" textlink="">
      <xdr:nvSpPr>
        <xdr:cNvPr id="25212" name="직사각형 25211"/>
        <xdr:cNvSpPr/>
      </xdr:nvSpPr>
      <xdr:spPr>
        <a:xfrm>
          <a:off x="8764088" y="6412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41</xdr:row>
      <xdr:rowOff>76200</xdr:rowOff>
    </xdr:from>
    <xdr:to>
      <xdr:col>29</xdr:col>
      <xdr:colOff>124097</xdr:colOff>
      <xdr:row>41</xdr:row>
      <xdr:rowOff>76200</xdr:rowOff>
    </xdr:to>
    <xdr:cxnSp macro="">
      <xdr:nvCxnSpPr>
        <xdr:cNvPr id="25213" name="직선 화살표 연결선 25212"/>
        <xdr:cNvCxnSpPr/>
      </xdr:nvCxnSpPr>
      <xdr:spPr>
        <a:xfrm>
          <a:off x="8764088" y="6469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40</xdr:row>
      <xdr:rowOff>19050</xdr:rowOff>
    </xdr:from>
    <xdr:to>
      <xdr:col>31</xdr:col>
      <xdr:colOff>0</xdr:colOff>
      <xdr:row>40</xdr:row>
      <xdr:rowOff>133350</xdr:rowOff>
    </xdr:to>
    <xdr:sp macro="" textlink="">
      <xdr:nvSpPr>
        <xdr:cNvPr id="25214" name="직사각형 25213"/>
        <xdr:cNvSpPr/>
      </xdr:nvSpPr>
      <xdr:spPr>
        <a:xfrm>
          <a:off x="8764088" y="6259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40</xdr:row>
      <xdr:rowOff>76200</xdr:rowOff>
    </xdr:from>
    <xdr:to>
      <xdr:col>30</xdr:col>
      <xdr:colOff>82731</xdr:colOff>
      <xdr:row>40</xdr:row>
      <xdr:rowOff>76200</xdr:rowOff>
    </xdr:to>
    <xdr:cxnSp macro="">
      <xdr:nvCxnSpPr>
        <xdr:cNvPr id="25215" name="직선 화살표 연결선 25214"/>
        <xdr:cNvCxnSpPr/>
      </xdr:nvCxnSpPr>
      <xdr:spPr>
        <a:xfrm>
          <a:off x="8764088" y="6316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39</xdr:row>
      <xdr:rowOff>19050</xdr:rowOff>
    </xdr:from>
    <xdr:to>
      <xdr:col>31</xdr:col>
      <xdr:colOff>0</xdr:colOff>
      <xdr:row>39</xdr:row>
      <xdr:rowOff>133350</xdr:rowOff>
    </xdr:to>
    <xdr:sp macro="" textlink="">
      <xdr:nvSpPr>
        <xdr:cNvPr id="25216" name="직사각형 25215"/>
        <xdr:cNvSpPr/>
      </xdr:nvSpPr>
      <xdr:spPr>
        <a:xfrm>
          <a:off x="8908869" y="6107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39</xdr:row>
      <xdr:rowOff>76200</xdr:rowOff>
    </xdr:from>
    <xdr:to>
      <xdr:col>30</xdr:col>
      <xdr:colOff>62049</xdr:colOff>
      <xdr:row>39</xdr:row>
      <xdr:rowOff>76200</xdr:rowOff>
    </xdr:to>
    <xdr:cxnSp macro="">
      <xdr:nvCxnSpPr>
        <xdr:cNvPr id="25217" name="직선 화살표 연결선 25216"/>
        <xdr:cNvCxnSpPr/>
      </xdr:nvCxnSpPr>
      <xdr:spPr>
        <a:xfrm>
          <a:off x="8908869"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38</xdr:row>
      <xdr:rowOff>19050</xdr:rowOff>
    </xdr:from>
    <xdr:to>
      <xdr:col>30</xdr:col>
      <xdr:colOff>82731</xdr:colOff>
      <xdr:row>38</xdr:row>
      <xdr:rowOff>133350</xdr:rowOff>
    </xdr:to>
    <xdr:sp macro="" textlink="">
      <xdr:nvSpPr>
        <xdr:cNvPr id="25218" name="직사각형 25217"/>
        <xdr:cNvSpPr/>
      </xdr:nvSpPr>
      <xdr:spPr>
        <a:xfrm>
          <a:off x="8805454" y="5955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38</xdr:row>
      <xdr:rowOff>76200</xdr:rowOff>
    </xdr:from>
    <xdr:to>
      <xdr:col>30</xdr:col>
      <xdr:colOff>82731</xdr:colOff>
      <xdr:row>38</xdr:row>
      <xdr:rowOff>76200</xdr:rowOff>
    </xdr:to>
    <xdr:cxnSp macro="">
      <xdr:nvCxnSpPr>
        <xdr:cNvPr id="25219" name="직선 화살표 연결선 25218"/>
        <xdr:cNvCxnSpPr/>
      </xdr:nvCxnSpPr>
      <xdr:spPr>
        <a:xfrm>
          <a:off x="8805454" y="6012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37</xdr:row>
      <xdr:rowOff>19050</xdr:rowOff>
    </xdr:from>
    <xdr:to>
      <xdr:col>29</xdr:col>
      <xdr:colOff>124097</xdr:colOff>
      <xdr:row>37</xdr:row>
      <xdr:rowOff>133350</xdr:rowOff>
    </xdr:to>
    <xdr:sp macro="" textlink="">
      <xdr:nvSpPr>
        <xdr:cNvPr id="25220" name="직사각형 25219"/>
        <xdr:cNvSpPr/>
      </xdr:nvSpPr>
      <xdr:spPr>
        <a:xfrm>
          <a:off x="8805454" y="580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37</xdr:row>
      <xdr:rowOff>76200</xdr:rowOff>
    </xdr:from>
    <xdr:to>
      <xdr:col>29</xdr:col>
      <xdr:colOff>124097</xdr:colOff>
      <xdr:row>37</xdr:row>
      <xdr:rowOff>76200</xdr:rowOff>
    </xdr:to>
    <xdr:cxnSp macro="">
      <xdr:nvCxnSpPr>
        <xdr:cNvPr id="25221" name="직선 화살표 연결선 25220"/>
        <xdr:cNvCxnSpPr/>
      </xdr:nvCxnSpPr>
      <xdr:spPr>
        <a:xfrm>
          <a:off x="8805454" y="585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36</xdr:row>
      <xdr:rowOff>19050</xdr:rowOff>
    </xdr:from>
    <xdr:to>
      <xdr:col>29</xdr:col>
      <xdr:colOff>124097</xdr:colOff>
      <xdr:row>36</xdr:row>
      <xdr:rowOff>133350</xdr:rowOff>
    </xdr:to>
    <xdr:sp macro="" textlink="">
      <xdr:nvSpPr>
        <xdr:cNvPr id="25222" name="직사각형 25221"/>
        <xdr:cNvSpPr/>
      </xdr:nvSpPr>
      <xdr:spPr>
        <a:xfrm>
          <a:off x="8764088" y="565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36</xdr:row>
      <xdr:rowOff>76200</xdr:rowOff>
    </xdr:from>
    <xdr:to>
      <xdr:col>29</xdr:col>
      <xdr:colOff>124097</xdr:colOff>
      <xdr:row>36</xdr:row>
      <xdr:rowOff>76200</xdr:rowOff>
    </xdr:to>
    <xdr:cxnSp macro="">
      <xdr:nvCxnSpPr>
        <xdr:cNvPr id="25223" name="직선 화살표 연결선 25222"/>
        <xdr:cNvCxnSpPr/>
      </xdr:nvCxnSpPr>
      <xdr:spPr>
        <a:xfrm>
          <a:off x="8764088" y="5707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35</xdr:row>
      <xdr:rowOff>19050</xdr:rowOff>
    </xdr:from>
    <xdr:to>
      <xdr:col>31</xdr:col>
      <xdr:colOff>0</xdr:colOff>
      <xdr:row>35</xdr:row>
      <xdr:rowOff>133350</xdr:rowOff>
    </xdr:to>
    <xdr:sp macro="" textlink="">
      <xdr:nvSpPr>
        <xdr:cNvPr id="25224" name="직사각형 25223"/>
        <xdr:cNvSpPr/>
      </xdr:nvSpPr>
      <xdr:spPr>
        <a:xfrm>
          <a:off x="8764088" y="5497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35</xdr:row>
      <xdr:rowOff>76200</xdr:rowOff>
    </xdr:from>
    <xdr:to>
      <xdr:col>30</xdr:col>
      <xdr:colOff>82731</xdr:colOff>
      <xdr:row>35</xdr:row>
      <xdr:rowOff>76200</xdr:rowOff>
    </xdr:to>
    <xdr:cxnSp macro="">
      <xdr:nvCxnSpPr>
        <xdr:cNvPr id="25225" name="직선 화살표 연결선 25224"/>
        <xdr:cNvCxnSpPr/>
      </xdr:nvCxnSpPr>
      <xdr:spPr>
        <a:xfrm>
          <a:off x="8764088" y="5554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34</xdr:row>
      <xdr:rowOff>19050</xdr:rowOff>
    </xdr:from>
    <xdr:to>
      <xdr:col>31</xdr:col>
      <xdr:colOff>0</xdr:colOff>
      <xdr:row>34</xdr:row>
      <xdr:rowOff>133350</xdr:rowOff>
    </xdr:to>
    <xdr:sp macro="" textlink="">
      <xdr:nvSpPr>
        <xdr:cNvPr id="25226" name="직사각형 25225"/>
        <xdr:cNvSpPr/>
      </xdr:nvSpPr>
      <xdr:spPr>
        <a:xfrm>
          <a:off x="8908869" y="5345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34</xdr:row>
      <xdr:rowOff>76200</xdr:rowOff>
    </xdr:from>
    <xdr:to>
      <xdr:col>30</xdr:col>
      <xdr:colOff>62049</xdr:colOff>
      <xdr:row>34</xdr:row>
      <xdr:rowOff>76200</xdr:rowOff>
    </xdr:to>
    <xdr:cxnSp macro="">
      <xdr:nvCxnSpPr>
        <xdr:cNvPr id="25227" name="직선 화살표 연결선 25226"/>
        <xdr:cNvCxnSpPr/>
      </xdr:nvCxnSpPr>
      <xdr:spPr>
        <a:xfrm>
          <a:off x="890886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33</xdr:row>
      <xdr:rowOff>19050</xdr:rowOff>
    </xdr:from>
    <xdr:to>
      <xdr:col>30</xdr:col>
      <xdr:colOff>82731</xdr:colOff>
      <xdr:row>33</xdr:row>
      <xdr:rowOff>133350</xdr:rowOff>
    </xdr:to>
    <xdr:sp macro="" textlink="">
      <xdr:nvSpPr>
        <xdr:cNvPr id="25228" name="직사각형 25227"/>
        <xdr:cNvSpPr/>
      </xdr:nvSpPr>
      <xdr:spPr>
        <a:xfrm>
          <a:off x="8805454" y="5193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33</xdr:row>
      <xdr:rowOff>76200</xdr:rowOff>
    </xdr:from>
    <xdr:to>
      <xdr:col>30</xdr:col>
      <xdr:colOff>82731</xdr:colOff>
      <xdr:row>33</xdr:row>
      <xdr:rowOff>76200</xdr:rowOff>
    </xdr:to>
    <xdr:cxnSp macro="">
      <xdr:nvCxnSpPr>
        <xdr:cNvPr id="25229" name="직선 화살표 연결선 25228"/>
        <xdr:cNvCxnSpPr/>
      </xdr:nvCxnSpPr>
      <xdr:spPr>
        <a:xfrm>
          <a:off x="8805454" y="525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32</xdr:row>
      <xdr:rowOff>19050</xdr:rowOff>
    </xdr:from>
    <xdr:to>
      <xdr:col>29</xdr:col>
      <xdr:colOff>124097</xdr:colOff>
      <xdr:row>32</xdr:row>
      <xdr:rowOff>133350</xdr:rowOff>
    </xdr:to>
    <xdr:sp macro="" textlink="">
      <xdr:nvSpPr>
        <xdr:cNvPr id="25230" name="직사각형 25229"/>
        <xdr:cNvSpPr/>
      </xdr:nvSpPr>
      <xdr:spPr>
        <a:xfrm>
          <a:off x="8805454" y="5040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32</xdr:row>
      <xdr:rowOff>76200</xdr:rowOff>
    </xdr:from>
    <xdr:to>
      <xdr:col>29</xdr:col>
      <xdr:colOff>124097</xdr:colOff>
      <xdr:row>32</xdr:row>
      <xdr:rowOff>76200</xdr:rowOff>
    </xdr:to>
    <xdr:cxnSp macro="">
      <xdr:nvCxnSpPr>
        <xdr:cNvPr id="25231" name="직선 화살표 연결선 25230"/>
        <xdr:cNvCxnSpPr/>
      </xdr:nvCxnSpPr>
      <xdr:spPr>
        <a:xfrm>
          <a:off x="8805454" y="5097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31</xdr:row>
      <xdr:rowOff>19050</xdr:rowOff>
    </xdr:from>
    <xdr:to>
      <xdr:col>29</xdr:col>
      <xdr:colOff>124097</xdr:colOff>
      <xdr:row>31</xdr:row>
      <xdr:rowOff>133350</xdr:rowOff>
    </xdr:to>
    <xdr:sp macro="" textlink="">
      <xdr:nvSpPr>
        <xdr:cNvPr id="25232" name="직사각형 25231"/>
        <xdr:cNvSpPr/>
      </xdr:nvSpPr>
      <xdr:spPr>
        <a:xfrm>
          <a:off x="8764088" y="488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31</xdr:row>
      <xdr:rowOff>76200</xdr:rowOff>
    </xdr:from>
    <xdr:to>
      <xdr:col>29</xdr:col>
      <xdr:colOff>124097</xdr:colOff>
      <xdr:row>31</xdr:row>
      <xdr:rowOff>76200</xdr:rowOff>
    </xdr:to>
    <xdr:cxnSp macro="">
      <xdr:nvCxnSpPr>
        <xdr:cNvPr id="25233" name="직선 화살표 연결선 25232"/>
        <xdr:cNvCxnSpPr/>
      </xdr:nvCxnSpPr>
      <xdr:spPr>
        <a:xfrm>
          <a:off x="8764088" y="4945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30</xdr:row>
      <xdr:rowOff>19050</xdr:rowOff>
    </xdr:from>
    <xdr:to>
      <xdr:col>31</xdr:col>
      <xdr:colOff>0</xdr:colOff>
      <xdr:row>30</xdr:row>
      <xdr:rowOff>133350</xdr:rowOff>
    </xdr:to>
    <xdr:sp macro="" textlink="">
      <xdr:nvSpPr>
        <xdr:cNvPr id="25234" name="직사각형 25233"/>
        <xdr:cNvSpPr/>
      </xdr:nvSpPr>
      <xdr:spPr>
        <a:xfrm>
          <a:off x="8764088" y="4735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30</xdr:row>
      <xdr:rowOff>76200</xdr:rowOff>
    </xdr:from>
    <xdr:to>
      <xdr:col>30</xdr:col>
      <xdr:colOff>82731</xdr:colOff>
      <xdr:row>30</xdr:row>
      <xdr:rowOff>76200</xdr:rowOff>
    </xdr:to>
    <xdr:cxnSp macro="">
      <xdr:nvCxnSpPr>
        <xdr:cNvPr id="25235" name="직선 화살표 연결선 25234"/>
        <xdr:cNvCxnSpPr/>
      </xdr:nvCxnSpPr>
      <xdr:spPr>
        <a:xfrm>
          <a:off x="8764088" y="4792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29</xdr:row>
      <xdr:rowOff>19050</xdr:rowOff>
    </xdr:from>
    <xdr:to>
      <xdr:col>31</xdr:col>
      <xdr:colOff>0</xdr:colOff>
      <xdr:row>29</xdr:row>
      <xdr:rowOff>133350</xdr:rowOff>
    </xdr:to>
    <xdr:sp macro="" textlink="">
      <xdr:nvSpPr>
        <xdr:cNvPr id="25236" name="직사각형 25235"/>
        <xdr:cNvSpPr/>
      </xdr:nvSpPr>
      <xdr:spPr>
        <a:xfrm>
          <a:off x="8908869" y="4583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29</xdr:row>
      <xdr:rowOff>76200</xdr:rowOff>
    </xdr:from>
    <xdr:to>
      <xdr:col>30</xdr:col>
      <xdr:colOff>62049</xdr:colOff>
      <xdr:row>29</xdr:row>
      <xdr:rowOff>76200</xdr:rowOff>
    </xdr:to>
    <xdr:cxnSp macro="">
      <xdr:nvCxnSpPr>
        <xdr:cNvPr id="25237" name="직선 화살표 연결선 25236"/>
        <xdr:cNvCxnSpPr/>
      </xdr:nvCxnSpPr>
      <xdr:spPr>
        <a:xfrm>
          <a:off x="890886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28</xdr:row>
      <xdr:rowOff>19050</xdr:rowOff>
    </xdr:from>
    <xdr:to>
      <xdr:col>30</xdr:col>
      <xdr:colOff>82731</xdr:colOff>
      <xdr:row>28</xdr:row>
      <xdr:rowOff>133350</xdr:rowOff>
    </xdr:to>
    <xdr:sp macro="" textlink="">
      <xdr:nvSpPr>
        <xdr:cNvPr id="25238" name="직사각형 25237"/>
        <xdr:cNvSpPr/>
      </xdr:nvSpPr>
      <xdr:spPr>
        <a:xfrm>
          <a:off x="8805454" y="4431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28</xdr:row>
      <xdr:rowOff>76200</xdr:rowOff>
    </xdr:from>
    <xdr:to>
      <xdr:col>30</xdr:col>
      <xdr:colOff>82731</xdr:colOff>
      <xdr:row>28</xdr:row>
      <xdr:rowOff>76200</xdr:rowOff>
    </xdr:to>
    <xdr:cxnSp macro="">
      <xdr:nvCxnSpPr>
        <xdr:cNvPr id="25239" name="직선 화살표 연결선 25238"/>
        <xdr:cNvCxnSpPr/>
      </xdr:nvCxnSpPr>
      <xdr:spPr>
        <a:xfrm>
          <a:off x="8805454" y="4488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27</xdr:row>
      <xdr:rowOff>19050</xdr:rowOff>
    </xdr:from>
    <xdr:to>
      <xdr:col>29</xdr:col>
      <xdr:colOff>124097</xdr:colOff>
      <xdr:row>27</xdr:row>
      <xdr:rowOff>133350</xdr:rowOff>
    </xdr:to>
    <xdr:sp macro="" textlink="">
      <xdr:nvSpPr>
        <xdr:cNvPr id="25240" name="직사각형 25239"/>
        <xdr:cNvSpPr/>
      </xdr:nvSpPr>
      <xdr:spPr>
        <a:xfrm>
          <a:off x="8805454" y="427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27</xdr:row>
      <xdr:rowOff>76200</xdr:rowOff>
    </xdr:from>
    <xdr:to>
      <xdr:col>29</xdr:col>
      <xdr:colOff>124097</xdr:colOff>
      <xdr:row>27</xdr:row>
      <xdr:rowOff>76200</xdr:rowOff>
    </xdr:to>
    <xdr:cxnSp macro="">
      <xdr:nvCxnSpPr>
        <xdr:cNvPr id="25241" name="직선 화살표 연결선 25240"/>
        <xdr:cNvCxnSpPr/>
      </xdr:nvCxnSpPr>
      <xdr:spPr>
        <a:xfrm>
          <a:off x="8805454" y="4335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26</xdr:row>
      <xdr:rowOff>19050</xdr:rowOff>
    </xdr:from>
    <xdr:to>
      <xdr:col>29</xdr:col>
      <xdr:colOff>124097</xdr:colOff>
      <xdr:row>26</xdr:row>
      <xdr:rowOff>133350</xdr:rowOff>
    </xdr:to>
    <xdr:sp macro="" textlink="">
      <xdr:nvSpPr>
        <xdr:cNvPr id="25242" name="직사각형 25241"/>
        <xdr:cNvSpPr/>
      </xdr:nvSpPr>
      <xdr:spPr>
        <a:xfrm>
          <a:off x="8764088" y="4126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26</xdr:row>
      <xdr:rowOff>76200</xdr:rowOff>
    </xdr:from>
    <xdr:to>
      <xdr:col>29</xdr:col>
      <xdr:colOff>124097</xdr:colOff>
      <xdr:row>26</xdr:row>
      <xdr:rowOff>76200</xdr:rowOff>
    </xdr:to>
    <xdr:cxnSp macro="">
      <xdr:nvCxnSpPr>
        <xdr:cNvPr id="25243" name="직선 화살표 연결선 25242"/>
        <xdr:cNvCxnSpPr/>
      </xdr:nvCxnSpPr>
      <xdr:spPr>
        <a:xfrm>
          <a:off x="8764088" y="4183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25</xdr:row>
      <xdr:rowOff>19050</xdr:rowOff>
    </xdr:from>
    <xdr:to>
      <xdr:col>31</xdr:col>
      <xdr:colOff>0</xdr:colOff>
      <xdr:row>25</xdr:row>
      <xdr:rowOff>133350</xdr:rowOff>
    </xdr:to>
    <xdr:sp macro="" textlink="">
      <xdr:nvSpPr>
        <xdr:cNvPr id="25244" name="직사각형 25243"/>
        <xdr:cNvSpPr/>
      </xdr:nvSpPr>
      <xdr:spPr>
        <a:xfrm>
          <a:off x="8764088" y="3973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25</xdr:row>
      <xdr:rowOff>76200</xdr:rowOff>
    </xdr:from>
    <xdr:to>
      <xdr:col>30</xdr:col>
      <xdr:colOff>82731</xdr:colOff>
      <xdr:row>25</xdr:row>
      <xdr:rowOff>76200</xdr:rowOff>
    </xdr:to>
    <xdr:cxnSp macro="">
      <xdr:nvCxnSpPr>
        <xdr:cNvPr id="25245" name="직선 화살표 연결선 25244"/>
        <xdr:cNvCxnSpPr/>
      </xdr:nvCxnSpPr>
      <xdr:spPr>
        <a:xfrm>
          <a:off x="8764088" y="4030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24</xdr:row>
      <xdr:rowOff>19050</xdr:rowOff>
    </xdr:from>
    <xdr:to>
      <xdr:col>31</xdr:col>
      <xdr:colOff>0</xdr:colOff>
      <xdr:row>24</xdr:row>
      <xdr:rowOff>133350</xdr:rowOff>
    </xdr:to>
    <xdr:sp macro="" textlink="">
      <xdr:nvSpPr>
        <xdr:cNvPr id="25246" name="직사각형 25245"/>
        <xdr:cNvSpPr/>
      </xdr:nvSpPr>
      <xdr:spPr>
        <a:xfrm>
          <a:off x="8764088" y="38214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24</xdr:row>
      <xdr:rowOff>76200</xdr:rowOff>
    </xdr:from>
    <xdr:to>
      <xdr:col>30</xdr:col>
      <xdr:colOff>47275</xdr:colOff>
      <xdr:row>24</xdr:row>
      <xdr:rowOff>76200</xdr:rowOff>
    </xdr:to>
    <xdr:cxnSp macro="">
      <xdr:nvCxnSpPr>
        <xdr:cNvPr id="25247" name="직선 화살표 연결선 25246"/>
        <xdr:cNvCxnSpPr/>
      </xdr:nvCxnSpPr>
      <xdr:spPr>
        <a:xfrm>
          <a:off x="8764088" y="3878580"/>
          <a:ext cx="1300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23</xdr:row>
      <xdr:rowOff>19050</xdr:rowOff>
    </xdr:from>
    <xdr:to>
      <xdr:col>29</xdr:col>
      <xdr:colOff>124097</xdr:colOff>
      <xdr:row>23</xdr:row>
      <xdr:rowOff>133350</xdr:rowOff>
    </xdr:to>
    <xdr:sp macro="" textlink="">
      <xdr:nvSpPr>
        <xdr:cNvPr id="25248" name="직사각형 25247"/>
        <xdr:cNvSpPr/>
      </xdr:nvSpPr>
      <xdr:spPr>
        <a:xfrm>
          <a:off x="8805454" y="366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23</xdr:row>
      <xdr:rowOff>76200</xdr:rowOff>
    </xdr:from>
    <xdr:to>
      <xdr:col>29</xdr:col>
      <xdr:colOff>124097</xdr:colOff>
      <xdr:row>23</xdr:row>
      <xdr:rowOff>76200</xdr:rowOff>
    </xdr:to>
    <xdr:cxnSp macro="">
      <xdr:nvCxnSpPr>
        <xdr:cNvPr id="25249" name="직선 화살표 연결선 25248"/>
        <xdr:cNvCxnSpPr/>
      </xdr:nvCxnSpPr>
      <xdr:spPr>
        <a:xfrm>
          <a:off x="8805454" y="3726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82732</xdr:colOff>
      <xdr:row>22</xdr:row>
      <xdr:rowOff>19050</xdr:rowOff>
    </xdr:from>
    <xdr:to>
      <xdr:col>29</xdr:col>
      <xdr:colOff>124097</xdr:colOff>
      <xdr:row>22</xdr:row>
      <xdr:rowOff>133350</xdr:rowOff>
    </xdr:to>
    <xdr:sp macro="" textlink="">
      <xdr:nvSpPr>
        <xdr:cNvPr id="25250" name="직사각형 25249"/>
        <xdr:cNvSpPr/>
      </xdr:nvSpPr>
      <xdr:spPr>
        <a:xfrm>
          <a:off x="8784772" y="351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82732</xdr:colOff>
      <xdr:row>22</xdr:row>
      <xdr:rowOff>76200</xdr:rowOff>
    </xdr:from>
    <xdr:to>
      <xdr:col>29</xdr:col>
      <xdr:colOff>124097</xdr:colOff>
      <xdr:row>22</xdr:row>
      <xdr:rowOff>76200</xdr:rowOff>
    </xdr:to>
    <xdr:cxnSp macro="">
      <xdr:nvCxnSpPr>
        <xdr:cNvPr id="25251" name="직선 화살표 연결선 25250"/>
        <xdr:cNvCxnSpPr/>
      </xdr:nvCxnSpPr>
      <xdr:spPr>
        <a:xfrm>
          <a:off x="8784772" y="3573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21</xdr:row>
      <xdr:rowOff>19050</xdr:rowOff>
    </xdr:from>
    <xdr:to>
      <xdr:col>29</xdr:col>
      <xdr:colOff>103414</xdr:colOff>
      <xdr:row>21</xdr:row>
      <xdr:rowOff>133350</xdr:rowOff>
    </xdr:to>
    <xdr:sp macro="" textlink="">
      <xdr:nvSpPr>
        <xdr:cNvPr id="25252" name="직사각형 25251"/>
        <xdr:cNvSpPr/>
      </xdr:nvSpPr>
      <xdr:spPr>
        <a:xfrm>
          <a:off x="8743406"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21</xdr:row>
      <xdr:rowOff>76200</xdr:rowOff>
    </xdr:from>
    <xdr:to>
      <xdr:col>29</xdr:col>
      <xdr:colOff>103414</xdr:colOff>
      <xdr:row>21</xdr:row>
      <xdr:rowOff>76200</xdr:rowOff>
    </xdr:to>
    <xdr:cxnSp macro="">
      <xdr:nvCxnSpPr>
        <xdr:cNvPr id="25253" name="직선 화살표 연결선 25252"/>
        <xdr:cNvCxnSpPr/>
      </xdr:nvCxnSpPr>
      <xdr:spPr>
        <a:xfrm>
          <a:off x="8743406" y="3421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20</xdr:row>
      <xdr:rowOff>19050</xdr:rowOff>
    </xdr:from>
    <xdr:to>
      <xdr:col>29</xdr:col>
      <xdr:colOff>103414</xdr:colOff>
      <xdr:row>20</xdr:row>
      <xdr:rowOff>133350</xdr:rowOff>
    </xdr:to>
    <xdr:sp macro="" textlink="">
      <xdr:nvSpPr>
        <xdr:cNvPr id="25254" name="직사각형 25253"/>
        <xdr:cNvSpPr/>
      </xdr:nvSpPr>
      <xdr:spPr>
        <a:xfrm>
          <a:off x="8743406"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20</xdr:row>
      <xdr:rowOff>76200</xdr:rowOff>
    </xdr:from>
    <xdr:to>
      <xdr:col>29</xdr:col>
      <xdr:colOff>103414</xdr:colOff>
      <xdr:row>20</xdr:row>
      <xdr:rowOff>76200</xdr:rowOff>
    </xdr:to>
    <xdr:cxnSp macro="">
      <xdr:nvCxnSpPr>
        <xdr:cNvPr id="25255" name="직선 화살표 연결선 25254"/>
        <xdr:cNvCxnSpPr/>
      </xdr:nvCxnSpPr>
      <xdr:spPr>
        <a:xfrm>
          <a:off x="8743406" y="3268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19</xdr:row>
      <xdr:rowOff>19050</xdr:rowOff>
    </xdr:from>
    <xdr:to>
      <xdr:col>29</xdr:col>
      <xdr:colOff>103414</xdr:colOff>
      <xdr:row>19</xdr:row>
      <xdr:rowOff>133350</xdr:rowOff>
    </xdr:to>
    <xdr:sp macro="" textlink="">
      <xdr:nvSpPr>
        <xdr:cNvPr id="25256" name="직사각형 25255"/>
        <xdr:cNvSpPr/>
      </xdr:nvSpPr>
      <xdr:spPr>
        <a:xfrm>
          <a:off x="8743406" y="305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19</xdr:row>
      <xdr:rowOff>76200</xdr:rowOff>
    </xdr:from>
    <xdr:to>
      <xdr:col>29</xdr:col>
      <xdr:colOff>103414</xdr:colOff>
      <xdr:row>19</xdr:row>
      <xdr:rowOff>76200</xdr:rowOff>
    </xdr:to>
    <xdr:cxnSp macro="">
      <xdr:nvCxnSpPr>
        <xdr:cNvPr id="25257" name="직선 화살표 연결선 25256"/>
        <xdr:cNvCxnSpPr/>
      </xdr:nvCxnSpPr>
      <xdr:spPr>
        <a:xfrm>
          <a:off x="8743406" y="311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15</xdr:row>
      <xdr:rowOff>19050</xdr:rowOff>
    </xdr:from>
    <xdr:to>
      <xdr:col>29</xdr:col>
      <xdr:colOff>124097</xdr:colOff>
      <xdr:row>15</xdr:row>
      <xdr:rowOff>133350</xdr:rowOff>
    </xdr:to>
    <xdr:sp macro="" textlink="">
      <xdr:nvSpPr>
        <xdr:cNvPr id="25258" name="직사각형 25257"/>
        <xdr:cNvSpPr/>
      </xdr:nvSpPr>
      <xdr:spPr>
        <a:xfrm>
          <a:off x="8743406" y="24498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15</xdr:row>
      <xdr:rowOff>76200</xdr:rowOff>
    </xdr:from>
    <xdr:to>
      <xdr:col>29</xdr:col>
      <xdr:colOff>124097</xdr:colOff>
      <xdr:row>15</xdr:row>
      <xdr:rowOff>76200</xdr:rowOff>
    </xdr:to>
    <xdr:cxnSp macro="">
      <xdr:nvCxnSpPr>
        <xdr:cNvPr id="25259" name="직선 화살표 연결선 25258"/>
        <xdr:cNvCxnSpPr/>
      </xdr:nvCxnSpPr>
      <xdr:spPr>
        <a:xfrm>
          <a:off x="8743406" y="2506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14</xdr:row>
      <xdr:rowOff>19050</xdr:rowOff>
    </xdr:from>
    <xdr:to>
      <xdr:col>31</xdr:col>
      <xdr:colOff>0</xdr:colOff>
      <xdr:row>14</xdr:row>
      <xdr:rowOff>133350</xdr:rowOff>
    </xdr:to>
    <xdr:sp macro="" textlink="">
      <xdr:nvSpPr>
        <xdr:cNvPr id="25260" name="직사각형 25259"/>
        <xdr:cNvSpPr/>
      </xdr:nvSpPr>
      <xdr:spPr>
        <a:xfrm>
          <a:off x="8743406" y="2297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14</xdr:row>
      <xdr:rowOff>76200</xdr:rowOff>
    </xdr:from>
    <xdr:to>
      <xdr:col>30</xdr:col>
      <xdr:colOff>57182</xdr:colOff>
      <xdr:row>14</xdr:row>
      <xdr:rowOff>76200</xdr:rowOff>
    </xdr:to>
    <xdr:cxnSp macro="">
      <xdr:nvCxnSpPr>
        <xdr:cNvPr id="25261" name="직선 화살표 연결선 25260"/>
        <xdr:cNvCxnSpPr/>
      </xdr:nvCxnSpPr>
      <xdr:spPr>
        <a:xfrm>
          <a:off x="8743406" y="2354580"/>
          <a:ext cx="160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25262" name="직사각형 25261"/>
        <xdr:cNvSpPr/>
      </xdr:nvSpPr>
      <xdr:spPr>
        <a:xfrm>
          <a:off x="857794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25263" name="직선 화살표 연결선 25262"/>
        <xdr:cNvCxnSpPr/>
      </xdr:nvCxnSpPr>
      <xdr:spPr>
        <a:xfrm>
          <a:off x="857794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28</xdr:col>
      <xdr:colOff>41366</xdr:colOff>
      <xdr:row>5</xdr:row>
      <xdr:rowOff>133350</xdr:rowOff>
    </xdr:to>
    <xdr:sp macro="" textlink="">
      <xdr:nvSpPr>
        <xdr:cNvPr id="25264" name="직사각형 25263"/>
        <xdr:cNvSpPr/>
      </xdr:nvSpPr>
      <xdr:spPr>
        <a:xfrm>
          <a:off x="8577943" y="9258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28</xdr:col>
      <xdr:colOff>41366</xdr:colOff>
      <xdr:row>5</xdr:row>
      <xdr:rowOff>76200</xdr:rowOff>
    </xdr:to>
    <xdr:cxnSp macro="">
      <xdr:nvCxnSpPr>
        <xdr:cNvPr id="25265" name="직선 화살표 연결선 25264"/>
        <xdr:cNvCxnSpPr/>
      </xdr:nvCxnSpPr>
      <xdr:spPr>
        <a:xfrm>
          <a:off x="8577943" y="982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28</xdr:col>
      <xdr:colOff>41366</xdr:colOff>
      <xdr:row>4</xdr:row>
      <xdr:rowOff>133350</xdr:rowOff>
    </xdr:to>
    <xdr:sp macro="" textlink="">
      <xdr:nvSpPr>
        <xdr:cNvPr id="25266" name="직사각형 25265"/>
        <xdr:cNvSpPr/>
      </xdr:nvSpPr>
      <xdr:spPr>
        <a:xfrm>
          <a:off x="8577943" y="7734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28</xdr:col>
      <xdr:colOff>41366</xdr:colOff>
      <xdr:row>4</xdr:row>
      <xdr:rowOff>76200</xdr:rowOff>
    </xdr:to>
    <xdr:cxnSp macro="">
      <xdr:nvCxnSpPr>
        <xdr:cNvPr id="25267" name="직선 화살표 연결선 25266"/>
        <xdr:cNvCxnSpPr/>
      </xdr:nvCxnSpPr>
      <xdr:spPr>
        <a:xfrm>
          <a:off x="8577943" y="830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173355</xdr:colOff>
      <xdr:row>5</xdr:row>
      <xdr:rowOff>0</xdr:rowOff>
    </xdr:from>
    <xdr:to>
      <xdr:col>12</xdr:col>
      <xdr:colOff>584835</xdr:colOff>
      <xdr:row>19</xdr:row>
      <xdr:rowOff>0</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1190</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1153</v>
      </c>
      <c r="D11" s="99" t="s">
        <v>26</v>
      </c>
      <c r="E11" s="108">
        <v>1</v>
      </c>
      <c r="F11" s="109" t="s">
        <v>27</v>
      </c>
      <c r="G11" s="110">
        <v>43626</v>
      </c>
      <c r="H11" s="109" t="s">
        <v>28</v>
      </c>
      <c r="I11" s="110">
        <v>43674</v>
      </c>
      <c r="J11" s="102" t="s">
        <v>418</v>
      </c>
      <c r="K11" s="102" t="s">
        <v>1174</v>
      </c>
      <c r="L11" s="102" t="s">
        <v>415</v>
      </c>
      <c r="M11" s="102">
        <v>1</v>
      </c>
      <c r="N11" s="107" t="s">
        <v>29</v>
      </c>
      <c r="O11" s="99">
        <v>0</v>
      </c>
      <c r="P11" s="99" t="s">
        <v>30</v>
      </c>
      <c r="Q11" s="107" t="s">
        <v>1014</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1135</v>
      </c>
      <c r="F13" s="99" t="s">
        <v>33</v>
      </c>
      <c r="G13" s="109" t="s">
        <v>1154</v>
      </c>
      <c r="H13" s="109" t="s">
        <v>34</v>
      </c>
      <c r="I13" s="102" t="s">
        <v>963</v>
      </c>
    </row>
    <row r="14" spans="1:64">
      <c r="A14" s="101" t="s">
        <v>403</v>
      </c>
      <c r="B14" s="108" t="s">
        <v>35</v>
      </c>
      <c r="C14" s="108" t="s">
        <v>1136</v>
      </c>
      <c r="D14" s="108" t="s">
        <v>36</v>
      </c>
      <c r="E14" s="108" t="s">
        <v>1137</v>
      </c>
      <c r="F14" s="108" t="s">
        <v>37</v>
      </c>
      <c r="G14" s="108" t="s">
        <v>1138</v>
      </c>
      <c r="H14" s="108" t="s">
        <v>38</v>
      </c>
      <c r="I14" s="108" t="b">
        <v>0</v>
      </c>
      <c r="J14" s="108" t="s">
        <v>39</v>
      </c>
      <c r="K14" s="108" t="s">
        <v>1139</v>
      </c>
      <c r="L14" s="108" t="s">
        <v>40</v>
      </c>
      <c r="M14" s="108" t="s">
        <v>1140</v>
      </c>
      <c r="N14" s="108" t="s">
        <v>41</v>
      </c>
      <c r="O14" s="108" t="s">
        <v>1138</v>
      </c>
      <c r="P14" s="108" t="s">
        <v>42</v>
      </c>
      <c r="Q14" s="108" t="b">
        <v>0</v>
      </c>
      <c r="R14" s="108" t="s">
        <v>43</v>
      </c>
      <c r="S14" s="108" t="s">
        <v>1148</v>
      </c>
      <c r="T14" s="108" t="s">
        <v>44</v>
      </c>
      <c r="U14" s="108" t="s">
        <v>1141</v>
      </c>
      <c r="V14" s="108" t="s">
        <v>45</v>
      </c>
      <c r="W14" s="108" t="s">
        <v>1138</v>
      </c>
      <c r="X14" s="108" t="s">
        <v>46</v>
      </c>
      <c r="Y14" s="108" t="b">
        <v>1</v>
      </c>
      <c r="Z14" s="108" t="s">
        <v>47</v>
      </c>
      <c r="AA14" s="108" t="s">
        <v>1142</v>
      </c>
      <c r="AB14" s="108" t="s">
        <v>48</v>
      </c>
      <c r="AC14" s="108" t="s">
        <v>1149</v>
      </c>
      <c r="AD14" s="108" t="s">
        <v>49</v>
      </c>
      <c r="AE14" s="108" t="s">
        <v>1015</v>
      </c>
      <c r="AF14" s="108" t="s">
        <v>50</v>
      </c>
      <c r="AG14" s="108" t="b">
        <v>1</v>
      </c>
      <c r="AH14" s="108" t="s">
        <v>51</v>
      </c>
      <c r="AI14" s="108" t="s">
        <v>1150</v>
      </c>
      <c r="AJ14" s="108" t="s">
        <v>52</v>
      </c>
      <c r="AK14" s="108" t="s">
        <v>1143</v>
      </c>
      <c r="AL14" s="108" t="s">
        <v>53</v>
      </c>
      <c r="AM14" s="108" t="s">
        <v>1155</v>
      </c>
      <c r="AN14" s="108" t="s">
        <v>54</v>
      </c>
      <c r="AO14" s="108" t="b">
        <v>0</v>
      </c>
      <c r="AP14" s="108" t="s">
        <v>55</v>
      </c>
      <c r="AQ14" s="108" t="s">
        <v>1151</v>
      </c>
      <c r="AR14" s="108" t="s">
        <v>56</v>
      </c>
      <c r="AS14" s="108" t="s">
        <v>1144</v>
      </c>
      <c r="AT14" s="108" t="s">
        <v>57</v>
      </c>
      <c r="AU14" s="108" t="s">
        <v>1145</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1147</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899</v>
      </c>
      <c r="B1" s="124" t="s">
        <v>900</v>
      </c>
      <c r="C1" s="125" t="s">
        <v>901</v>
      </c>
      <c r="D1" s="125" t="s">
        <v>67</v>
      </c>
      <c r="E1" s="125" t="s">
        <v>68</v>
      </c>
    </row>
    <row r="2" spans="1:5" ht="79.2">
      <c r="A2" s="126" t="s">
        <v>1146</v>
      </c>
      <c r="B2" s="139">
        <v>1</v>
      </c>
      <c r="D2" s="127" t="s">
        <v>902</v>
      </c>
      <c r="E2" s="140" t="s">
        <v>588</v>
      </c>
    </row>
    <row r="3" spans="1:5" ht="112.5" customHeight="1">
      <c r="A3" s="128">
        <v>450</v>
      </c>
      <c r="B3" s="139">
        <v>2</v>
      </c>
      <c r="D3" s="127" t="s">
        <v>515</v>
      </c>
      <c r="E3" s="140" t="s">
        <v>903</v>
      </c>
    </row>
    <row r="4" spans="1:5" ht="52.8">
      <c r="B4" s="139">
        <v>3</v>
      </c>
      <c r="D4" s="127" t="s">
        <v>904</v>
      </c>
      <c r="E4" s="140" t="s">
        <v>589</v>
      </c>
    </row>
    <row r="5" spans="1:5" ht="52.8">
      <c r="B5" s="139">
        <v>4</v>
      </c>
      <c r="D5" s="127" t="s">
        <v>905</v>
      </c>
      <c r="E5" s="140" t="s">
        <v>590</v>
      </c>
    </row>
    <row r="6" spans="1:5" ht="52.8">
      <c r="B6" s="139">
        <v>5</v>
      </c>
      <c r="D6" s="127" t="s">
        <v>906</v>
      </c>
      <c r="E6" s="140" t="s">
        <v>591</v>
      </c>
    </row>
    <row r="7" spans="1:5" ht="39.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26.4">
      <c r="B15" s="139">
        <v>107</v>
      </c>
      <c r="D15" s="127" t="s">
        <v>434</v>
      </c>
      <c r="E15" s="140" t="s">
        <v>599</v>
      </c>
    </row>
    <row r="16" spans="1:5" ht="39.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6.4">
      <c r="B24" s="139">
        <v>116</v>
      </c>
      <c r="D24" s="127" t="s">
        <v>436</v>
      </c>
      <c r="E24" s="140" t="s">
        <v>605</v>
      </c>
    </row>
    <row r="25" spans="1:6">
      <c r="B25" s="139">
        <v>117</v>
      </c>
      <c r="D25" s="127" t="s">
        <v>437</v>
      </c>
      <c r="E25" s="140" t="s">
        <v>606</v>
      </c>
    </row>
    <row r="26" spans="1:6" ht="26.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6.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4.4">
      <c r="B62" s="139">
        <v>154</v>
      </c>
      <c r="D62" s="127" t="s">
        <v>104</v>
      </c>
      <c r="E62" s="148" t="s">
        <v>897</v>
      </c>
    </row>
    <row r="63" spans="1:6" ht="14.4">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6.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6.4">
      <c r="B89" s="139">
        <v>181</v>
      </c>
      <c r="D89" s="127" t="s">
        <v>446</v>
      </c>
      <c r="E89" s="140" t="s">
        <v>645</v>
      </c>
    </row>
    <row r="90" spans="2:5" ht="26.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6.4">
      <c r="B96" s="139">
        <v>188</v>
      </c>
      <c r="D96" s="127" t="s">
        <v>128</v>
      </c>
      <c r="E96" s="140" t="s">
        <v>648</v>
      </c>
    </row>
    <row r="97" spans="2:5" ht="26.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9.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6.4">
      <c r="B162" s="139">
        <v>254</v>
      </c>
      <c r="D162" s="127" t="s">
        <v>169</v>
      </c>
      <c r="E162" s="140" t="s">
        <v>696</v>
      </c>
    </row>
    <row r="163" spans="2:5" ht="26.4">
      <c r="B163" s="139">
        <v>255</v>
      </c>
      <c r="D163" s="127" t="s">
        <v>170</v>
      </c>
      <c r="E163" s="140" t="s">
        <v>697</v>
      </c>
    </row>
    <row r="164" spans="2:5" ht="26.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6.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6.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6.4">
      <c r="B207" s="139">
        <v>299</v>
      </c>
      <c r="D207" s="127" t="s">
        <v>203</v>
      </c>
      <c r="E207" s="140" t="s">
        <v>720</v>
      </c>
    </row>
    <row r="208" spans="2:5" ht="26.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6.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9.6">
      <c r="B229" s="139">
        <v>321</v>
      </c>
      <c r="D229" s="127" t="s">
        <v>217</v>
      </c>
      <c r="E229" s="140" t="s">
        <v>735</v>
      </c>
    </row>
    <row r="230" spans="1:6">
      <c r="B230" s="139">
        <v>322</v>
      </c>
      <c r="D230" s="127" t="s">
        <v>218</v>
      </c>
      <c r="E230" s="140" t="s">
        <v>736</v>
      </c>
    </row>
    <row r="231" spans="1:6" ht="26.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4.4">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6.4">
      <c r="B257" s="139">
        <v>349</v>
      </c>
      <c r="D257" s="127" t="s">
        <v>241</v>
      </c>
      <c r="E257" s="140" t="s">
        <v>751</v>
      </c>
    </row>
    <row r="258" spans="2:5">
      <c r="B258" s="139">
        <v>350</v>
      </c>
      <c r="D258" s="127" t="s">
        <v>242</v>
      </c>
      <c r="E258" s="140" t="s">
        <v>752</v>
      </c>
    </row>
    <row r="259" spans="2:5" ht="26.4">
      <c r="B259" s="139">
        <v>351</v>
      </c>
      <c r="D259" s="127" t="s">
        <v>243</v>
      </c>
      <c r="E259" s="140" t="s">
        <v>753</v>
      </c>
    </row>
    <row r="260" spans="2:5" ht="13.8">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6.4">
      <c r="B271" s="139">
        <v>363</v>
      </c>
      <c r="D271" s="127" t="s">
        <v>491</v>
      </c>
      <c r="E271" s="140" t="s">
        <v>760</v>
      </c>
    </row>
    <row r="272" spans="2:5" ht="26.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9.6">
      <c r="B290" s="139">
        <v>382</v>
      </c>
      <c r="D290" s="127" t="s">
        <v>269</v>
      </c>
      <c r="E290" s="140" t="s">
        <v>771</v>
      </c>
    </row>
    <row r="291" spans="2:5">
      <c r="B291" s="139">
        <v>383</v>
      </c>
      <c r="D291" s="127" t="s">
        <v>270</v>
      </c>
      <c r="E291" s="140" t="s">
        <v>772</v>
      </c>
    </row>
    <row r="292" spans="2:5" ht="26.4">
      <c r="B292" s="139">
        <v>384</v>
      </c>
      <c r="D292" s="127" t="s">
        <v>271</v>
      </c>
      <c r="E292" s="140" t="s">
        <v>773</v>
      </c>
    </row>
    <row r="293" spans="2:5">
      <c r="B293" s="139">
        <v>385</v>
      </c>
      <c r="D293" s="127" t="s">
        <v>272</v>
      </c>
      <c r="E293" s="140" t="s">
        <v>774</v>
      </c>
    </row>
    <row r="294" spans="2:5" ht="26.4">
      <c r="B294" s="139">
        <v>386</v>
      </c>
      <c r="D294" s="127" t="s">
        <v>273</v>
      </c>
      <c r="E294" s="140" t="s">
        <v>775</v>
      </c>
    </row>
    <row r="295" spans="2:5" ht="26.4">
      <c r="B295" s="139">
        <v>387</v>
      </c>
      <c r="D295" s="127" t="s">
        <v>274</v>
      </c>
      <c r="E295" s="140" t="s">
        <v>776</v>
      </c>
    </row>
    <row r="296" spans="2:5" ht="26.4">
      <c r="B296" s="139">
        <v>388</v>
      </c>
      <c r="D296" s="127" t="s">
        <v>275</v>
      </c>
      <c r="E296" s="140" t="s">
        <v>777</v>
      </c>
    </row>
    <row r="297" spans="2:5" ht="26.4">
      <c r="B297" s="139">
        <v>389</v>
      </c>
      <c r="D297" s="127" t="s">
        <v>276</v>
      </c>
      <c r="E297" s="140" t="s">
        <v>778</v>
      </c>
    </row>
    <row r="298" spans="2:5" ht="26.4">
      <c r="B298" s="139">
        <v>390</v>
      </c>
      <c r="D298" s="127" t="s">
        <v>277</v>
      </c>
      <c r="E298" s="140" t="s">
        <v>779</v>
      </c>
    </row>
    <row r="299" spans="2:5" ht="26.4">
      <c r="B299" s="139">
        <v>391</v>
      </c>
      <c r="D299" s="127" t="s">
        <v>278</v>
      </c>
      <c r="E299" s="140" t="s">
        <v>780</v>
      </c>
    </row>
    <row r="300" spans="2:5" ht="26.4">
      <c r="B300" s="139">
        <v>392</v>
      </c>
      <c r="D300" s="127" t="s">
        <v>279</v>
      </c>
      <c r="E300" s="140" t="s">
        <v>781</v>
      </c>
    </row>
    <row r="301" spans="2:5" ht="26.4">
      <c r="B301" s="139">
        <v>393</v>
      </c>
      <c r="D301" s="127" t="s">
        <v>280</v>
      </c>
      <c r="E301" s="140" t="s">
        <v>782</v>
      </c>
    </row>
    <row r="302" spans="2:5" ht="26.4">
      <c r="B302" s="139">
        <v>394</v>
      </c>
      <c r="D302" s="127" t="s">
        <v>281</v>
      </c>
      <c r="E302" s="140" t="s">
        <v>783</v>
      </c>
    </row>
    <row r="303" spans="2:5" ht="26.4">
      <c r="B303" s="139">
        <v>395</v>
      </c>
      <c r="D303" s="127" t="s">
        <v>282</v>
      </c>
      <c r="E303" s="140" t="s">
        <v>784</v>
      </c>
    </row>
    <row r="304" spans="2:5" ht="26.4">
      <c r="B304" s="139">
        <v>396</v>
      </c>
      <c r="D304" s="127" t="s">
        <v>283</v>
      </c>
      <c r="E304" s="140" t="s">
        <v>785</v>
      </c>
    </row>
    <row r="305" spans="2:5" ht="26.4">
      <c r="B305" s="139">
        <v>397</v>
      </c>
      <c r="D305" s="127" t="s">
        <v>284</v>
      </c>
      <c r="E305" s="140" t="s">
        <v>786</v>
      </c>
    </row>
    <row r="306" spans="2:5" ht="26.4">
      <c r="B306" s="139">
        <v>398</v>
      </c>
      <c r="D306" s="127" t="s">
        <v>285</v>
      </c>
      <c r="E306" s="140" t="s">
        <v>787</v>
      </c>
    </row>
    <row r="307" spans="2:5" ht="26.4">
      <c r="B307" s="139">
        <v>399</v>
      </c>
      <c r="D307" s="127" t="s">
        <v>286</v>
      </c>
      <c r="E307" s="140" t="s">
        <v>788</v>
      </c>
    </row>
    <row r="308" spans="2:5" ht="26.4">
      <c r="B308" s="139">
        <v>400</v>
      </c>
      <c r="D308" s="127" t="s">
        <v>287</v>
      </c>
      <c r="E308" s="140" t="s">
        <v>789</v>
      </c>
    </row>
    <row r="309" spans="2:5" ht="26.4">
      <c r="B309" s="139">
        <v>401</v>
      </c>
      <c r="D309" s="127" t="s">
        <v>288</v>
      </c>
      <c r="E309" s="140" t="s">
        <v>790</v>
      </c>
    </row>
    <row r="310" spans="2:5" ht="26.4">
      <c r="B310" s="139">
        <v>402</v>
      </c>
      <c r="D310" s="127" t="s">
        <v>289</v>
      </c>
      <c r="E310" s="140" t="s">
        <v>791</v>
      </c>
    </row>
    <row r="311" spans="2:5" ht="26.4">
      <c r="B311" s="139">
        <v>403</v>
      </c>
      <c r="D311" s="127" t="s">
        <v>290</v>
      </c>
      <c r="E311" s="140" t="s">
        <v>792</v>
      </c>
    </row>
    <row r="312" spans="2:5" ht="26.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6.4">
      <c r="B316" s="139">
        <v>408</v>
      </c>
      <c r="D316" s="127" t="s">
        <v>293</v>
      </c>
      <c r="E316" s="140" t="s">
        <v>796</v>
      </c>
    </row>
    <row r="317" spans="2:5">
      <c r="B317" s="139">
        <v>409</v>
      </c>
      <c r="D317" s="127" t="s">
        <v>294</v>
      </c>
      <c r="E317" s="140" t="s">
        <v>797</v>
      </c>
    </row>
    <row r="318" spans="2:5" ht="26.4">
      <c r="B318" s="139">
        <v>410</v>
      </c>
      <c r="D318" s="127" t="s">
        <v>295</v>
      </c>
      <c r="E318" s="140" t="s">
        <v>798</v>
      </c>
    </row>
    <row r="319" spans="2:5">
      <c r="B319" s="139">
        <v>411</v>
      </c>
      <c r="D319" s="127" t="s">
        <v>494</v>
      </c>
      <c r="E319" s="140" t="s">
        <v>799</v>
      </c>
    </row>
    <row r="320" spans="2:5" ht="26.4">
      <c r="B320" s="139">
        <v>412</v>
      </c>
      <c r="D320" s="127" t="s">
        <v>495</v>
      </c>
      <c r="E320" s="140" t="s">
        <v>800</v>
      </c>
    </row>
    <row r="321" spans="1:6">
      <c r="B321" s="139">
        <v>413</v>
      </c>
      <c r="D321" s="127" t="s">
        <v>296</v>
      </c>
      <c r="E321" s="140" t="s">
        <v>801</v>
      </c>
    </row>
    <row r="322" spans="1:6" ht="26.4">
      <c r="B322" s="139">
        <v>414</v>
      </c>
      <c r="D322" s="127" t="s">
        <v>297</v>
      </c>
      <c r="E322" s="140" t="s">
        <v>802</v>
      </c>
    </row>
    <row r="323" spans="1:6">
      <c r="B323" s="139">
        <v>415</v>
      </c>
      <c r="D323" s="127" t="s">
        <v>298</v>
      </c>
      <c r="E323" s="140" t="s">
        <v>803</v>
      </c>
    </row>
    <row r="324" spans="1:6" ht="39.6">
      <c r="B324" s="139">
        <v>416</v>
      </c>
      <c r="D324" s="127" t="s">
        <v>299</v>
      </c>
      <c r="E324" s="140" t="s">
        <v>804</v>
      </c>
    </row>
    <row r="325" spans="1:6">
      <c r="B325" s="139">
        <v>417</v>
      </c>
      <c r="D325" s="127" t="s">
        <v>300</v>
      </c>
      <c r="E325" s="140" t="s">
        <v>805</v>
      </c>
    </row>
    <row r="326" spans="1:6" ht="26.4">
      <c r="B326" s="139">
        <v>418</v>
      </c>
      <c r="D326" s="127" t="s">
        <v>301</v>
      </c>
      <c r="E326" s="140" t="s">
        <v>806</v>
      </c>
    </row>
    <row r="327" spans="1:6" ht="26.4">
      <c r="B327" s="139">
        <v>419</v>
      </c>
      <c r="D327" s="127" t="s">
        <v>302</v>
      </c>
      <c r="E327" s="140" t="s">
        <v>807</v>
      </c>
    </row>
    <row r="328" spans="1:6" ht="26.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43.2">
      <c r="A336" s="134"/>
      <c r="B336" s="139">
        <v>428</v>
      </c>
      <c r="C336" s="137" t="s">
        <v>911</v>
      </c>
      <c r="D336" s="134" t="s">
        <v>947</v>
      </c>
      <c r="E336" s="134" t="s">
        <v>948</v>
      </c>
      <c r="F336" s="135"/>
    </row>
    <row r="337" spans="2:5" ht="39.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6.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6.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9.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6.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6.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26.4">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9.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4.4">
      <c r="B376" s="139">
        <v>468</v>
      </c>
      <c r="D376" s="127" t="s">
        <v>341</v>
      </c>
      <c r="E376" s="148" t="s">
        <v>898</v>
      </c>
    </row>
    <row r="377" spans="1:6">
      <c r="B377" s="139">
        <v>469</v>
      </c>
      <c r="D377" s="127" t="s">
        <v>342</v>
      </c>
      <c r="E377" s="140" t="s">
        <v>851</v>
      </c>
    </row>
    <row r="378" spans="1:6">
      <c r="B378" s="139">
        <v>470</v>
      </c>
      <c r="D378" s="127" t="s">
        <v>343</v>
      </c>
      <c r="E378" s="140" t="s">
        <v>580</v>
      </c>
    </row>
    <row r="379" spans="1:6" ht="26.4">
      <c r="B379" s="139">
        <v>471</v>
      </c>
      <c r="D379" s="127" t="s">
        <v>344</v>
      </c>
      <c r="E379" s="140" t="s">
        <v>852</v>
      </c>
    </row>
    <row r="380" spans="1:6">
      <c r="B380" s="139">
        <v>472</v>
      </c>
      <c r="D380" s="127" t="s">
        <v>345</v>
      </c>
      <c r="E380" s="140" t="s">
        <v>581</v>
      </c>
    </row>
    <row r="381" spans="1:6" ht="26.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6.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8.8">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6.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3.8">
      <c r="A422" s="126"/>
      <c r="B422" s="139">
        <v>514</v>
      </c>
      <c r="C422" s="136"/>
      <c r="D422" s="127" t="s">
        <v>377</v>
      </c>
      <c r="E422" s="140" t="s">
        <v>878</v>
      </c>
      <c r="F422" s="126"/>
    </row>
    <row r="423" spans="1:6" s="134" customFormat="1" ht="13.8">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6.4">
      <c r="A425" s="126"/>
      <c r="B425" s="139">
        <v>517</v>
      </c>
      <c r="C425" s="136"/>
      <c r="D425" s="127" t="s">
        <v>380</v>
      </c>
      <c r="E425" s="140" t="s">
        <v>880</v>
      </c>
      <c r="F425" s="126"/>
    </row>
    <row r="426" spans="1:6" s="129" customFormat="1" ht="39.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9.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8"/>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955</v>
      </c>
      <c r="B2" s="94" t="s">
        <v>1020</v>
      </c>
      <c r="C2" s="95" t="s">
        <v>1152</v>
      </c>
      <c r="D2" s="95">
        <v>43626</v>
      </c>
      <c r="E2" s="96">
        <v>43626</v>
      </c>
      <c r="F2" s="95">
        <v>43626</v>
      </c>
      <c r="G2" s="95">
        <v>43631</v>
      </c>
      <c r="H2" s="92">
        <v>1</v>
      </c>
    </row>
    <row r="3" spans="1:8">
      <c r="A3" s="93" t="s">
        <v>1042</v>
      </c>
      <c r="B3" s="94" t="s">
        <v>1033</v>
      </c>
      <c r="C3" s="95" t="s">
        <v>1152</v>
      </c>
      <c r="D3" s="95">
        <v>43634</v>
      </c>
      <c r="E3" s="96">
        <v>43636</v>
      </c>
      <c r="F3" s="95">
        <v>43632</v>
      </c>
      <c r="G3" s="95">
        <v>43638</v>
      </c>
      <c r="H3" s="92">
        <v>3</v>
      </c>
    </row>
    <row r="4" spans="1:8">
      <c r="A4" s="93" t="s">
        <v>1043</v>
      </c>
      <c r="B4" s="94" t="s">
        <v>1034</v>
      </c>
      <c r="C4" s="95" t="s">
        <v>1152</v>
      </c>
      <c r="D4" s="95">
        <v>43634</v>
      </c>
      <c r="E4" s="96">
        <v>43636</v>
      </c>
      <c r="F4" s="95">
        <v>43632</v>
      </c>
      <c r="G4" s="95">
        <v>43638</v>
      </c>
      <c r="H4" s="92">
        <v>3</v>
      </c>
    </row>
    <row r="5" spans="1:8">
      <c r="A5" s="93" t="s">
        <v>1044</v>
      </c>
      <c r="B5" s="94" t="s">
        <v>1035</v>
      </c>
      <c r="C5" s="95" t="s">
        <v>1152</v>
      </c>
      <c r="D5" s="95">
        <v>43634</v>
      </c>
      <c r="E5" s="96">
        <v>43636</v>
      </c>
      <c r="F5" s="95">
        <v>43632</v>
      </c>
      <c r="G5" s="95">
        <v>43638</v>
      </c>
      <c r="H5" s="92">
        <v>3</v>
      </c>
    </row>
    <row r="6" spans="1:8">
      <c r="A6" s="93" t="s">
        <v>1045</v>
      </c>
      <c r="B6" s="94" t="s">
        <v>1036</v>
      </c>
      <c r="C6" s="95" t="s">
        <v>1152</v>
      </c>
      <c r="D6" s="95">
        <v>43636</v>
      </c>
      <c r="E6" s="96">
        <v>43637</v>
      </c>
      <c r="F6" s="95">
        <v>43632</v>
      </c>
      <c r="G6" s="95">
        <v>43638</v>
      </c>
      <c r="H6" s="92">
        <v>2</v>
      </c>
    </row>
    <row r="7" spans="1:8">
      <c r="A7" s="93" t="s">
        <v>1046</v>
      </c>
      <c r="B7" s="94" t="s">
        <v>1037</v>
      </c>
      <c r="C7" s="95" t="s">
        <v>1003</v>
      </c>
      <c r="D7" s="95">
        <v>43637</v>
      </c>
      <c r="E7" s="96">
        <v>43637</v>
      </c>
      <c r="F7" s="95">
        <v>43632</v>
      </c>
      <c r="G7" s="95">
        <v>43638</v>
      </c>
      <c r="H7" s="92">
        <v>1</v>
      </c>
    </row>
    <row r="8" spans="1:8">
      <c r="A8" s="93" t="s">
        <v>1055</v>
      </c>
      <c r="B8" s="94" t="s">
        <v>1049</v>
      </c>
      <c r="C8" s="95" t="s">
        <v>1159</v>
      </c>
      <c r="D8" s="95">
        <v>43635</v>
      </c>
      <c r="E8" s="96">
        <v>43637</v>
      </c>
      <c r="F8" s="95">
        <v>43632</v>
      </c>
      <c r="G8" s="95">
        <v>43638</v>
      </c>
      <c r="H8" s="92">
        <v>3</v>
      </c>
    </row>
    <row r="9" spans="1:8">
      <c r="A9" s="93" t="s">
        <v>1056</v>
      </c>
      <c r="B9" s="94" t="s">
        <v>1050</v>
      </c>
      <c r="C9" s="95" t="s">
        <v>1159</v>
      </c>
      <c r="D9" s="95">
        <v>43637</v>
      </c>
      <c r="E9" s="96">
        <v>43637</v>
      </c>
      <c r="F9" s="95">
        <v>43632</v>
      </c>
      <c r="G9" s="95">
        <v>43638</v>
      </c>
      <c r="H9" s="92">
        <v>1</v>
      </c>
    </row>
    <row r="10" spans="1:8">
      <c r="A10" s="93" t="s">
        <v>1057</v>
      </c>
      <c r="B10" s="94" t="s">
        <v>1051</v>
      </c>
      <c r="C10" s="95" t="s">
        <v>1003</v>
      </c>
      <c r="D10" s="95">
        <v>43637</v>
      </c>
      <c r="E10" s="96">
        <v>43642</v>
      </c>
      <c r="F10" s="95">
        <v>43632</v>
      </c>
      <c r="G10" s="95">
        <v>43638</v>
      </c>
      <c r="H10" s="92">
        <v>1</v>
      </c>
    </row>
    <row r="11" spans="1:8">
      <c r="A11" s="93" t="s">
        <v>1057</v>
      </c>
      <c r="B11" s="94" t="s">
        <v>1051</v>
      </c>
      <c r="C11" s="95" t="s">
        <v>1003</v>
      </c>
      <c r="D11" s="95">
        <v>43637</v>
      </c>
      <c r="E11" s="96">
        <v>43642</v>
      </c>
      <c r="F11" s="95">
        <v>43639</v>
      </c>
      <c r="G11" s="95">
        <v>43645</v>
      </c>
      <c r="H11" s="92">
        <v>3</v>
      </c>
    </row>
    <row r="12" spans="1:8">
      <c r="A12" s="93" t="s">
        <v>1058</v>
      </c>
      <c r="B12" s="94" t="s">
        <v>1052</v>
      </c>
      <c r="C12" s="95" t="s">
        <v>1003</v>
      </c>
      <c r="D12" s="95">
        <v>43642</v>
      </c>
      <c r="E12" s="96">
        <v>43645</v>
      </c>
      <c r="F12" s="95">
        <v>43639</v>
      </c>
      <c r="G12" s="95">
        <v>43645</v>
      </c>
      <c r="H12" s="92">
        <v>3</v>
      </c>
    </row>
    <row r="13" spans="1:8">
      <c r="A13" s="93" t="s">
        <v>1067</v>
      </c>
      <c r="B13" s="94" t="s">
        <v>1049</v>
      </c>
      <c r="C13" s="95" t="s">
        <v>1159</v>
      </c>
      <c r="D13" s="95">
        <v>43635</v>
      </c>
      <c r="E13" s="96">
        <v>43637</v>
      </c>
      <c r="F13" s="95">
        <v>43632</v>
      </c>
      <c r="G13" s="95">
        <v>43638</v>
      </c>
      <c r="H13" s="92">
        <v>3</v>
      </c>
    </row>
    <row r="14" spans="1:8">
      <c r="A14" s="93" t="s">
        <v>1068</v>
      </c>
      <c r="B14" s="94" t="s">
        <v>1050</v>
      </c>
      <c r="C14" s="95" t="s">
        <v>1159</v>
      </c>
      <c r="D14" s="95">
        <v>43637</v>
      </c>
      <c r="E14" s="96">
        <v>43637</v>
      </c>
      <c r="F14" s="95">
        <v>43632</v>
      </c>
      <c r="G14" s="95">
        <v>43638</v>
      </c>
      <c r="H14" s="92">
        <v>1</v>
      </c>
    </row>
    <row r="15" spans="1:8">
      <c r="A15" s="93" t="s">
        <v>1069</v>
      </c>
      <c r="B15" s="94" t="s">
        <v>1051</v>
      </c>
      <c r="C15" s="95" t="s">
        <v>1003</v>
      </c>
      <c r="D15" s="95">
        <v>43637</v>
      </c>
      <c r="E15" s="96">
        <v>43642</v>
      </c>
      <c r="F15" s="95">
        <v>43632</v>
      </c>
      <c r="G15" s="95">
        <v>43638</v>
      </c>
      <c r="H15" s="92">
        <v>1</v>
      </c>
    </row>
    <row r="16" spans="1:8">
      <c r="A16" s="93" t="s">
        <v>1069</v>
      </c>
      <c r="B16" s="94" t="s">
        <v>1051</v>
      </c>
      <c r="C16" s="95" t="s">
        <v>1003</v>
      </c>
      <c r="D16" s="95">
        <v>43637</v>
      </c>
      <c r="E16" s="96">
        <v>43642</v>
      </c>
      <c r="F16" s="95">
        <v>43639</v>
      </c>
      <c r="G16" s="95">
        <v>43645</v>
      </c>
      <c r="H16" s="92">
        <v>3</v>
      </c>
    </row>
    <row r="17" spans="1:8">
      <c r="A17" s="93" t="s">
        <v>1070</v>
      </c>
      <c r="B17" s="94" t="s">
        <v>1052</v>
      </c>
      <c r="C17" s="95" t="s">
        <v>1003</v>
      </c>
      <c r="D17" s="95">
        <v>43642</v>
      </c>
      <c r="E17" s="96">
        <v>43645</v>
      </c>
      <c r="F17" s="95">
        <v>43639</v>
      </c>
      <c r="G17" s="95">
        <v>43645</v>
      </c>
      <c r="H17" s="92">
        <v>3</v>
      </c>
    </row>
    <row r="18" spans="1:8">
      <c r="A18" s="93" t="s">
        <v>1072</v>
      </c>
      <c r="B18" s="94" t="s">
        <v>1049</v>
      </c>
      <c r="C18" s="95" t="s">
        <v>1159</v>
      </c>
      <c r="D18" s="95">
        <v>43635</v>
      </c>
      <c r="E18" s="96">
        <v>43637</v>
      </c>
      <c r="F18" s="95">
        <v>43632</v>
      </c>
      <c r="G18" s="95">
        <v>43638</v>
      </c>
      <c r="H18" s="92">
        <v>3</v>
      </c>
    </row>
    <row r="19" spans="1:8">
      <c r="A19" s="93" t="s">
        <v>1073</v>
      </c>
      <c r="B19" s="94" t="s">
        <v>1050</v>
      </c>
      <c r="C19" s="95" t="s">
        <v>1159</v>
      </c>
      <c r="D19" s="95">
        <v>43637</v>
      </c>
      <c r="E19" s="96">
        <v>43637</v>
      </c>
      <c r="F19" s="95">
        <v>43632</v>
      </c>
      <c r="G19" s="95">
        <v>43638</v>
      </c>
      <c r="H19" s="92">
        <v>1</v>
      </c>
    </row>
    <row r="20" spans="1:8">
      <c r="A20" s="93" t="s">
        <v>1074</v>
      </c>
      <c r="B20" s="94" t="s">
        <v>1051</v>
      </c>
      <c r="C20" s="95" t="s">
        <v>1159</v>
      </c>
      <c r="D20" s="95">
        <v>43637</v>
      </c>
      <c r="E20" s="96">
        <v>43642</v>
      </c>
      <c r="F20" s="95">
        <v>43632</v>
      </c>
      <c r="G20" s="95">
        <v>43638</v>
      </c>
      <c r="H20" s="92">
        <v>1</v>
      </c>
    </row>
    <row r="21" spans="1:8">
      <c r="A21" s="93" t="s">
        <v>1074</v>
      </c>
      <c r="B21" s="94" t="s">
        <v>1051</v>
      </c>
      <c r="C21" s="95" t="s">
        <v>1159</v>
      </c>
      <c r="D21" s="95">
        <v>43637</v>
      </c>
      <c r="E21" s="96">
        <v>43642</v>
      </c>
      <c r="F21" s="95">
        <v>43639</v>
      </c>
      <c r="G21" s="95">
        <v>43645</v>
      </c>
      <c r="H21" s="92">
        <v>3</v>
      </c>
    </row>
    <row r="22" spans="1:8">
      <c r="A22" s="93" t="s">
        <v>1075</v>
      </c>
      <c r="B22" s="94" t="s">
        <v>1052</v>
      </c>
      <c r="C22" s="95" t="s">
        <v>1003</v>
      </c>
      <c r="D22" s="95">
        <v>43642</v>
      </c>
      <c r="E22" s="96">
        <v>43645</v>
      </c>
      <c r="F22" s="95">
        <v>43639</v>
      </c>
      <c r="G22" s="95">
        <v>43645</v>
      </c>
      <c r="H22" s="92">
        <v>3</v>
      </c>
    </row>
    <row r="23" spans="1:8">
      <c r="A23" s="93" t="s">
        <v>1077</v>
      </c>
      <c r="B23" s="94" t="s">
        <v>1049</v>
      </c>
      <c r="C23" s="95" t="s">
        <v>1159</v>
      </c>
      <c r="D23" s="95">
        <v>43635</v>
      </c>
      <c r="E23" s="96">
        <v>43637</v>
      </c>
      <c r="F23" s="95">
        <v>43632</v>
      </c>
      <c r="G23" s="95">
        <v>43638</v>
      </c>
      <c r="H23" s="92">
        <v>3</v>
      </c>
    </row>
    <row r="24" spans="1:8">
      <c r="A24" s="93" t="s">
        <v>1078</v>
      </c>
      <c r="B24" s="94" t="s">
        <v>1050</v>
      </c>
      <c r="C24" s="95" t="s">
        <v>1159</v>
      </c>
      <c r="D24" s="95">
        <v>43637</v>
      </c>
      <c r="E24" s="96">
        <v>43637</v>
      </c>
      <c r="F24" s="95">
        <v>43632</v>
      </c>
      <c r="G24" s="95">
        <v>43638</v>
      </c>
      <c r="H24" s="92">
        <v>1</v>
      </c>
    </row>
    <row r="25" spans="1:8">
      <c r="A25" s="93" t="s">
        <v>1079</v>
      </c>
      <c r="B25" s="94" t="s">
        <v>1051</v>
      </c>
      <c r="C25" s="95" t="s">
        <v>1159</v>
      </c>
      <c r="D25" s="95">
        <v>43637</v>
      </c>
      <c r="E25" s="96">
        <v>43642</v>
      </c>
      <c r="F25" s="95">
        <v>43632</v>
      </c>
      <c r="G25" s="95">
        <v>43638</v>
      </c>
      <c r="H25" s="92">
        <v>1</v>
      </c>
    </row>
    <row r="26" spans="1:8">
      <c r="A26" s="93" t="s">
        <v>1079</v>
      </c>
      <c r="B26" s="94" t="s">
        <v>1051</v>
      </c>
      <c r="C26" s="95" t="s">
        <v>1159</v>
      </c>
      <c r="D26" s="95">
        <v>43637</v>
      </c>
      <c r="E26" s="96">
        <v>43642</v>
      </c>
      <c r="F26" s="95">
        <v>43639</v>
      </c>
      <c r="G26" s="95">
        <v>43645</v>
      </c>
      <c r="H26" s="92">
        <v>3</v>
      </c>
    </row>
    <row r="27" spans="1:8">
      <c r="A27" s="93" t="s">
        <v>1080</v>
      </c>
      <c r="B27" s="94" t="s">
        <v>1052</v>
      </c>
      <c r="C27" s="95" t="s">
        <v>1003</v>
      </c>
      <c r="D27" s="95">
        <v>43642</v>
      </c>
      <c r="E27" s="96">
        <v>43645</v>
      </c>
      <c r="F27" s="95">
        <v>43639</v>
      </c>
      <c r="G27" s="95">
        <v>43645</v>
      </c>
      <c r="H27" s="92">
        <v>3</v>
      </c>
    </row>
    <row r="28" spans="1:8">
      <c r="A28" s="93" t="s">
        <v>1086</v>
      </c>
      <c r="B28" s="94" t="s">
        <v>1065</v>
      </c>
      <c r="C28" s="95" t="s">
        <v>1157</v>
      </c>
      <c r="D28" s="95">
        <v>43637</v>
      </c>
      <c r="E28" s="96">
        <v>43642</v>
      </c>
      <c r="F28" s="95">
        <v>43632</v>
      </c>
      <c r="G28" s="95">
        <v>43638</v>
      </c>
      <c r="H28" s="92">
        <v>1</v>
      </c>
    </row>
    <row r="29" spans="1:8">
      <c r="A29" s="93" t="s">
        <v>1086</v>
      </c>
      <c r="B29" s="94" t="s">
        <v>1065</v>
      </c>
      <c r="C29" s="95" t="s">
        <v>1157</v>
      </c>
      <c r="D29" s="95">
        <v>43637</v>
      </c>
      <c r="E29" s="96">
        <v>43642</v>
      </c>
      <c r="F29" s="95">
        <v>43639</v>
      </c>
      <c r="G29" s="95">
        <v>43645</v>
      </c>
      <c r="H29" s="92">
        <v>3</v>
      </c>
    </row>
    <row r="30" spans="1:8">
      <c r="A30" s="93" t="s">
        <v>1087</v>
      </c>
      <c r="B30" s="94" t="s">
        <v>1063</v>
      </c>
      <c r="C30" s="95" t="s">
        <v>1159</v>
      </c>
      <c r="D30" s="95">
        <v>43637</v>
      </c>
      <c r="E30" s="96">
        <v>43642</v>
      </c>
      <c r="F30" s="95">
        <v>43632</v>
      </c>
      <c r="G30" s="95">
        <v>43638</v>
      </c>
      <c r="H30" s="92">
        <v>1</v>
      </c>
    </row>
    <row r="31" spans="1:8">
      <c r="A31" s="93" t="s">
        <v>1087</v>
      </c>
      <c r="B31" s="94" t="s">
        <v>1063</v>
      </c>
      <c r="C31" s="95" t="s">
        <v>1159</v>
      </c>
      <c r="D31" s="95">
        <v>43637</v>
      </c>
      <c r="E31" s="96">
        <v>43642</v>
      </c>
      <c r="F31" s="95">
        <v>43639</v>
      </c>
      <c r="G31" s="95">
        <v>43645</v>
      </c>
      <c r="H31" s="92">
        <v>3</v>
      </c>
    </row>
    <row r="32" spans="1:8">
      <c r="A32" s="93" t="s">
        <v>1088</v>
      </c>
      <c r="B32" s="94" t="s">
        <v>1064</v>
      </c>
      <c r="C32" s="95" t="s">
        <v>1161</v>
      </c>
      <c r="D32" s="95">
        <v>43637</v>
      </c>
      <c r="E32" s="96">
        <v>43642</v>
      </c>
      <c r="F32" s="95">
        <v>43632</v>
      </c>
      <c r="G32" s="95">
        <v>43638</v>
      </c>
      <c r="H32" s="92">
        <v>1</v>
      </c>
    </row>
    <row r="33" spans="1:8">
      <c r="A33" s="93" t="s">
        <v>1088</v>
      </c>
      <c r="B33" s="94" t="s">
        <v>1064</v>
      </c>
      <c r="C33" s="95" t="s">
        <v>1161</v>
      </c>
      <c r="D33" s="95">
        <v>43637</v>
      </c>
      <c r="E33" s="96">
        <v>43642</v>
      </c>
      <c r="F33" s="95">
        <v>43639</v>
      </c>
      <c r="G33" s="95">
        <v>43645</v>
      </c>
      <c r="H33" s="92">
        <v>3</v>
      </c>
    </row>
    <row r="34" spans="1:8">
      <c r="A34" s="93" t="s">
        <v>1127</v>
      </c>
      <c r="B34" s="94" t="s">
        <v>1109</v>
      </c>
      <c r="C34" s="95" t="s">
        <v>1003</v>
      </c>
      <c r="D34" s="95">
        <v>43626</v>
      </c>
      <c r="E34" s="96">
        <v>43674</v>
      </c>
      <c r="F34" s="95">
        <v>43626</v>
      </c>
      <c r="G34" s="95">
        <v>43631</v>
      </c>
      <c r="H34" s="92">
        <v>5</v>
      </c>
    </row>
    <row r="35" spans="1:8">
      <c r="A35" s="93" t="s">
        <v>1127</v>
      </c>
      <c r="B35" s="94" t="s">
        <v>1109</v>
      </c>
      <c r="C35" s="95" t="s">
        <v>1003</v>
      </c>
      <c r="D35" s="95">
        <v>43626</v>
      </c>
      <c r="E35" s="96">
        <v>43674</v>
      </c>
      <c r="F35" s="95">
        <v>43632</v>
      </c>
      <c r="G35" s="95">
        <v>43638</v>
      </c>
      <c r="H35" s="92">
        <v>5</v>
      </c>
    </row>
    <row r="36" spans="1:8">
      <c r="A36" s="93" t="s">
        <v>1127</v>
      </c>
      <c r="B36" s="94" t="s">
        <v>1109</v>
      </c>
      <c r="C36" s="95" t="s">
        <v>1003</v>
      </c>
      <c r="D36" s="95">
        <v>43626</v>
      </c>
      <c r="E36" s="96">
        <v>43674</v>
      </c>
      <c r="F36" s="95">
        <v>43639</v>
      </c>
      <c r="G36" s="95">
        <v>43645</v>
      </c>
      <c r="H36" s="92">
        <v>5</v>
      </c>
    </row>
    <row r="37" spans="1:8">
      <c r="A37" s="93" t="s">
        <v>1127</v>
      </c>
      <c r="B37" s="94" t="s">
        <v>1109</v>
      </c>
      <c r="C37" s="95" t="s">
        <v>1003</v>
      </c>
      <c r="D37" s="95">
        <v>43626</v>
      </c>
      <c r="E37" s="96">
        <v>43674</v>
      </c>
      <c r="F37" s="95">
        <v>43646</v>
      </c>
      <c r="G37" s="95">
        <v>43652</v>
      </c>
      <c r="H37" s="92">
        <v>5</v>
      </c>
    </row>
    <row r="38" spans="1:8">
      <c r="A38" s="93" t="s">
        <v>1127</v>
      </c>
      <c r="B38" s="94" t="s">
        <v>1109</v>
      </c>
      <c r="C38" s="95" t="s">
        <v>1003</v>
      </c>
      <c r="D38" s="95">
        <v>43626</v>
      </c>
      <c r="E38" s="96">
        <v>43674</v>
      </c>
      <c r="F38" s="95">
        <v>43653</v>
      </c>
      <c r="G38" s="95">
        <v>43659</v>
      </c>
      <c r="H38" s="92">
        <v>5</v>
      </c>
    </row>
    <row r="39" spans="1:8">
      <c r="A39" s="93" t="s">
        <v>1127</v>
      </c>
      <c r="B39" s="94" t="s">
        <v>1109</v>
      </c>
      <c r="C39" s="95" t="s">
        <v>1003</v>
      </c>
      <c r="D39" s="95">
        <v>43626</v>
      </c>
      <c r="E39" s="96">
        <v>43674</v>
      </c>
      <c r="F39" s="95">
        <v>43660</v>
      </c>
      <c r="G39" s="95">
        <v>43666</v>
      </c>
      <c r="H39" s="92">
        <v>5</v>
      </c>
    </row>
    <row r="40" spans="1:8">
      <c r="A40" s="93" t="s">
        <v>1127</v>
      </c>
      <c r="B40" s="94" t="s">
        <v>1109</v>
      </c>
      <c r="C40" s="95" t="s">
        <v>1003</v>
      </c>
      <c r="D40" s="95">
        <v>43626</v>
      </c>
      <c r="E40" s="96">
        <v>43674</v>
      </c>
      <c r="F40" s="95">
        <v>43667</v>
      </c>
      <c r="G40" s="95">
        <v>43673</v>
      </c>
      <c r="H40" s="92">
        <v>5</v>
      </c>
    </row>
    <row r="41" spans="1:8">
      <c r="A41" s="93" t="s">
        <v>1127</v>
      </c>
      <c r="B41" s="94" t="s">
        <v>1109</v>
      </c>
      <c r="C41" s="95" t="s">
        <v>1003</v>
      </c>
      <c r="D41" s="95">
        <v>43626</v>
      </c>
      <c r="E41" s="96">
        <v>43674</v>
      </c>
      <c r="F41" s="95">
        <v>43674</v>
      </c>
      <c r="G41" s="95">
        <v>43680</v>
      </c>
      <c r="H41" s="92">
        <v>0</v>
      </c>
    </row>
    <row r="42" spans="1:8">
      <c r="A42" s="93" t="s">
        <v>1128</v>
      </c>
      <c r="B42" s="94" t="s">
        <v>1110</v>
      </c>
      <c r="C42" s="95" t="s">
        <v>1003</v>
      </c>
      <c r="D42" s="95">
        <v>43626</v>
      </c>
      <c r="E42" s="96">
        <v>43674</v>
      </c>
      <c r="F42" s="95">
        <v>43626</v>
      </c>
      <c r="G42" s="95">
        <v>43631</v>
      </c>
      <c r="H42" s="92">
        <v>5</v>
      </c>
    </row>
    <row r="43" spans="1:8">
      <c r="A43" s="93" t="s">
        <v>1128</v>
      </c>
      <c r="B43" s="94" t="s">
        <v>1110</v>
      </c>
      <c r="C43" s="95" t="s">
        <v>1003</v>
      </c>
      <c r="D43" s="95">
        <v>43626</v>
      </c>
      <c r="E43" s="96">
        <v>43674</v>
      </c>
      <c r="F43" s="95">
        <v>43632</v>
      </c>
      <c r="G43" s="95">
        <v>43638</v>
      </c>
      <c r="H43" s="92">
        <v>5</v>
      </c>
    </row>
    <row r="44" spans="1:8">
      <c r="A44" s="93" t="s">
        <v>1128</v>
      </c>
      <c r="B44" s="94" t="s">
        <v>1110</v>
      </c>
      <c r="C44" s="95" t="s">
        <v>1003</v>
      </c>
      <c r="D44" s="95">
        <v>43626</v>
      </c>
      <c r="E44" s="96">
        <v>43674</v>
      </c>
      <c r="F44" s="95">
        <v>43639</v>
      </c>
      <c r="G44" s="95">
        <v>43645</v>
      </c>
      <c r="H44" s="92">
        <v>5</v>
      </c>
    </row>
    <row r="45" spans="1:8">
      <c r="A45" s="93" t="s">
        <v>1128</v>
      </c>
      <c r="B45" s="94" t="s">
        <v>1110</v>
      </c>
      <c r="C45" s="95" t="s">
        <v>1003</v>
      </c>
      <c r="D45" s="95">
        <v>43626</v>
      </c>
      <c r="E45" s="96">
        <v>43674</v>
      </c>
      <c r="F45" s="95">
        <v>43646</v>
      </c>
      <c r="G45" s="95">
        <v>43652</v>
      </c>
      <c r="H45" s="92">
        <v>5</v>
      </c>
    </row>
    <row r="46" spans="1:8">
      <c r="A46" s="93" t="s">
        <v>1128</v>
      </c>
      <c r="B46" s="94" t="s">
        <v>1110</v>
      </c>
      <c r="C46" s="95" t="s">
        <v>1003</v>
      </c>
      <c r="D46" s="95">
        <v>43626</v>
      </c>
      <c r="E46" s="96">
        <v>43674</v>
      </c>
      <c r="F46" s="95">
        <v>43653</v>
      </c>
      <c r="G46" s="95">
        <v>43659</v>
      </c>
      <c r="H46" s="92">
        <v>5</v>
      </c>
    </row>
    <row r="47" spans="1:8">
      <c r="A47" s="93" t="s">
        <v>1128</v>
      </c>
      <c r="B47" s="94" t="s">
        <v>1110</v>
      </c>
      <c r="C47" s="95" t="s">
        <v>1003</v>
      </c>
      <c r="D47" s="95">
        <v>43626</v>
      </c>
      <c r="E47" s="96">
        <v>43674</v>
      </c>
      <c r="F47" s="95">
        <v>43660</v>
      </c>
      <c r="G47" s="95">
        <v>43666</v>
      </c>
      <c r="H47" s="92">
        <v>5</v>
      </c>
    </row>
    <row r="48" spans="1:8">
      <c r="A48" s="93" t="s">
        <v>1128</v>
      </c>
      <c r="B48" s="94" t="s">
        <v>1110</v>
      </c>
      <c r="C48" s="95" t="s">
        <v>1003</v>
      </c>
      <c r="D48" s="95">
        <v>43626</v>
      </c>
      <c r="E48" s="96">
        <v>43674</v>
      </c>
      <c r="F48" s="95">
        <v>43667</v>
      </c>
      <c r="G48" s="95">
        <v>43673</v>
      </c>
      <c r="H48" s="92">
        <v>5</v>
      </c>
    </row>
    <row r="49" spans="1:8">
      <c r="A49" s="93" t="s">
        <v>1128</v>
      </c>
      <c r="B49" s="94" t="s">
        <v>1110</v>
      </c>
      <c r="C49" s="95" t="s">
        <v>1003</v>
      </c>
      <c r="D49" s="95">
        <v>43626</v>
      </c>
      <c r="E49" s="96">
        <v>43674</v>
      </c>
      <c r="F49" s="95">
        <v>43674</v>
      </c>
      <c r="G49" s="95">
        <v>43680</v>
      </c>
      <c r="H49" s="92">
        <v>0</v>
      </c>
    </row>
    <row r="50" spans="1:8">
      <c r="A50" s="93" t="s">
        <v>1129</v>
      </c>
      <c r="B50" s="94" t="s">
        <v>1111</v>
      </c>
      <c r="C50" s="95" t="s">
        <v>1003</v>
      </c>
      <c r="D50" s="95">
        <v>43626</v>
      </c>
      <c r="E50" s="96">
        <v>43674</v>
      </c>
      <c r="F50" s="95">
        <v>43626</v>
      </c>
      <c r="G50" s="95">
        <v>43631</v>
      </c>
      <c r="H50" s="92">
        <v>5</v>
      </c>
    </row>
    <row r="51" spans="1:8">
      <c r="A51" s="93" t="s">
        <v>1129</v>
      </c>
      <c r="B51" s="94" t="s">
        <v>1111</v>
      </c>
      <c r="C51" s="95" t="s">
        <v>1003</v>
      </c>
      <c r="D51" s="95">
        <v>43626</v>
      </c>
      <c r="E51" s="96">
        <v>43674</v>
      </c>
      <c r="F51" s="95">
        <v>43632</v>
      </c>
      <c r="G51" s="95">
        <v>43638</v>
      </c>
      <c r="H51" s="92">
        <v>5</v>
      </c>
    </row>
    <row r="52" spans="1:8">
      <c r="A52" s="93" t="s">
        <v>1129</v>
      </c>
      <c r="B52" s="94" t="s">
        <v>1111</v>
      </c>
      <c r="C52" s="95" t="s">
        <v>1003</v>
      </c>
      <c r="D52" s="95">
        <v>43626</v>
      </c>
      <c r="E52" s="96">
        <v>43674</v>
      </c>
      <c r="F52" s="95">
        <v>43639</v>
      </c>
      <c r="G52" s="95">
        <v>43645</v>
      </c>
      <c r="H52" s="92">
        <v>5</v>
      </c>
    </row>
    <row r="53" spans="1:8">
      <c r="A53" s="93" t="s">
        <v>1129</v>
      </c>
      <c r="B53" s="94" t="s">
        <v>1111</v>
      </c>
      <c r="C53" s="95" t="s">
        <v>1003</v>
      </c>
      <c r="D53" s="95">
        <v>43626</v>
      </c>
      <c r="E53" s="96">
        <v>43674</v>
      </c>
      <c r="F53" s="95">
        <v>43646</v>
      </c>
      <c r="G53" s="95">
        <v>43652</v>
      </c>
      <c r="H53" s="92">
        <v>5</v>
      </c>
    </row>
    <row r="54" spans="1:8">
      <c r="A54" s="93" t="s">
        <v>1129</v>
      </c>
      <c r="B54" s="94" t="s">
        <v>1111</v>
      </c>
      <c r="C54" s="95" t="s">
        <v>1003</v>
      </c>
      <c r="D54" s="95">
        <v>43626</v>
      </c>
      <c r="E54" s="96">
        <v>43674</v>
      </c>
      <c r="F54" s="95">
        <v>43653</v>
      </c>
      <c r="G54" s="95">
        <v>43659</v>
      </c>
      <c r="H54" s="92">
        <v>5</v>
      </c>
    </row>
    <row r="55" spans="1:8">
      <c r="A55" s="93" t="s">
        <v>1129</v>
      </c>
      <c r="B55" s="94" t="s">
        <v>1111</v>
      </c>
      <c r="C55" s="95" t="s">
        <v>1003</v>
      </c>
      <c r="D55" s="95">
        <v>43626</v>
      </c>
      <c r="E55" s="96">
        <v>43674</v>
      </c>
      <c r="F55" s="95">
        <v>43660</v>
      </c>
      <c r="G55" s="95">
        <v>43666</v>
      </c>
      <c r="H55" s="92">
        <v>5</v>
      </c>
    </row>
    <row r="56" spans="1:8">
      <c r="A56" s="93" t="s">
        <v>1129</v>
      </c>
      <c r="B56" s="94" t="s">
        <v>1111</v>
      </c>
      <c r="C56" s="95" t="s">
        <v>1003</v>
      </c>
      <c r="D56" s="95">
        <v>43626</v>
      </c>
      <c r="E56" s="96">
        <v>43674</v>
      </c>
      <c r="F56" s="95">
        <v>43667</v>
      </c>
      <c r="G56" s="95">
        <v>43673</v>
      </c>
      <c r="H56" s="92">
        <v>5</v>
      </c>
    </row>
    <row r="57" spans="1:8">
      <c r="A57" s="93" t="s">
        <v>1129</v>
      </c>
      <c r="B57" s="94" t="s">
        <v>1111</v>
      </c>
      <c r="C57" s="95" t="s">
        <v>1003</v>
      </c>
      <c r="D57" s="95">
        <v>43626</v>
      </c>
      <c r="E57" s="96">
        <v>43674</v>
      </c>
      <c r="F57" s="95">
        <v>43674</v>
      </c>
      <c r="G57" s="95">
        <v>43680</v>
      </c>
      <c r="H57" s="92">
        <v>0</v>
      </c>
    </row>
    <row r="58" spans="1:8">
      <c r="G58" s="92" t="s">
        <v>4</v>
      </c>
      <c r="H58" s="92">
        <f>SUM(H2:H57)</f>
        <v>174</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F216"/>
  <sheetViews>
    <sheetView tabSelected="1" zoomScale="85" zoomScaleNormal="85" zoomScalePageLayoutView="55" workbookViewId="0">
      <pane ySplit="4" topLeftCell="A8" activePane="bottomLeft" state="frozen"/>
      <selection activeCell="E5" sqref="E5"/>
      <selection pane="bottomLeft" activeCell="D5" sqref="D5"/>
    </sheetView>
  </sheetViews>
  <sheetFormatPr defaultColWidth="10" defaultRowHeight="12" outlineLevelRow="3"/>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1992187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84" width="1.8984375" style="114" customWidth="1"/>
    <col min="85" max="16384" width="10" style="114"/>
  </cols>
  <sheetData>
    <row r="1" spans="1:84" s="197" customFormat="1" ht="19.95" customHeight="1">
      <c r="A1" s="203"/>
      <c r="B1" s="204"/>
      <c r="C1" s="203"/>
      <c r="D1" s="204" t="str">
        <f ca="1">xlgantt.ProjectName()</f>
        <v>건강 관리 앱 제작 프로젝트</v>
      </c>
      <c r="E1" s="205"/>
      <c r="F1" s="205"/>
      <c r="G1" s="205"/>
      <c r="H1" s="205"/>
      <c r="I1" s="205"/>
      <c r="J1" s="205"/>
      <c r="K1" s="205"/>
      <c r="L1" s="205"/>
      <c r="M1" s="205"/>
      <c r="N1" s="206"/>
      <c r="O1" s="207"/>
      <c r="P1" s="208"/>
      <c r="Q1" s="208"/>
      <c r="R1" s="209"/>
      <c r="S1" s="209"/>
      <c r="T1" s="210"/>
      <c r="U1" s="210"/>
      <c r="V1" s="204"/>
      <c r="W1" s="211"/>
      <c r="X1" s="212"/>
      <c r="Y1" s="213"/>
      <c r="Z1" s="214"/>
      <c r="AA1" s="215"/>
      <c r="AB1" s="216" t="str">
        <f ca="1">xlgantt.ProjectProgressString()</f>
        <v>2019-06-10~2019-07-28 [계획:57.47% 실적:25.86%]</v>
      </c>
      <c r="AC1" s="228" t="s">
        <v>985</v>
      </c>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row>
    <row r="2" spans="1:84" s="197" customFormat="1" ht="15" customHeight="1">
      <c r="A2" s="217"/>
      <c r="B2" s="217"/>
      <c r="C2" s="217"/>
      <c r="D2" s="239"/>
      <c r="E2" s="239"/>
      <c r="F2" s="239"/>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84" s="1" customFormat="1" ht="19.95" customHeight="1">
      <c r="A3" s="230" t="s">
        <v>1216</v>
      </c>
      <c r="B3" s="232" t="s">
        <v>1019</v>
      </c>
      <c r="C3" s="234" t="s">
        <v>1217</v>
      </c>
      <c r="D3" s="235" t="s">
        <v>1218</v>
      </c>
      <c r="E3" s="236" t="s">
        <v>1202</v>
      </c>
      <c r="F3" s="237"/>
      <c r="G3" s="237"/>
      <c r="H3" s="237"/>
      <c r="I3" s="237"/>
      <c r="J3" s="237"/>
      <c r="K3" s="238"/>
      <c r="L3" s="240" t="s">
        <v>1188</v>
      </c>
      <c r="M3" s="240" t="s">
        <v>1219</v>
      </c>
      <c r="N3" s="240" t="s">
        <v>1220</v>
      </c>
      <c r="O3" s="241" t="s">
        <v>1221</v>
      </c>
      <c r="P3" s="242" t="s">
        <v>1222</v>
      </c>
      <c r="Q3" s="242" t="s">
        <v>1223</v>
      </c>
      <c r="R3" s="242" t="s">
        <v>1175</v>
      </c>
      <c r="S3" s="242" t="s">
        <v>1176</v>
      </c>
      <c r="T3" s="244" t="s">
        <v>1215</v>
      </c>
      <c r="U3" s="244" t="s">
        <v>1189</v>
      </c>
      <c r="V3" s="245" t="s">
        <v>1224</v>
      </c>
      <c r="W3" s="246" t="s">
        <v>1173</v>
      </c>
      <c r="X3" s="247" t="s">
        <v>1225</v>
      </c>
      <c r="Y3" s="240" t="s">
        <v>1226</v>
      </c>
      <c r="Z3" s="232" t="s">
        <v>1227</v>
      </c>
      <c r="AA3" s="248" t="s">
        <v>1177</v>
      </c>
      <c r="AB3" s="243" t="s">
        <v>1228</v>
      </c>
      <c r="AC3" s="226">
        <v>43625</v>
      </c>
      <c r="AD3" s="227"/>
      <c r="AE3" s="227"/>
      <c r="AF3" s="227"/>
      <c r="AG3" s="227">
        <v>43653</v>
      </c>
      <c r="AH3" s="227"/>
      <c r="AI3" s="227"/>
      <c r="AJ3" s="229"/>
    </row>
    <row r="4" spans="1:84" s="2" customFormat="1" ht="4.95" customHeight="1">
      <c r="A4" s="231"/>
      <c r="B4" s="233"/>
      <c r="C4" s="230"/>
      <c r="D4" s="235"/>
      <c r="E4" s="236"/>
      <c r="F4" s="237"/>
      <c r="G4" s="237"/>
      <c r="H4" s="237"/>
      <c r="I4" s="237"/>
      <c r="J4" s="237"/>
      <c r="K4" s="238"/>
      <c r="L4" s="240"/>
      <c r="M4" s="240"/>
      <c r="N4" s="240"/>
      <c r="O4" s="241"/>
      <c r="P4" s="242"/>
      <c r="Q4" s="242"/>
      <c r="R4" s="242"/>
      <c r="S4" s="242"/>
      <c r="T4" s="240"/>
      <c r="U4" s="240"/>
      <c r="V4" s="245"/>
      <c r="W4" s="246"/>
      <c r="X4" s="247"/>
      <c r="Y4" s="240"/>
      <c r="Z4" s="232"/>
      <c r="AA4" s="248"/>
      <c r="AB4" s="243"/>
      <c r="AC4" s="112">
        <v>43625</v>
      </c>
      <c r="AD4" s="113">
        <v>43632</v>
      </c>
      <c r="AE4" s="113">
        <v>43639</v>
      </c>
      <c r="AF4" s="113">
        <v>43646</v>
      </c>
      <c r="AG4" s="113">
        <v>43653</v>
      </c>
      <c r="AH4" s="113">
        <v>43660</v>
      </c>
      <c r="AI4" s="113">
        <v>43667</v>
      </c>
      <c r="AJ4" s="115">
        <v>43674</v>
      </c>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row>
    <row r="5" spans="1:84">
      <c r="A5" s="116"/>
      <c r="B5" s="116" t="s">
        <v>976</v>
      </c>
      <c r="C5" s="116">
        <v>1</v>
      </c>
      <c r="D5" s="218" t="s">
        <v>977</v>
      </c>
      <c r="E5" s="163" t="s">
        <v>1016</v>
      </c>
      <c r="F5" s="163"/>
      <c r="G5" s="163"/>
      <c r="H5" s="163"/>
      <c r="I5" s="163"/>
      <c r="J5" s="163"/>
      <c r="K5" s="163"/>
      <c r="L5" s="163"/>
      <c r="M5" s="164">
        <v>43626</v>
      </c>
      <c r="N5" s="164">
        <v>43626</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6/10-6/10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outlineLevel="1">
      <c r="A6" s="116"/>
      <c r="B6" s="116" t="s">
        <v>976</v>
      </c>
      <c r="C6" s="116">
        <v>2</v>
      </c>
      <c r="D6" s="218" t="s">
        <v>978</v>
      </c>
      <c r="E6" s="163"/>
      <c r="F6" s="163" t="s">
        <v>0</v>
      </c>
      <c r="G6" s="163"/>
      <c r="H6" s="163"/>
      <c r="I6" s="163"/>
      <c r="J6" s="163"/>
      <c r="K6" s="163"/>
      <c r="L6" s="163"/>
      <c r="M6" s="164">
        <v>43626</v>
      </c>
      <c r="N6" s="164">
        <v>43626</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6/10-6/10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outlineLevel="2">
      <c r="A7" s="116"/>
      <c r="B7" s="116"/>
      <c r="C7" s="116">
        <v>3</v>
      </c>
      <c r="D7" s="218" t="s">
        <v>955</v>
      </c>
      <c r="E7" s="163"/>
      <c r="F7" s="163"/>
      <c r="G7" s="163" t="s">
        <v>1020</v>
      </c>
      <c r="H7" s="163"/>
      <c r="I7" s="163"/>
      <c r="J7" s="163"/>
      <c r="K7" s="163"/>
      <c r="L7" s="163"/>
      <c r="M7" s="164">
        <v>43626</v>
      </c>
      <c r="N7" s="164">
        <v>43626</v>
      </c>
      <c r="O7" s="165"/>
      <c r="P7" s="166">
        <v>1</v>
      </c>
      <c r="Q7" s="166">
        <v>1</v>
      </c>
      <c r="R7" s="167">
        <v>1</v>
      </c>
      <c r="S7" s="167">
        <v>1</v>
      </c>
      <c r="T7" s="164"/>
      <c r="U7" s="164"/>
      <c r="V7" s="168"/>
      <c r="W7" s="169">
        <v>0</v>
      </c>
      <c r="X7" s="170">
        <v>1</v>
      </c>
      <c r="Y7" s="223" t="s">
        <v>1152</v>
      </c>
      <c r="Z7" s="171"/>
      <c r="AA7" s="97">
        <v>1</v>
      </c>
      <c r="AB7" s="172">
        <v>1</v>
      </c>
      <c r="AC7" s="123" t="str">
        <f>"  " &amp; TEXT(AB7,"#0.00%") &amp; " " &amp; "킥오프 / 일정 협의" &amp; "(공통)" &amp; " " &amp; IF(M7="","",TEXT(M7,"M/D-")) &amp; IF(N7="","",TEXT(N7,"M/D")) &amp; " "</f>
        <v xml:space="preserve">  100.00% 킥오프 / 일정 협의(공통) 6/10-6/10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c r="A8" s="116"/>
      <c r="B8" s="116" t="s">
        <v>976</v>
      </c>
      <c r="C8" s="116">
        <v>1</v>
      </c>
      <c r="D8" s="218" t="s">
        <v>979</v>
      </c>
      <c r="E8" s="163" t="s">
        <v>960</v>
      </c>
      <c r="F8" s="163"/>
      <c r="G8" s="163"/>
      <c r="H8" s="163"/>
      <c r="I8" s="163"/>
      <c r="J8" s="163"/>
      <c r="K8" s="163"/>
      <c r="L8" s="163"/>
      <c r="M8" s="164"/>
      <c r="N8" s="164"/>
      <c r="O8" s="165"/>
      <c r="P8" s="166">
        <v>0</v>
      </c>
      <c r="Q8" s="166">
        <v>0</v>
      </c>
      <c r="R8" s="167">
        <v>0</v>
      </c>
      <c r="S8" s="167">
        <v>0</v>
      </c>
      <c r="T8" s="164"/>
      <c r="U8" s="164"/>
      <c r="V8" s="168">
        <v>0</v>
      </c>
      <c r="W8" s="169">
        <v>0</v>
      </c>
      <c r="X8" s="170"/>
      <c r="Y8" s="165"/>
      <c r="Z8" s="171"/>
      <c r="AA8" s="97">
        <v>0</v>
      </c>
      <c r="AB8" s="172">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outlineLevel="1">
      <c r="A9" s="116"/>
      <c r="B9" s="116" t="s">
        <v>976</v>
      </c>
      <c r="C9" s="116">
        <v>2</v>
      </c>
      <c r="D9" s="218" t="s">
        <v>980</v>
      </c>
      <c r="E9" s="163"/>
      <c r="F9" s="163" t="s">
        <v>1021</v>
      </c>
      <c r="G9" s="163"/>
      <c r="H9" s="163"/>
      <c r="I9" s="163"/>
      <c r="J9" s="163"/>
      <c r="K9" s="163"/>
      <c r="L9" s="163"/>
      <c r="M9" s="164"/>
      <c r="N9" s="164"/>
      <c r="O9" s="165"/>
      <c r="P9" s="166">
        <v>0</v>
      </c>
      <c r="Q9" s="166">
        <v>0</v>
      </c>
      <c r="R9" s="167">
        <v>0</v>
      </c>
      <c r="S9" s="167">
        <v>0</v>
      </c>
      <c r="T9" s="164"/>
      <c r="U9" s="164"/>
      <c r="V9" s="168">
        <v>0</v>
      </c>
      <c r="W9" s="169">
        <v>0</v>
      </c>
      <c r="X9" s="170"/>
      <c r="Y9" s="165"/>
      <c r="Z9" s="171"/>
      <c r="AA9" s="97">
        <v>0</v>
      </c>
      <c r="AB9" s="172">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row>
    <row r="10" spans="1:84" outlineLevel="2">
      <c r="A10" s="116"/>
      <c r="B10" s="116"/>
      <c r="C10" s="116">
        <v>3</v>
      </c>
      <c r="D10" s="218" t="s">
        <v>957</v>
      </c>
      <c r="E10" s="163"/>
      <c r="F10" s="163"/>
      <c r="G10" s="163" t="s">
        <v>1021</v>
      </c>
      <c r="H10" s="163"/>
      <c r="I10" s="163"/>
      <c r="J10" s="163"/>
      <c r="K10" s="163"/>
      <c r="L10" s="163"/>
      <c r="M10" s="164"/>
      <c r="N10" s="164"/>
      <c r="O10" s="165"/>
      <c r="P10" s="166">
        <v>0</v>
      </c>
      <c r="Q10" s="166">
        <v>0</v>
      </c>
      <c r="R10" s="167">
        <v>0</v>
      </c>
      <c r="S10" s="167">
        <v>0</v>
      </c>
      <c r="T10" s="164"/>
      <c r="U10" s="164"/>
      <c r="V10" s="168">
        <v>0</v>
      </c>
      <c r="W10" s="169">
        <v>0</v>
      </c>
      <c r="X10" s="170"/>
      <c r="Y10" s="165"/>
      <c r="Z10" s="171"/>
      <c r="AA10" s="97">
        <v>0</v>
      </c>
      <c r="AB10" s="17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outlineLevel="2">
      <c r="A11" s="116"/>
      <c r="B11" s="116"/>
      <c r="C11" s="116">
        <v>3</v>
      </c>
      <c r="D11" s="218" t="s">
        <v>981</v>
      </c>
      <c r="E11" s="163"/>
      <c r="F11" s="163"/>
      <c r="G11" s="163" t="s">
        <v>1022</v>
      </c>
      <c r="H11" s="163"/>
      <c r="I11" s="163"/>
      <c r="J11" s="163"/>
      <c r="K11" s="163"/>
      <c r="L11" s="163"/>
      <c r="M11" s="164"/>
      <c r="N11" s="164"/>
      <c r="O11" s="165"/>
      <c r="P11" s="166">
        <v>0</v>
      </c>
      <c r="Q11" s="166">
        <v>0</v>
      </c>
      <c r="R11" s="167">
        <v>0</v>
      </c>
      <c r="S11" s="167">
        <v>0</v>
      </c>
      <c r="T11" s="164"/>
      <c r="U11" s="164"/>
      <c r="V11" s="168">
        <v>0</v>
      </c>
      <c r="W11" s="169">
        <v>0</v>
      </c>
      <c r="X11" s="170"/>
      <c r="Y11" s="165"/>
      <c r="Z11" s="171"/>
      <c r="AA11" s="97">
        <v>0</v>
      </c>
      <c r="AB11" s="172">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outlineLevel="1">
      <c r="A12" s="116"/>
      <c r="B12" s="116" t="s">
        <v>976</v>
      </c>
      <c r="C12" s="116">
        <v>2</v>
      </c>
      <c r="D12" s="218" t="s">
        <v>982</v>
      </c>
      <c r="E12" s="163"/>
      <c r="F12" s="163" t="s">
        <v>1022</v>
      </c>
      <c r="G12" s="163"/>
      <c r="H12" s="163"/>
      <c r="I12" s="163"/>
      <c r="J12" s="163"/>
      <c r="K12" s="163"/>
      <c r="L12" s="163"/>
      <c r="M12" s="164"/>
      <c r="N12" s="164"/>
      <c r="O12" s="165"/>
      <c r="P12" s="166">
        <v>0</v>
      </c>
      <c r="Q12" s="166">
        <v>0</v>
      </c>
      <c r="R12" s="167">
        <v>0</v>
      </c>
      <c r="S12" s="167">
        <v>0</v>
      </c>
      <c r="T12" s="164"/>
      <c r="U12" s="164"/>
      <c r="V12" s="168">
        <v>0</v>
      </c>
      <c r="W12" s="169">
        <v>0</v>
      </c>
      <c r="X12" s="170"/>
      <c r="Y12" s="165"/>
      <c r="Z12" s="171"/>
      <c r="AA12" s="97">
        <v>0</v>
      </c>
      <c r="AB12" s="172">
        <v>0</v>
      </c>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outlineLevel="2">
      <c r="A13" s="116"/>
      <c r="B13" s="116"/>
      <c r="C13" s="116">
        <v>3</v>
      </c>
      <c r="D13" s="218" t="s">
        <v>958</v>
      </c>
      <c r="E13" s="163"/>
      <c r="F13" s="163"/>
      <c r="G13" s="163" t="s">
        <v>1023</v>
      </c>
      <c r="H13" s="163"/>
      <c r="I13" s="163"/>
      <c r="J13" s="163"/>
      <c r="K13" s="163"/>
      <c r="L13" s="163"/>
      <c r="M13" s="164"/>
      <c r="N13" s="164"/>
      <c r="O13" s="165"/>
      <c r="P13" s="166">
        <v>0</v>
      </c>
      <c r="Q13" s="166">
        <v>0</v>
      </c>
      <c r="R13" s="167">
        <v>0</v>
      </c>
      <c r="S13" s="167">
        <v>0</v>
      </c>
      <c r="T13" s="164"/>
      <c r="U13" s="164"/>
      <c r="V13" s="168">
        <v>0</v>
      </c>
      <c r="W13" s="169">
        <v>0</v>
      </c>
      <c r="X13" s="170"/>
      <c r="Y13" s="165"/>
      <c r="Z13" s="171"/>
      <c r="AA13" s="97">
        <v>0</v>
      </c>
      <c r="AB13" s="172">
        <v>0</v>
      </c>
      <c r="AC13" s="123"/>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outlineLevel="2">
      <c r="A14" s="116"/>
      <c r="B14" s="116"/>
      <c r="C14" s="116">
        <v>3</v>
      </c>
      <c r="D14" s="218" t="s">
        <v>983</v>
      </c>
      <c r="E14" s="163"/>
      <c r="F14" s="163"/>
      <c r="G14" s="163" t="s">
        <v>1024</v>
      </c>
      <c r="H14" s="163"/>
      <c r="I14" s="163"/>
      <c r="J14" s="163"/>
      <c r="K14" s="163"/>
      <c r="L14" s="163"/>
      <c r="M14" s="164"/>
      <c r="N14" s="164"/>
      <c r="O14" s="165"/>
      <c r="P14" s="166">
        <v>0</v>
      </c>
      <c r="Q14" s="166">
        <v>0</v>
      </c>
      <c r="R14" s="167">
        <v>0</v>
      </c>
      <c r="S14" s="167">
        <v>0</v>
      </c>
      <c r="T14" s="164"/>
      <c r="U14" s="164"/>
      <c r="V14" s="168">
        <v>0</v>
      </c>
      <c r="W14" s="169">
        <v>0</v>
      </c>
      <c r="X14" s="170"/>
      <c r="Y14" s="165"/>
      <c r="Z14" s="171"/>
      <c r="AA14" s="97">
        <v>0</v>
      </c>
      <c r="AB14" s="172">
        <v>0</v>
      </c>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c r="A15" s="116"/>
      <c r="B15" s="116" t="s">
        <v>976</v>
      </c>
      <c r="C15" s="116">
        <v>1</v>
      </c>
      <c r="D15" s="218" t="s">
        <v>1025</v>
      </c>
      <c r="E15" s="163" t="s">
        <v>961</v>
      </c>
      <c r="F15" s="163"/>
      <c r="G15" s="163"/>
      <c r="H15" s="163"/>
      <c r="I15" s="163"/>
      <c r="J15" s="163"/>
      <c r="K15" s="163"/>
      <c r="L15" s="163"/>
      <c r="M15" s="164">
        <v>43634</v>
      </c>
      <c r="N15" s="164">
        <v>43645</v>
      </c>
      <c r="O15" s="165"/>
      <c r="P15" s="166">
        <v>68</v>
      </c>
      <c r="Q15" s="166">
        <v>60</v>
      </c>
      <c r="R15" s="167">
        <v>9</v>
      </c>
      <c r="S15" s="167">
        <v>7</v>
      </c>
      <c r="T15" s="164"/>
      <c r="U15" s="164"/>
      <c r="V15" s="168">
        <v>0</v>
      </c>
      <c r="W15" s="169">
        <v>0</v>
      </c>
      <c r="X15" s="170"/>
      <c r="Y15" s="165"/>
      <c r="Z15" s="171"/>
      <c r="AA15" s="97">
        <v>0.88235294117647056</v>
      </c>
      <c r="AB15" s="172">
        <v>0.6470588235294118</v>
      </c>
      <c r="AC15" s="123"/>
      <c r="AD15" s="4"/>
      <c r="AE15" s="4" t="str">
        <f>"   " &amp; TEXT(AB15,"#0.00%") &amp; " " &amp; "설계" &amp; " " &amp; IF(M15="","",TEXT(M15,"M/D-")) &amp; IF(N15="","",TEXT(N15,"M/D")) &amp; " "</f>
        <v xml:space="preserve">   64.71% 설계 6/18-6/29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outlineLevel="1">
      <c r="A16" s="116"/>
      <c r="B16" s="116" t="s">
        <v>976</v>
      </c>
      <c r="C16" s="116">
        <v>2</v>
      </c>
      <c r="D16" s="218" t="s">
        <v>1038</v>
      </c>
      <c r="E16" s="163"/>
      <c r="F16" s="163" t="s">
        <v>1030</v>
      </c>
      <c r="G16" s="163"/>
      <c r="H16" s="163"/>
      <c r="I16" s="163"/>
      <c r="J16" s="163"/>
      <c r="K16" s="163"/>
      <c r="L16" s="163"/>
      <c r="M16" s="164">
        <v>43634</v>
      </c>
      <c r="N16" s="164">
        <v>43637</v>
      </c>
      <c r="O16" s="165"/>
      <c r="P16" s="166">
        <v>12</v>
      </c>
      <c r="Q16" s="166">
        <v>12</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6/18-6/21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outlineLevel="2">
      <c r="A17" s="116"/>
      <c r="B17" s="116"/>
      <c r="C17" s="116">
        <v>3</v>
      </c>
      <c r="D17" s="218" t="s">
        <v>1039</v>
      </c>
      <c r="E17" s="163"/>
      <c r="F17" s="163"/>
      <c r="G17" s="163" t="s">
        <v>1031</v>
      </c>
      <c r="H17" s="163"/>
      <c r="I17" s="163"/>
      <c r="J17" s="163"/>
      <c r="K17" s="163"/>
      <c r="L17" s="163"/>
      <c r="M17" s="164"/>
      <c r="N17" s="164"/>
      <c r="O17" s="165"/>
      <c r="P17" s="166">
        <v>0</v>
      </c>
      <c r="Q17" s="166">
        <v>0</v>
      </c>
      <c r="R17" s="167">
        <v>0</v>
      </c>
      <c r="S17" s="167">
        <v>0</v>
      </c>
      <c r="T17" s="164"/>
      <c r="U17" s="164"/>
      <c r="V17" s="168">
        <v>0</v>
      </c>
      <c r="W17" s="169">
        <v>0</v>
      </c>
      <c r="X17" s="170"/>
      <c r="Y17" s="223" t="s">
        <v>1152</v>
      </c>
      <c r="Z17" s="171"/>
      <c r="AA17" s="97">
        <v>0</v>
      </c>
      <c r="AB17" s="17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outlineLevel="2">
      <c r="A18" s="116"/>
      <c r="B18" s="116"/>
      <c r="C18" s="116">
        <v>3</v>
      </c>
      <c r="D18" s="218" t="s">
        <v>1040</v>
      </c>
      <c r="E18" s="163"/>
      <c r="F18" s="163"/>
      <c r="G18" s="163" t="s">
        <v>1029</v>
      </c>
      <c r="H18" s="163"/>
      <c r="I18" s="163"/>
      <c r="J18" s="163"/>
      <c r="K18" s="163"/>
      <c r="L18" s="163"/>
      <c r="M18" s="164"/>
      <c r="N18" s="164"/>
      <c r="O18" s="165"/>
      <c r="P18" s="166">
        <v>0</v>
      </c>
      <c r="Q18" s="166">
        <v>0</v>
      </c>
      <c r="R18" s="167">
        <v>0</v>
      </c>
      <c r="S18" s="167">
        <v>0</v>
      </c>
      <c r="T18" s="164"/>
      <c r="U18" s="164"/>
      <c r="V18" s="168">
        <v>0</v>
      </c>
      <c r="W18" s="169">
        <v>0</v>
      </c>
      <c r="X18" s="170"/>
      <c r="Y18" s="223" t="s">
        <v>1152</v>
      </c>
      <c r="Z18" s="171"/>
      <c r="AA18" s="97">
        <v>0</v>
      </c>
      <c r="AB18" s="172">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outlineLevel="2">
      <c r="A19" s="116"/>
      <c r="B19" s="116"/>
      <c r="C19" s="116">
        <v>3</v>
      </c>
      <c r="D19" s="218" t="s">
        <v>1041</v>
      </c>
      <c r="E19" s="163"/>
      <c r="F19" s="163"/>
      <c r="G19" s="220" t="s">
        <v>1032</v>
      </c>
      <c r="H19" s="163"/>
      <c r="I19" s="163"/>
      <c r="J19" s="163"/>
      <c r="K19" s="163"/>
      <c r="L19" s="163"/>
      <c r="M19" s="164"/>
      <c r="N19" s="164"/>
      <c r="O19" s="165"/>
      <c r="P19" s="166">
        <v>0</v>
      </c>
      <c r="Q19" s="166">
        <v>0</v>
      </c>
      <c r="R19" s="167">
        <v>0</v>
      </c>
      <c r="S19" s="167">
        <v>0</v>
      </c>
      <c r="T19" s="164"/>
      <c r="U19" s="164"/>
      <c r="V19" s="168">
        <v>0</v>
      </c>
      <c r="W19" s="169">
        <v>0</v>
      </c>
      <c r="X19" s="170"/>
      <c r="Y19" s="223" t="s">
        <v>1152</v>
      </c>
      <c r="Z19" s="171"/>
      <c r="AA19" s="97">
        <v>0</v>
      </c>
      <c r="AB19" s="172">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outlineLevel="2">
      <c r="A20" s="116"/>
      <c r="B20" s="116"/>
      <c r="C20" s="116">
        <v>3</v>
      </c>
      <c r="D20" s="218" t="s">
        <v>1042</v>
      </c>
      <c r="E20" s="163"/>
      <c r="F20" s="163"/>
      <c r="G20" s="220" t="s">
        <v>1033</v>
      </c>
      <c r="H20" s="163"/>
      <c r="I20" s="163"/>
      <c r="J20" s="163"/>
      <c r="K20" s="163"/>
      <c r="L20" s="163"/>
      <c r="M20" s="164">
        <v>43634</v>
      </c>
      <c r="N20" s="164">
        <v>43636</v>
      </c>
      <c r="O20" s="165"/>
      <c r="P20" s="166">
        <v>3</v>
      </c>
      <c r="Q20" s="166">
        <v>3</v>
      </c>
      <c r="R20" s="167">
        <v>3</v>
      </c>
      <c r="S20" s="167">
        <v>3</v>
      </c>
      <c r="T20" s="164"/>
      <c r="U20" s="164"/>
      <c r="V20" s="168"/>
      <c r="W20" s="169">
        <v>0</v>
      </c>
      <c r="X20" s="170">
        <v>1</v>
      </c>
      <c r="Y20" s="223" t="s">
        <v>1152</v>
      </c>
      <c r="Z20" s="171"/>
      <c r="AA20" s="97">
        <v>1</v>
      </c>
      <c r="AB20" s="172">
        <v>1</v>
      </c>
      <c r="AC20" s="123"/>
      <c r="AD20" s="4" t="str">
        <f>"     " &amp; TEXT(AB20,"#0.00%") &amp; " " &amp; "메인 시안 화면 설계서 작업" &amp; "(공통)" &amp; " " &amp; IF(M20="","",TEXT(M20,"M/D-")) &amp; IF(N20="","",TEXT(N20,"M/D")) &amp; " "</f>
        <v xml:space="preserve">     100.00% 메인 시안 화면 설계서 작업(공통) 6/18-6/20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outlineLevel="2">
      <c r="A21" s="116"/>
      <c r="B21" s="116"/>
      <c r="C21" s="116">
        <v>3</v>
      </c>
      <c r="D21" s="218" t="s">
        <v>1043</v>
      </c>
      <c r="E21" s="163"/>
      <c r="F21" s="163"/>
      <c r="G21" s="220" t="s">
        <v>1034</v>
      </c>
      <c r="H21" s="163"/>
      <c r="I21" s="163"/>
      <c r="J21" s="163"/>
      <c r="K21" s="163"/>
      <c r="L21" s="163"/>
      <c r="M21" s="164">
        <v>43634</v>
      </c>
      <c r="N21" s="164">
        <v>43636</v>
      </c>
      <c r="O21" s="165"/>
      <c r="P21" s="166">
        <v>3</v>
      </c>
      <c r="Q21" s="166">
        <v>3</v>
      </c>
      <c r="R21" s="167">
        <v>3</v>
      </c>
      <c r="S21" s="167">
        <v>3</v>
      </c>
      <c r="T21" s="164"/>
      <c r="U21" s="164"/>
      <c r="V21" s="168"/>
      <c r="W21" s="169">
        <v>0</v>
      </c>
      <c r="X21" s="170">
        <v>1</v>
      </c>
      <c r="Y21" s="223" t="s">
        <v>1152</v>
      </c>
      <c r="Z21" s="171"/>
      <c r="AA21" s="97">
        <v>1</v>
      </c>
      <c r="AB21" s="172">
        <v>1</v>
      </c>
      <c r="AC21" s="123"/>
      <c r="AD21" s="4" t="str">
        <f>"     " &amp; TEXT(AB21,"#0.00%") &amp; " " &amp; "메인 디자인 시안 작업" &amp; "(공통)" &amp; " " &amp; IF(M21="","",TEXT(M21,"M/D-")) &amp; IF(N21="","",TEXT(N21,"M/D")) &amp; " "</f>
        <v xml:space="preserve">     100.00% 메인 디자인 시안 작업(공통) 6/18-6/20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outlineLevel="2">
      <c r="A22" s="116"/>
      <c r="B22" s="116"/>
      <c r="C22" s="116">
        <v>3</v>
      </c>
      <c r="D22" s="218" t="s">
        <v>1044</v>
      </c>
      <c r="E22" s="163"/>
      <c r="F22" s="163"/>
      <c r="G22" s="220" t="s">
        <v>1035</v>
      </c>
      <c r="H22" s="163"/>
      <c r="I22" s="163"/>
      <c r="J22" s="163"/>
      <c r="K22" s="163"/>
      <c r="L22" s="163"/>
      <c r="M22" s="164">
        <v>43634</v>
      </c>
      <c r="N22" s="164">
        <v>43636</v>
      </c>
      <c r="O22" s="165"/>
      <c r="P22" s="166">
        <v>3</v>
      </c>
      <c r="Q22" s="166">
        <v>3</v>
      </c>
      <c r="R22" s="167">
        <v>3</v>
      </c>
      <c r="S22" s="167">
        <v>3</v>
      </c>
      <c r="T22" s="164"/>
      <c r="U22" s="164"/>
      <c r="V22" s="168"/>
      <c r="W22" s="169">
        <v>0</v>
      </c>
      <c r="X22" s="170">
        <v>1</v>
      </c>
      <c r="Y22" s="223" t="s">
        <v>1152</v>
      </c>
      <c r="Z22" s="171"/>
      <c r="AA22" s="97">
        <v>1</v>
      </c>
      <c r="AB22" s="172">
        <v>1</v>
      </c>
      <c r="AC22" s="123"/>
      <c r="AD22" s="4" t="str">
        <f>"     " &amp; TEXT(AB22,"#0.00%") &amp; " " &amp; "메인 시안 검토" &amp; "(공통)" &amp; " " &amp; IF(M22="","",TEXT(M22,"M/D-")) &amp; IF(N22="","",TEXT(N22,"M/D")) &amp; " "</f>
        <v xml:space="preserve">     100.00% 메인 시안 검토(공통) 6/18-6/20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outlineLevel="2">
      <c r="A23" s="116"/>
      <c r="B23" s="116"/>
      <c r="C23" s="116">
        <v>3</v>
      </c>
      <c r="D23" s="218" t="s">
        <v>1045</v>
      </c>
      <c r="E23" s="163"/>
      <c r="F23" s="163"/>
      <c r="G23" s="220" t="s">
        <v>1036</v>
      </c>
      <c r="H23" s="163"/>
      <c r="I23" s="163"/>
      <c r="J23" s="163"/>
      <c r="K23" s="163"/>
      <c r="L23" s="163"/>
      <c r="M23" s="164">
        <v>43636</v>
      </c>
      <c r="N23" s="164">
        <v>43637</v>
      </c>
      <c r="O23" s="165"/>
      <c r="P23" s="166">
        <v>2</v>
      </c>
      <c r="Q23" s="166">
        <v>2</v>
      </c>
      <c r="R23" s="167">
        <v>2</v>
      </c>
      <c r="S23" s="167">
        <v>2</v>
      </c>
      <c r="T23" s="164"/>
      <c r="U23" s="164"/>
      <c r="V23" s="168"/>
      <c r="W23" s="169">
        <v>0</v>
      </c>
      <c r="X23" s="170">
        <v>1</v>
      </c>
      <c r="Y23" s="223" t="s">
        <v>1152</v>
      </c>
      <c r="Z23" s="171"/>
      <c r="AA23" s="97">
        <v>1</v>
      </c>
      <c r="AB23" s="172">
        <v>1</v>
      </c>
      <c r="AC23" s="123"/>
      <c r="AD23" s="4" t="str">
        <f>"      " &amp; TEXT(AB23,"#0.00%") &amp; " " &amp; "메인 시안 검토 및 수정" &amp; "(공통)" &amp; " " &amp; IF(M23="","",TEXT(M23,"M/D-")) &amp; IF(N23="","",TEXT(N23,"M/D")) &amp; " "</f>
        <v xml:space="preserve">      100.00% 메인 시안 검토 및 수정(공통) 6/20-6/21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outlineLevel="2">
      <c r="A24" s="116"/>
      <c r="B24" s="116"/>
      <c r="C24" s="116">
        <v>3</v>
      </c>
      <c r="D24" s="199" t="s">
        <v>1046</v>
      </c>
      <c r="E24" s="198"/>
      <c r="F24" s="163"/>
      <c r="G24" s="220" t="s">
        <v>1037</v>
      </c>
      <c r="H24" s="163"/>
      <c r="I24" s="163"/>
      <c r="J24" s="163"/>
      <c r="K24" s="163"/>
      <c r="L24" s="163"/>
      <c r="M24" s="164">
        <v>43637</v>
      </c>
      <c r="N24" s="164">
        <v>43637</v>
      </c>
      <c r="O24" s="165"/>
      <c r="P24" s="166">
        <v>1</v>
      </c>
      <c r="Q24" s="166">
        <v>1</v>
      </c>
      <c r="R24" s="167">
        <v>1</v>
      </c>
      <c r="S24" s="167">
        <v>1</v>
      </c>
      <c r="T24" s="164"/>
      <c r="U24" s="164"/>
      <c r="V24" s="168"/>
      <c r="W24" s="169">
        <v>0</v>
      </c>
      <c r="X24" s="170">
        <v>1</v>
      </c>
      <c r="Y24" s="165"/>
      <c r="Z24" s="171"/>
      <c r="AA24" s="97">
        <v>1</v>
      </c>
      <c r="AB24" s="172">
        <v>1</v>
      </c>
      <c r="AC24" s="123"/>
      <c r="AD24" s="4" t="str">
        <f>"      " &amp; TEXT(AB24,"#0.00%") &amp; " " &amp; "메인 시안 fix" &amp; " " &amp; IF(M24="","",TEXT(M24,"M/D-")) &amp; IF(N24="","",TEXT(N24,"M/D")) &amp; " "</f>
        <v xml:space="preserve">      100.00% 메인 시안 fix 6/21-6/21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outlineLevel="1">
      <c r="A25" s="116"/>
      <c r="B25" s="116" t="s">
        <v>976</v>
      </c>
      <c r="C25" s="116">
        <v>2</v>
      </c>
      <c r="D25" s="199" t="s">
        <v>1053</v>
      </c>
      <c r="E25" s="198"/>
      <c r="F25" s="163" t="s">
        <v>1048</v>
      </c>
      <c r="G25" s="220"/>
      <c r="H25" s="163"/>
      <c r="I25" s="163"/>
      <c r="J25" s="163"/>
      <c r="K25" s="163"/>
      <c r="L25" s="163"/>
      <c r="M25" s="164">
        <v>43635</v>
      </c>
      <c r="N25" s="164">
        <v>43645</v>
      </c>
      <c r="O25" s="165"/>
      <c r="P25" s="166">
        <v>56</v>
      </c>
      <c r="Q25" s="166">
        <v>48</v>
      </c>
      <c r="R25" s="167">
        <v>8</v>
      </c>
      <c r="S25" s="167">
        <v>6</v>
      </c>
      <c r="T25" s="164"/>
      <c r="U25" s="164"/>
      <c r="V25" s="168">
        <v>0</v>
      </c>
      <c r="W25" s="169">
        <v>0</v>
      </c>
      <c r="X25" s="170"/>
      <c r="Y25" s="165"/>
      <c r="Z25" s="171"/>
      <c r="AA25" s="97">
        <v>0.8571428571428571</v>
      </c>
      <c r="AB25" s="172">
        <v>0.5714285714285714</v>
      </c>
      <c r="AC25" s="123"/>
      <c r="AD25" s="4"/>
      <c r="AE25" s="4" t="str">
        <f>"  " &amp; TEXT(AB25,"#0.00%") &amp; " " &amp; "상세 설계" &amp; " " &amp; IF(M25="","",TEXT(M25,"M/D-")) &amp; IF(N25="","",TEXT(N25,"M/D")) &amp; " "</f>
        <v xml:space="preserve">  57.14% 상세 설계 6/19-6/29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outlineLevel="2">
      <c r="A26" s="116"/>
      <c r="B26" s="116" t="s">
        <v>976</v>
      </c>
      <c r="C26" s="116">
        <v>3</v>
      </c>
      <c r="D26" s="199" t="s">
        <v>1054</v>
      </c>
      <c r="E26" s="198"/>
      <c r="F26" s="163"/>
      <c r="G26" s="220" t="s">
        <v>1047</v>
      </c>
      <c r="H26" s="163"/>
      <c r="I26" s="163"/>
      <c r="J26" s="163"/>
      <c r="K26" s="163"/>
      <c r="L26" s="163"/>
      <c r="M26" s="164">
        <v>43635</v>
      </c>
      <c r="N26" s="164">
        <v>43645</v>
      </c>
      <c r="O26" s="165"/>
      <c r="P26" s="166">
        <v>11</v>
      </c>
      <c r="Q26" s="166">
        <v>9</v>
      </c>
      <c r="R26" s="167">
        <v>8</v>
      </c>
      <c r="S26" s="167">
        <v>6</v>
      </c>
      <c r="T26" s="164"/>
      <c r="U26" s="164"/>
      <c r="V26" s="168">
        <v>0</v>
      </c>
      <c r="W26" s="169">
        <v>0</v>
      </c>
      <c r="X26" s="170"/>
      <c r="Y26" s="165"/>
      <c r="Z26" s="171"/>
      <c r="AA26" s="97">
        <v>0.81818181818181823</v>
      </c>
      <c r="AB26" s="172">
        <v>0.72727272727272729</v>
      </c>
      <c r="AC26" s="123"/>
      <c r="AD26" s="4"/>
      <c r="AE26" s="4" t="str">
        <f>"    " &amp; TEXT(AB26,"#0.00%") &amp; " " &amp; "운동 컨텐츠 화면" &amp; " " &amp; IF(M26="","",TEXT(M26,"M/D-")) &amp; IF(N26="","",TEXT(N26,"M/D")) &amp; " "</f>
        <v xml:space="preserve">    72.73% 운동 컨텐츠 화면 6/19-6/29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outlineLevel="3">
      <c r="A27" s="116"/>
      <c r="B27" s="116"/>
      <c r="C27" s="116">
        <v>4</v>
      </c>
      <c r="D27" s="199" t="s">
        <v>1055</v>
      </c>
      <c r="E27" s="198"/>
      <c r="F27" s="163"/>
      <c r="G27" s="220"/>
      <c r="H27" s="220" t="s">
        <v>1049</v>
      </c>
      <c r="I27" s="163"/>
      <c r="J27" s="163"/>
      <c r="K27" s="163"/>
      <c r="L27" s="163"/>
      <c r="M27" s="164">
        <v>43635</v>
      </c>
      <c r="N27" s="164">
        <v>43637</v>
      </c>
      <c r="O27" s="165"/>
      <c r="P27" s="166">
        <v>3</v>
      </c>
      <c r="Q27" s="166">
        <v>3</v>
      </c>
      <c r="R27" s="167">
        <v>3</v>
      </c>
      <c r="S27" s="167">
        <v>3</v>
      </c>
      <c r="T27" s="164"/>
      <c r="U27" s="164"/>
      <c r="V27" s="168"/>
      <c r="W27" s="169">
        <v>0</v>
      </c>
      <c r="X27" s="170">
        <v>1</v>
      </c>
      <c r="Y27" s="223" t="s">
        <v>1159</v>
      </c>
      <c r="Z27" s="171" t="s">
        <v>1184</v>
      </c>
      <c r="AA27" s="97">
        <v>1</v>
      </c>
      <c r="AB27" s="172">
        <v>1</v>
      </c>
      <c r="AC27" s="123"/>
      <c r="AD27" s="4" t="str">
        <f>"      " &amp; TEXT(AB27,"#0.00%") &amp; " " &amp; "화면 설계서 작성" &amp; "(지준혁)" &amp; " " &amp; IF(M27="","",TEXT(M27,"M/D-")) &amp; IF(N27="","",TEXT(N27,"M/D")) &amp; " "</f>
        <v xml:space="preserve">      100.00% 화면 설계서 작성(지준혁) 6/19-6/21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outlineLevel="3">
      <c r="A28" s="116"/>
      <c r="B28" s="116"/>
      <c r="C28" s="116">
        <v>4</v>
      </c>
      <c r="D28" s="199" t="s">
        <v>1056</v>
      </c>
      <c r="E28" s="198"/>
      <c r="F28" s="163"/>
      <c r="G28" s="220"/>
      <c r="H28" s="220" t="s">
        <v>1050</v>
      </c>
      <c r="I28" s="163"/>
      <c r="J28" s="163"/>
      <c r="K28" s="163"/>
      <c r="L28" s="163"/>
      <c r="M28" s="164">
        <v>43637</v>
      </c>
      <c r="N28" s="164">
        <v>43637</v>
      </c>
      <c r="O28" s="165"/>
      <c r="P28" s="166">
        <v>1</v>
      </c>
      <c r="Q28" s="166">
        <v>1</v>
      </c>
      <c r="R28" s="167">
        <v>1</v>
      </c>
      <c r="S28" s="167">
        <v>1</v>
      </c>
      <c r="T28" s="164"/>
      <c r="U28" s="164"/>
      <c r="V28" s="168"/>
      <c r="W28" s="169">
        <v>0</v>
      </c>
      <c r="X28" s="170">
        <v>1</v>
      </c>
      <c r="Y28" s="223" t="s">
        <v>1159</v>
      </c>
      <c r="Z28" s="171" t="s">
        <v>1213</v>
      </c>
      <c r="AA28" s="97">
        <v>1</v>
      </c>
      <c r="AB28" s="172">
        <v>1</v>
      </c>
      <c r="AC28" s="123"/>
      <c r="AD28" s="4" t="str">
        <f>"      " &amp; TEXT(AB28,"#0.00%") &amp; " " &amp; "화면 설계서 검토" &amp; "(지준혁)" &amp; " " &amp; IF(M28="","",TEXT(M28,"M/D-")) &amp; IF(N28="","",TEXT(N28,"M/D")) &amp; " "</f>
        <v xml:space="preserve">      100.00% 화면 설계서 검토(지준혁) 6/21-6/21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outlineLevel="3">
      <c r="A29" s="116"/>
      <c r="B29" s="116"/>
      <c r="C29" s="116">
        <v>4</v>
      </c>
      <c r="D29" s="199" t="s">
        <v>1057</v>
      </c>
      <c r="E29" s="198"/>
      <c r="F29" s="163"/>
      <c r="G29" s="220"/>
      <c r="H29" s="220" t="s">
        <v>1051</v>
      </c>
      <c r="I29" s="163"/>
      <c r="J29" s="163"/>
      <c r="K29" s="163"/>
      <c r="L29" s="163"/>
      <c r="M29" s="164">
        <v>43637</v>
      </c>
      <c r="N29" s="164">
        <v>43642</v>
      </c>
      <c r="O29" s="165"/>
      <c r="P29" s="166">
        <v>4</v>
      </c>
      <c r="Q29" s="166">
        <v>4</v>
      </c>
      <c r="R29" s="167">
        <v>4</v>
      </c>
      <c r="S29" s="167">
        <v>4</v>
      </c>
      <c r="T29" s="164"/>
      <c r="U29" s="164"/>
      <c r="V29" s="168"/>
      <c r="W29" s="169">
        <v>0</v>
      </c>
      <c r="X29" s="170">
        <v>1</v>
      </c>
      <c r="Y29" s="165"/>
      <c r="Z29" s="171" t="s">
        <v>1185</v>
      </c>
      <c r="AA29" s="97">
        <v>1</v>
      </c>
      <c r="AB29" s="172">
        <v>1</v>
      </c>
      <c r="AC29" s="123"/>
      <c r="AD29" s="4"/>
      <c r="AE29" s="4" t="str">
        <f>"    " &amp; TEXT(AB29,"#0.00%") &amp; " " &amp; "화면 설계서 수정 및 보완" &amp; " " &amp; IF(M29="","",TEXT(M29,"M/D-")) &amp; IF(N29="","",TEXT(N29,"M/D")) &amp; " "</f>
        <v xml:space="preserve">    100.00% 화면 설계서 수정 및 보완 6/21-6/26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outlineLevel="3">
      <c r="A30" s="116"/>
      <c r="B30" s="116"/>
      <c r="C30" s="116">
        <v>4</v>
      </c>
      <c r="D30" s="199" t="s">
        <v>1058</v>
      </c>
      <c r="E30" s="198"/>
      <c r="F30" s="163"/>
      <c r="G30" s="220"/>
      <c r="H30" s="220" t="s">
        <v>1052</v>
      </c>
      <c r="I30" s="163"/>
      <c r="J30" s="163"/>
      <c r="K30" s="163"/>
      <c r="L30" s="163"/>
      <c r="M30" s="164">
        <v>43642</v>
      </c>
      <c r="N30" s="164">
        <v>43645</v>
      </c>
      <c r="O30" s="165"/>
      <c r="P30" s="166">
        <v>3</v>
      </c>
      <c r="Q30" s="166">
        <v>1</v>
      </c>
      <c r="R30" s="167">
        <v>3</v>
      </c>
      <c r="S30" s="167">
        <v>1</v>
      </c>
      <c r="T30" s="164"/>
      <c r="U30" s="164"/>
      <c r="V30" s="168"/>
      <c r="W30" s="169">
        <v>0</v>
      </c>
      <c r="X30" s="170">
        <v>1</v>
      </c>
      <c r="Y30" s="165"/>
      <c r="Z30" s="171" t="s">
        <v>1185</v>
      </c>
      <c r="AA30" s="97">
        <v>0.33333333333333331</v>
      </c>
      <c r="AB30" s="172">
        <v>0</v>
      </c>
      <c r="AC30" s="123"/>
      <c r="AD30" s="4"/>
      <c r="AE30" s="4" t="str">
        <f>"   " &amp; TEXT(AB30,"#0.00%") &amp; " " &amp; "화면 설계서 최종 fix" &amp; " " &amp; IF(M30="","",TEXT(M30,"M/D-")) &amp; IF(N30="","",TEXT(N30,"M/D")) &amp; " "</f>
        <v xml:space="preserve">   0.00% 화면 설계서 최종 fix 6/26-6/29 </v>
      </c>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outlineLevel="2">
      <c r="A31" s="116"/>
      <c r="B31" s="116" t="s">
        <v>976</v>
      </c>
      <c r="C31" s="116">
        <v>3</v>
      </c>
      <c r="D31" s="199" t="s">
        <v>1066</v>
      </c>
      <c r="E31" s="198"/>
      <c r="F31" s="163"/>
      <c r="G31" s="220" t="s">
        <v>1059</v>
      </c>
      <c r="H31" s="163"/>
      <c r="I31" s="163"/>
      <c r="J31" s="163"/>
      <c r="K31" s="163"/>
      <c r="L31" s="163"/>
      <c r="M31" s="164">
        <v>43635</v>
      </c>
      <c r="N31" s="164">
        <v>43645</v>
      </c>
      <c r="O31" s="165"/>
      <c r="P31" s="166">
        <v>11</v>
      </c>
      <c r="Q31" s="166">
        <v>9</v>
      </c>
      <c r="R31" s="167">
        <v>8</v>
      </c>
      <c r="S31" s="167">
        <v>6</v>
      </c>
      <c r="T31" s="164"/>
      <c r="U31" s="164"/>
      <c r="V31" s="168">
        <v>0</v>
      </c>
      <c r="W31" s="169">
        <v>0</v>
      </c>
      <c r="X31" s="170"/>
      <c r="Y31" s="165"/>
      <c r="Z31" s="171"/>
      <c r="AA31" s="97">
        <v>0.81818181818181823</v>
      </c>
      <c r="AB31" s="172">
        <v>0.72727272727272729</v>
      </c>
      <c r="AC31" s="123"/>
      <c r="AD31" s="4"/>
      <c r="AE31" s="4" t="str">
        <f>"    " &amp; TEXT(AB31,"#0.00%") &amp; " " &amp; "식단 컨텐츠 화면" &amp; " " &amp; IF(M31="","",TEXT(M31,"M/D-")) &amp; IF(N31="","",TEXT(N31,"M/D")) &amp; " "</f>
        <v xml:space="preserve">    72.73% 식단 컨텐츠 화면 6/19-6/29 </v>
      </c>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outlineLevel="3">
      <c r="A32" s="116"/>
      <c r="B32" s="116"/>
      <c r="C32" s="116">
        <v>4</v>
      </c>
      <c r="D32" s="199" t="s">
        <v>1067</v>
      </c>
      <c r="E32" s="198"/>
      <c r="F32" s="163"/>
      <c r="G32" s="220"/>
      <c r="H32" s="220" t="s">
        <v>1049</v>
      </c>
      <c r="I32" s="163"/>
      <c r="J32" s="163"/>
      <c r="K32" s="163"/>
      <c r="L32" s="163"/>
      <c r="M32" s="164">
        <v>43635</v>
      </c>
      <c r="N32" s="164">
        <v>43637</v>
      </c>
      <c r="O32" s="165"/>
      <c r="P32" s="166">
        <v>3</v>
      </c>
      <c r="Q32" s="166">
        <v>3</v>
      </c>
      <c r="R32" s="167">
        <v>3</v>
      </c>
      <c r="S32" s="167">
        <v>3</v>
      </c>
      <c r="T32" s="164"/>
      <c r="U32" s="164"/>
      <c r="V32" s="168"/>
      <c r="W32" s="169">
        <v>0</v>
      </c>
      <c r="X32" s="170">
        <v>1</v>
      </c>
      <c r="Y32" s="223" t="s">
        <v>1159</v>
      </c>
      <c r="Z32" s="171" t="s">
        <v>1184</v>
      </c>
      <c r="AA32" s="97">
        <v>1</v>
      </c>
      <c r="AB32" s="172">
        <v>1</v>
      </c>
      <c r="AC32" s="123"/>
      <c r="AD32" s="4" t="str">
        <f>"      " &amp; TEXT(AB32,"#0.00%") &amp; " " &amp; "화면 설계서 작성" &amp; "(지준혁)" &amp; " " &amp; IF(M32="","",TEXT(M32,"M/D-")) &amp; IF(N32="","",TEXT(N32,"M/D")) &amp; " "</f>
        <v xml:space="preserve">      100.00% 화면 설계서 작성(지준혁) 6/19-6/21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outlineLevel="3">
      <c r="A33" s="116"/>
      <c r="B33" s="116"/>
      <c r="C33" s="116">
        <v>4</v>
      </c>
      <c r="D33" s="199" t="s">
        <v>1068</v>
      </c>
      <c r="E33" s="198"/>
      <c r="F33" s="163"/>
      <c r="G33" s="220"/>
      <c r="H33" s="220" t="s">
        <v>1050</v>
      </c>
      <c r="I33" s="163"/>
      <c r="J33" s="163"/>
      <c r="K33" s="163"/>
      <c r="L33" s="163"/>
      <c r="M33" s="164">
        <v>43637</v>
      </c>
      <c r="N33" s="164">
        <v>43637</v>
      </c>
      <c r="O33" s="165"/>
      <c r="P33" s="166">
        <v>1</v>
      </c>
      <c r="Q33" s="166">
        <v>1</v>
      </c>
      <c r="R33" s="167">
        <v>1</v>
      </c>
      <c r="S33" s="167">
        <v>1</v>
      </c>
      <c r="T33" s="164"/>
      <c r="U33" s="164"/>
      <c r="V33" s="168"/>
      <c r="W33" s="169">
        <v>0</v>
      </c>
      <c r="X33" s="170">
        <v>1</v>
      </c>
      <c r="Y33" s="223" t="s">
        <v>1159</v>
      </c>
      <c r="Z33" s="171" t="s">
        <v>1213</v>
      </c>
      <c r="AA33" s="97">
        <v>1</v>
      </c>
      <c r="AB33" s="172">
        <v>1</v>
      </c>
      <c r="AC33" s="123"/>
      <c r="AD33" s="4" t="str">
        <f>"      " &amp; TEXT(AB33,"#0.00%") &amp; " " &amp; "화면 설계서 검토" &amp; "(지준혁)" &amp; " " &amp; IF(M33="","",TEXT(M33,"M/D-")) &amp; IF(N33="","",TEXT(N33,"M/D")) &amp; " "</f>
        <v xml:space="preserve">      100.00% 화면 설계서 검토(지준혁) 6/21-6/21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outlineLevel="3">
      <c r="A34" s="116"/>
      <c r="B34" s="116"/>
      <c r="C34" s="116">
        <v>4</v>
      </c>
      <c r="D34" s="199" t="s">
        <v>1069</v>
      </c>
      <c r="E34" s="198"/>
      <c r="F34" s="163"/>
      <c r="G34" s="220"/>
      <c r="H34" s="220" t="s">
        <v>1051</v>
      </c>
      <c r="I34" s="163"/>
      <c r="J34" s="163"/>
      <c r="K34" s="163"/>
      <c r="L34" s="163"/>
      <c r="M34" s="164">
        <v>43637</v>
      </c>
      <c r="N34" s="164">
        <v>43642</v>
      </c>
      <c r="O34" s="165"/>
      <c r="P34" s="166">
        <v>4</v>
      </c>
      <c r="Q34" s="166">
        <v>4</v>
      </c>
      <c r="R34" s="167">
        <v>4</v>
      </c>
      <c r="S34" s="167">
        <v>4</v>
      </c>
      <c r="T34" s="164"/>
      <c r="U34" s="164"/>
      <c r="V34" s="168"/>
      <c r="W34" s="169">
        <v>0</v>
      </c>
      <c r="X34" s="170">
        <v>1</v>
      </c>
      <c r="Y34" s="165"/>
      <c r="Z34" s="171" t="s">
        <v>1185</v>
      </c>
      <c r="AA34" s="97">
        <v>1</v>
      </c>
      <c r="AB34" s="172">
        <v>1</v>
      </c>
      <c r="AC34" s="123"/>
      <c r="AD34" s="4"/>
      <c r="AE34" s="4" t="str">
        <f>"    " &amp; TEXT(AB34,"#0.00%") &amp; " " &amp; "화면 설계서 수정 및 보완" &amp; " " &amp; IF(M34="","",TEXT(M34,"M/D-")) &amp; IF(N34="","",TEXT(N34,"M/D")) &amp; " "</f>
        <v xml:space="preserve">    100.00% 화면 설계서 수정 및 보완 6/21-6/26 </v>
      </c>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outlineLevel="3">
      <c r="A35" s="116"/>
      <c r="B35" s="116"/>
      <c r="C35" s="116">
        <v>4</v>
      </c>
      <c r="D35" s="199" t="s">
        <v>1070</v>
      </c>
      <c r="E35" s="198"/>
      <c r="F35" s="163"/>
      <c r="G35" s="220"/>
      <c r="H35" s="220" t="s">
        <v>1052</v>
      </c>
      <c r="I35" s="163"/>
      <c r="J35" s="163"/>
      <c r="K35" s="163"/>
      <c r="L35" s="163"/>
      <c r="M35" s="164">
        <v>43642</v>
      </c>
      <c r="N35" s="164">
        <v>43645</v>
      </c>
      <c r="O35" s="165"/>
      <c r="P35" s="166">
        <v>3</v>
      </c>
      <c r="Q35" s="166">
        <v>1</v>
      </c>
      <c r="R35" s="167">
        <v>3</v>
      </c>
      <c r="S35" s="167">
        <v>1</v>
      </c>
      <c r="T35" s="164"/>
      <c r="U35" s="164"/>
      <c r="V35" s="168"/>
      <c r="W35" s="169">
        <v>0</v>
      </c>
      <c r="X35" s="170">
        <v>1</v>
      </c>
      <c r="Y35" s="165"/>
      <c r="Z35" s="171" t="s">
        <v>1185</v>
      </c>
      <c r="AA35" s="97">
        <v>0.33333333333333331</v>
      </c>
      <c r="AB35" s="172">
        <v>0</v>
      </c>
      <c r="AC35" s="123"/>
      <c r="AD35" s="4"/>
      <c r="AE35" s="4" t="str">
        <f>"   " &amp; TEXT(AB35,"#0.00%") &amp; " " &amp; "화면 설계서 최종 fix" &amp; " " &amp; IF(M35="","",TEXT(M35,"M/D-")) &amp; IF(N35="","",TEXT(N35,"M/D")) &amp; " "</f>
        <v xml:space="preserve">   0.00% 화면 설계서 최종 fix 6/26-6/29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outlineLevel="2">
      <c r="A36" s="116"/>
      <c r="B36" s="116" t="s">
        <v>976</v>
      </c>
      <c r="C36" s="116">
        <v>3</v>
      </c>
      <c r="D36" s="199" t="s">
        <v>1071</v>
      </c>
      <c r="E36" s="198"/>
      <c r="F36" s="163"/>
      <c r="G36" s="220" t="s">
        <v>1214</v>
      </c>
      <c r="H36" s="163"/>
      <c r="I36" s="163"/>
      <c r="J36" s="163"/>
      <c r="K36" s="163"/>
      <c r="L36" s="163"/>
      <c r="M36" s="164">
        <v>43635</v>
      </c>
      <c r="N36" s="164">
        <v>43645</v>
      </c>
      <c r="O36" s="165"/>
      <c r="P36" s="166">
        <v>11</v>
      </c>
      <c r="Q36" s="166">
        <v>9</v>
      </c>
      <c r="R36" s="167">
        <v>8</v>
      </c>
      <c r="S36" s="167">
        <v>6</v>
      </c>
      <c r="T36" s="164"/>
      <c r="U36" s="164"/>
      <c r="V36" s="168">
        <v>0</v>
      </c>
      <c r="W36" s="169">
        <v>0</v>
      </c>
      <c r="X36" s="170"/>
      <c r="Y36" s="165"/>
      <c r="Z36" s="171"/>
      <c r="AA36" s="97">
        <v>0.81818181818181823</v>
      </c>
      <c r="AB36" s="172">
        <v>0.72727272727272729</v>
      </c>
      <c r="AC36" s="123"/>
      <c r="AD36" s="4"/>
      <c r="AE36" s="4" t="str">
        <f>"    " &amp; TEXT(AB36,"#0.00%") &amp; " " &amp; "음주 컨텐츠 화면" &amp; " " &amp; IF(M36="","",TEXT(M36,"M/D-")) &amp; IF(N36="","",TEXT(N36,"M/D")) &amp; " "</f>
        <v xml:space="preserve">    72.73% 음주 컨텐츠 화면 6/19-6/29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outlineLevel="3">
      <c r="A37" s="116"/>
      <c r="B37" s="116"/>
      <c r="C37" s="116">
        <v>4</v>
      </c>
      <c r="D37" s="199" t="s">
        <v>1072</v>
      </c>
      <c r="E37" s="198"/>
      <c r="F37" s="163"/>
      <c r="G37" s="220"/>
      <c r="H37" s="220" t="s">
        <v>1049</v>
      </c>
      <c r="I37" s="163"/>
      <c r="J37" s="163"/>
      <c r="K37" s="163"/>
      <c r="L37" s="163"/>
      <c r="M37" s="164">
        <v>43635</v>
      </c>
      <c r="N37" s="164">
        <v>43637</v>
      </c>
      <c r="O37" s="165"/>
      <c r="P37" s="166">
        <v>3</v>
      </c>
      <c r="Q37" s="166">
        <v>3</v>
      </c>
      <c r="R37" s="167">
        <v>3</v>
      </c>
      <c r="S37" s="167">
        <v>3</v>
      </c>
      <c r="T37" s="164"/>
      <c r="U37" s="164"/>
      <c r="V37" s="168"/>
      <c r="W37" s="169">
        <v>0</v>
      </c>
      <c r="X37" s="170">
        <v>1</v>
      </c>
      <c r="Y37" s="223" t="s">
        <v>1159</v>
      </c>
      <c r="Z37" s="171" t="s">
        <v>1184</v>
      </c>
      <c r="AA37" s="97">
        <v>1</v>
      </c>
      <c r="AB37" s="172">
        <v>1</v>
      </c>
      <c r="AC37" s="123"/>
      <c r="AD37" s="4" t="str">
        <f>"      " &amp; TEXT(AB37,"#0.00%") &amp; " " &amp; "화면 설계서 작성" &amp; "(지준혁)" &amp; " " &amp; IF(M37="","",TEXT(M37,"M/D-")) &amp; IF(N37="","",TEXT(N37,"M/D")) &amp; " "</f>
        <v xml:space="preserve">      100.00% 화면 설계서 작성(지준혁) 6/19-6/21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outlineLevel="3">
      <c r="A38" s="116"/>
      <c r="B38" s="116"/>
      <c r="C38" s="116">
        <v>4</v>
      </c>
      <c r="D38" s="199" t="s">
        <v>1073</v>
      </c>
      <c r="E38" s="198"/>
      <c r="F38" s="163"/>
      <c r="G38" s="220"/>
      <c r="H38" s="220" t="s">
        <v>1050</v>
      </c>
      <c r="I38" s="163"/>
      <c r="J38" s="163"/>
      <c r="K38" s="163"/>
      <c r="L38" s="163"/>
      <c r="M38" s="164">
        <v>43637</v>
      </c>
      <c r="N38" s="164">
        <v>43637</v>
      </c>
      <c r="O38" s="165"/>
      <c r="P38" s="166">
        <v>1</v>
      </c>
      <c r="Q38" s="166">
        <v>1</v>
      </c>
      <c r="R38" s="167">
        <v>1</v>
      </c>
      <c r="S38" s="167">
        <v>1</v>
      </c>
      <c r="T38" s="164"/>
      <c r="U38" s="164"/>
      <c r="V38" s="168"/>
      <c r="W38" s="169">
        <v>0</v>
      </c>
      <c r="X38" s="170">
        <v>1</v>
      </c>
      <c r="Y38" s="223" t="s">
        <v>1159</v>
      </c>
      <c r="Z38" s="171" t="s">
        <v>1213</v>
      </c>
      <c r="AA38" s="97">
        <v>1</v>
      </c>
      <c r="AB38" s="172">
        <v>1</v>
      </c>
      <c r="AC38" s="123"/>
      <c r="AD38" s="4" t="str">
        <f>"      " &amp; TEXT(AB38,"#0.00%") &amp; " " &amp; "화면 설계서 검토" &amp; "(지준혁)" &amp; " " &amp; IF(M38="","",TEXT(M38,"M/D-")) &amp; IF(N38="","",TEXT(N38,"M/D")) &amp; " "</f>
        <v xml:space="preserve">      100.00% 화면 설계서 검토(지준혁) 6/21-6/21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outlineLevel="3">
      <c r="A39" s="116"/>
      <c r="B39" s="116"/>
      <c r="C39" s="116">
        <v>4</v>
      </c>
      <c r="D39" s="199" t="s">
        <v>1074</v>
      </c>
      <c r="E39" s="198"/>
      <c r="F39" s="163"/>
      <c r="G39" s="220"/>
      <c r="H39" s="220" t="s">
        <v>1051</v>
      </c>
      <c r="I39" s="163"/>
      <c r="J39" s="163"/>
      <c r="K39" s="163"/>
      <c r="L39" s="163"/>
      <c r="M39" s="164">
        <v>43637</v>
      </c>
      <c r="N39" s="164">
        <v>43642</v>
      </c>
      <c r="O39" s="165"/>
      <c r="P39" s="166">
        <v>4</v>
      </c>
      <c r="Q39" s="166">
        <v>4</v>
      </c>
      <c r="R39" s="167">
        <v>4</v>
      </c>
      <c r="S39" s="167">
        <v>4</v>
      </c>
      <c r="T39" s="164"/>
      <c r="U39" s="164"/>
      <c r="V39" s="168"/>
      <c r="W39" s="169">
        <v>0</v>
      </c>
      <c r="X39" s="170">
        <v>1</v>
      </c>
      <c r="Y39" s="223" t="s">
        <v>1159</v>
      </c>
      <c r="Z39" s="171" t="s">
        <v>1185</v>
      </c>
      <c r="AA39" s="97">
        <v>1</v>
      </c>
      <c r="AB39" s="172">
        <v>1</v>
      </c>
      <c r="AC39" s="123"/>
      <c r="AD39" s="4"/>
      <c r="AE39" s="4" t="str">
        <f>"    " &amp; TEXT(AB39,"#0.00%") &amp; " " &amp; "화면 설계서 수정 및 보완" &amp; "(지준혁)" &amp; " " &amp; IF(M39="","",TEXT(M39,"M/D-")) &amp; IF(N39="","",TEXT(N39,"M/D")) &amp; " "</f>
        <v xml:space="preserve">    100.00% 화면 설계서 수정 및 보완(지준혁) 6/21-6/26 </v>
      </c>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outlineLevel="3">
      <c r="A40" s="116"/>
      <c r="B40" s="116"/>
      <c r="C40" s="116">
        <v>4</v>
      </c>
      <c r="D40" s="199" t="s">
        <v>1075</v>
      </c>
      <c r="E40" s="198"/>
      <c r="F40" s="163"/>
      <c r="G40" s="220"/>
      <c r="H40" s="220" t="s">
        <v>1052</v>
      </c>
      <c r="I40" s="163"/>
      <c r="J40" s="163"/>
      <c r="K40" s="163"/>
      <c r="L40" s="163"/>
      <c r="M40" s="164">
        <v>43642</v>
      </c>
      <c r="N40" s="164">
        <v>43645</v>
      </c>
      <c r="O40" s="165"/>
      <c r="P40" s="166">
        <v>3</v>
      </c>
      <c r="Q40" s="166">
        <v>1</v>
      </c>
      <c r="R40" s="167">
        <v>3</v>
      </c>
      <c r="S40" s="167">
        <v>1</v>
      </c>
      <c r="T40" s="164"/>
      <c r="U40" s="164"/>
      <c r="V40" s="168"/>
      <c r="W40" s="169">
        <v>0</v>
      </c>
      <c r="X40" s="170">
        <v>1</v>
      </c>
      <c r="Y40" s="165"/>
      <c r="Z40" s="171" t="s">
        <v>1185</v>
      </c>
      <c r="AA40" s="97">
        <v>0.33333333333333331</v>
      </c>
      <c r="AB40" s="172">
        <v>0</v>
      </c>
      <c r="AC40" s="123"/>
      <c r="AD40" s="4"/>
      <c r="AE40" s="4" t="str">
        <f>"   " &amp; TEXT(AB40,"#0.00%") &amp; " " &amp; "화면 설계서 최종 fix" &amp; " " &amp; IF(M40="","",TEXT(M40,"M/D-")) &amp; IF(N40="","",TEXT(N40,"M/D")) &amp; " "</f>
        <v xml:space="preserve">   0.00% 화면 설계서 최종 fix 6/26-6/29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outlineLevel="2">
      <c r="A41" s="116"/>
      <c r="B41" s="116" t="s">
        <v>976</v>
      </c>
      <c r="C41" s="116">
        <v>3</v>
      </c>
      <c r="D41" s="199" t="s">
        <v>1076</v>
      </c>
      <c r="E41" s="198"/>
      <c r="F41" s="163"/>
      <c r="G41" s="220" t="s">
        <v>1060</v>
      </c>
      <c r="H41" s="220"/>
      <c r="I41" s="163"/>
      <c r="J41" s="163"/>
      <c r="K41" s="163"/>
      <c r="L41" s="163"/>
      <c r="M41" s="164">
        <v>43635</v>
      </c>
      <c r="N41" s="164">
        <v>43645</v>
      </c>
      <c r="O41" s="165"/>
      <c r="P41" s="166">
        <v>11</v>
      </c>
      <c r="Q41" s="166">
        <v>9</v>
      </c>
      <c r="R41" s="167">
        <v>8</v>
      </c>
      <c r="S41" s="167">
        <v>6</v>
      </c>
      <c r="T41" s="164"/>
      <c r="U41" s="164"/>
      <c r="V41" s="168">
        <v>0</v>
      </c>
      <c r="W41" s="169">
        <v>0</v>
      </c>
      <c r="X41" s="170"/>
      <c r="Y41" s="165"/>
      <c r="Z41" s="171"/>
      <c r="AA41" s="97">
        <v>0.81818181818181823</v>
      </c>
      <c r="AB41" s="172">
        <v>0.72727272727272729</v>
      </c>
      <c r="AC41" s="123"/>
      <c r="AD41" s="4"/>
      <c r="AE41" s="4" t="str">
        <f>"    " &amp; TEXT(AB41,"#0.00%") &amp; " " &amp; "수면 컨텐츠 화면" &amp; " " &amp; IF(M41="","",TEXT(M41,"M/D-")) &amp; IF(N41="","",TEXT(N41,"M/D")) &amp; " "</f>
        <v xml:space="preserve">    72.73% 수면 컨텐츠 화면 6/19-6/29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outlineLevel="3">
      <c r="A42" s="116"/>
      <c r="B42" s="116"/>
      <c r="C42" s="116">
        <v>4</v>
      </c>
      <c r="D42" s="199" t="s">
        <v>1077</v>
      </c>
      <c r="E42" s="198"/>
      <c r="F42" s="163"/>
      <c r="G42" s="220"/>
      <c r="H42" s="220" t="s">
        <v>1049</v>
      </c>
      <c r="I42" s="163"/>
      <c r="J42" s="163"/>
      <c r="K42" s="163"/>
      <c r="L42" s="163"/>
      <c r="M42" s="164">
        <v>43635</v>
      </c>
      <c r="N42" s="164">
        <v>43637</v>
      </c>
      <c r="O42" s="165"/>
      <c r="P42" s="166">
        <v>3</v>
      </c>
      <c r="Q42" s="166">
        <v>3</v>
      </c>
      <c r="R42" s="167">
        <v>3</v>
      </c>
      <c r="S42" s="167">
        <v>3</v>
      </c>
      <c r="T42" s="164"/>
      <c r="U42" s="164"/>
      <c r="V42" s="168"/>
      <c r="W42" s="169">
        <v>0</v>
      </c>
      <c r="X42" s="170">
        <v>1</v>
      </c>
      <c r="Y42" s="223" t="s">
        <v>1159</v>
      </c>
      <c r="Z42" s="171" t="s">
        <v>1184</v>
      </c>
      <c r="AA42" s="97">
        <v>1</v>
      </c>
      <c r="AB42" s="172">
        <v>1</v>
      </c>
      <c r="AC42" s="123"/>
      <c r="AD42" s="4" t="str">
        <f>"      " &amp; TEXT(AB42,"#0.00%") &amp; " " &amp; "화면 설계서 작성" &amp; "(지준혁)" &amp; " " &amp; IF(M42="","",TEXT(M42,"M/D-")) &amp; IF(N42="","",TEXT(N42,"M/D")) &amp; " "</f>
        <v xml:space="preserve">      100.00% 화면 설계서 작성(지준혁) 6/19-6/21 </v>
      </c>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outlineLevel="3">
      <c r="A43" s="116"/>
      <c r="B43" s="116"/>
      <c r="C43" s="116">
        <v>4</v>
      </c>
      <c r="D43" s="199" t="s">
        <v>1078</v>
      </c>
      <c r="E43" s="198"/>
      <c r="F43" s="163"/>
      <c r="G43" s="220"/>
      <c r="H43" s="220" t="s">
        <v>1050</v>
      </c>
      <c r="I43" s="163"/>
      <c r="J43" s="163"/>
      <c r="K43" s="163"/>
      <c r="L43" s="163"/>
      <c r="M43" s="164">
        <v>43637</v>
      </c>
      <c r="N43" s="164">
        <v>43637</v>
      </c>
      <c r="O43" s="165"/>
      <c r="P43" s="166">
        <v>1</v>
      </c>
      <c r="Q43" s="166">
        <v>1</v>
      </c>
      <c r="R43" s="167">
        <v>1</v>
      </c>
      <c r="S43" s="167">
        <v>1</v>
      </c>
      <c r="T43" s="164"/>
      <c r="U43" s="164"/>
      <c r="V43" s="168"/>
      <c r="W43" s="169">
        <v>0</v>
      </c>
      <c r="X43" s="170">
        <v>1</v>
      </c>
      <c r="Y43" s="223" t="s">
        <v>1159</v>
      </c>
      <c r="Z43" s="171" t="s">
        <v>1213</v>
      </c>
      <c r="AA43" s="97">
        <v>1</v>
      </c>
      <c r="AB43" s="172">
        <v>1</v>
      </c>
      <c r="AC43" s="123"/>
      <c r="AD43" s="4" t="str">
        <f>"      " &amp; TEXT(AB43,"#0.00%") &amp; " " &amp; "화면 설계서 검토" &amp; "(지준혁)" &amp; " " &amp; IF(M43="","",TEXT(M43,"M/D-")) &amp; IF(N43="","",TEXT(N43,"M/D")) &amp; " "</f>
        <v xml:space="preserve">      100.00% 화면 설계서 검토(지준혁) 6/21-6/21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row>
    <row r="44" spans="1:84" outlineLevel="3">
      <c r="A44" s="116"/>
      <c r="B44" s="116"/>
      <c r="C44" s="116">
        <v>4</v>
      </c>
      <c r="D44" s="199" t="s">
        <v>1079</v>
      </c>
      <c r="E44" s="198"/>
      <c r="F44" s="163"/>
      <c r="G44" s="220"/>
      <c r="H44" s="220" t="s">
        <v>1051</v>
      </c>
      <c r="I44" s="163"/>
      <c r="J44" s="163"/>
      <c r="K44" s="163"/>
      <c r="L44" s="163"/>
      <c r="M44" s="164">
        <v>43637</v>
      </c>
      <c r="N44" s="164">
        <v>43642</v>
      </c>
      <c r="O44" s="165"/>
      <c r="P44" s="166">
        <v>4</v>
      </c>
      <c r="Q44" s="166">
        <v>4</v>
      </c>
      <c r="R44" s="167">
        <v>4</v>
      </c>
      <c r="S44" s="167">
        <v>4</v>
      </c>
      <c r="T44" s="164"/>
      <c r="U44" s="164"/>
      <c r="V44" s="168"/>
      <c r="W44" s="169">
        <v>0</v>
      </c>
      <c r="X44" s="170">
        <v>1</v>
      </c>
      <c r="Y44" s="223" t="s">
        <v>1159</v>
      </c>
      <c r="Z44" s="171" t="s">
        <v>1185</v>
      </c>
      <c r="AA44" s="97">
        <v>1</v>
      </c>
      <c r="AB44" s="172">
        <v>1</v>
      </c>
      <c r="AC44" s="123"/>
      <c r="AD44" s="4"/>
      <c r="AE44" s="4" t="str">
        <f>"    " &amp; TEXT(AB44,"#0.00%") &amp; " " &amp; "화면 설계서 수정 및 보완" &amp; "(지준혁)" &amp; " " &amp; IF(M44="","",TEXT(M44,"M/D-")) &amp; IF(N44="","",TEXT(N44,"M/D")) &amp; " "</f>
        <v xml:space="preserve">    100.00% 화면 설계서 수정 및 보완(지준혁) 6/21-6/26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row>
    <row r="45" spans="1:84" outlineLevel="3">
      <c r="A45" s="116"/>
      <c r="B45" s="116"/>
      <c r="C45" s="116">
        <v>4</v>
      </c>
      <c r="D45" s="199" t="s">
        <v>1080</v>
      </c>
      <c r="E45" s="198"/>
      <c r="F45" s="163"/>
      <c r="G45" s="220"/>
      <c r="H45" s="220" t="s">
        <v>1052</v>
      </c>
      <c r="I45" s="163"/>
      <c r="J45" s="163"/>
      <c r="K45" s="163"/>
      <c r="L45" s="163"/>
      <c r="M45" s="164">
        <v>43642</v>
      </c>
      <c r="N45" s="164">
        <v>43645</v>
      </c>
      <c r="O45" s="165"/>
      <c r="P45" s="166">
        <v>3</v>
      </c>
      <c r="Q45" s="166">
        <v>1</v>
      </c>
      <c r="R45" s="167">
        <v>3</v>
      </c>
      <c r="S45" s="167">
        <v>1</v>
      </c>
      <c r="T45" s="164"/>
      <c r="U45" s="164"/>
      <c r="V45" s="168"/>
      <c r="W45" s="169">
        <v>0</v>
      </c>
      <c r="X45" s="170">
        <v>1</v>
      </c>
      <c r="Y45" s="165"/>
      <c r="Z45" s="171" t="s">
        <v>1185</v>
      </c>
      <c r="AA45" s="97">
        <v>0.33333333333333331</v>
      </c>
      <c r="AB45" s="172">
        <v>0</v>
      </c>
      <c r="AC45" s="123"/>
      <c r="AD45" s="4"/>
      <c r="AE45" s="4" t="str">
        <f>"   " &amp; TEXT(AB45,"#0.00%") &amp; " " &amp; "화면 설계서 최종 fix" &amp; " " &amp; IF(M45="","",TEXT(M45,"M/D-")) &amp; IF(N45="","",TEXT(N45,"M/D")) &amp; " "</f>
        <v xml:space="preserve">   0.00% 화면 설계서 최종 fix 6/26-6/29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row>
    <row r="46" spans="1:84" outlineLevel="2">
      <c r="A46" s="116"/>
      <c r="B46" s="116" t="s">
        <v>976</v>
      </c>
      <c r="C46" s="116">
        <v>3</v>
      </c>
      <c r="D46" s="199" t="s">
        <v>1081</v>
      </c>
      <c r="E46" s="198"/>
      <c r="F46" s="163"/>
      <c r="G46" s="220" t="s">
        <v>1061</v>
      </c>
      <c r="H46" s="220"/>
      <c r="I46" s="163"/>
      <c r="J46" s="163"/>
      <c r="K46" s="163"/>
      <c r="L46" s="163"/>
      <c r="M46" s="164"/>
      <c r="N46" s="164"/>
      <c r="O46" s="165"/>
      <c r="P46" s="166">
        <v>0</v>
      </c>
      <c r="Q46" s="166">
        <v>0</v>
      </c>
      <c r="R46" s="167">
        <v>0</v>
      </c>
      <c r="S46" s="167">
        <v>0</v>
      </c>
      <c r="T46" s="164"/>
      <c r="U46" s="164"/>
      <c r="V46" s="168">
        <v>0</v>
      </c>
      <c r="W46" s="169">
        <v>0</v>
      </c>
      <c r="X46" s="170"/>
      <c r="Y46" s="165"/>
      <c r="Z46" s="171"/>
      <c r="AA46" s="97">
        <v>0</v>
      </c>
      <c r="AB46" s="172">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row>
    <row r="47" spans="1:84" outlineLevel="3">
      <c r="A47" s="116"/>
      <c r="B47" s="116"/>
      <c r="C47" s="116">
        <v>4</v>
      </c>
      <c r="D47" s="199" t="s">
        <v>1082</v>
      </c>
      <c r="E47" s="198"/>
      <c r="F47" s="163"/>
      <c r="G47" s="220"/>
      <c r="H47" s="220" t="s">
        <v>1049</v>
      </c>
      <c r="I47" s="163"/>
      <c r="J47" s="163"/>
      <c r="K47" s="163"/>
      <c r="L47" s="163"/>
      <c r="M47" s="164"/>
      <c r="N47" s="164"/>
      <c r="O47" s="165"/>
      <c r="P47" s="166">
        <v>0</v>
      </c>
      <c r="Q47" s="166">
        <v>0</v>
      </c>
      <c r="R47" s="167">
        <v>0</v>
      </c>
      <c r="S47" s="167">
        <v>0</v>
      </c>
      <c r="T47" s="164"/>
      <c r="U47" s="164"/>
      <c r="V47" s="168">
        <v>0</v>
      </c>
      <c r="W47" s="169">
        <v>0</v>
      </c>
      <c r="X47" s="170"/>
      <c r="Y47" s="223" t="s">
        <v>1159</v>
      </c>
      <c r="Z47" s="171" t="s">
        <v>1184</v>
      </c>
      <c r="AA47" s="97">
        <v>0</v>
      </c>
      <c r="AB47" s="172">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row>
    <row r="48" spans="1:84" outlineLevel="3">
      <c r="A48" s="116"/>
      <c r="B48" s="116"/>
      <c r="C48" s="116">
        <v>4</v>
      </c>
      <c r="D48" s="199" t="s">
        <v>1083</v>
      </c>
      <c r="E48" s="198"/>
      <c r="F48" s="163"/>
      <c r="G48" s="220"/>
      <c r="H48" s="220" t="s">
        <v>1051</v>
      </c>
      <c r="I48" s="163"/>
      <c r="J48" s="163"/>
      <c r="K48" s="163"/>
      <c r="L48" s="163"/>
      <c r="M48" s="164"/>
      <c r="N48" s="164"/>
      <c r="O48" s="165"/>
      <c r="P48" s="166">
        <v>0</v>
      </c>
      <c r="Q48" s="166">
        <v>0</v>
      </c>
      <c r="R48" s="167">
        <v>0</v>
      </c>
      <c r="S48" s="167">
        <v>0</v>
      </c>
      <c r="T48" s="164"/>
      <c r="U48" s="164"/>
      <c r="V48" s="168">
        <v>0</v>
      </c>
      <c r="W48" s="169">
        <v>0</v>
      </c>
      <c r="X48" s="170"/>
      <c r="Y48" s="223" t="s">
        <v>1159</v>
      </c>
      <c r="Z48" s="171" t="s">
        <v>1185</v>
      </c>
      <c r="AA48" s="97">
        <v>0</v>
      </c>
      <c r="AB48" s="172">
        <v>0</v>
      </c>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row>
    <row r="49" spans="1:84" outlineLevel="3">
      <c r="A49" s="116"/>
      <c r="B49" s="116"/>
      <c r="C49" s="116">
        <v>4</v>
      </c>
      <c r="D49" s="199" t="s">
        <v>1084</v>
      </c>
      <c r="E49" s="198"/>
      <c r="F49" s="163"/>
      <c r="G49" s="220"/>
      <c r="H49" s="220" t="s">
        <v>1052</v>
      </c>
      <c r="I49" s="163"/>
      <c r="J49" s="163"/>
      <c r="K49" s="163"/>
      <c r="L49" s="163"/>
      <c r="M49" s="164"/>
      <c r="N49" s="164"/>
      <c r="O49" s="165"/>
      <c r="P49" s="166">
        <v>0</v>
      </c>
      <c r="Q49" s="166">
        <v>0</v>
      </c>
      <c r="R49" s="167">
        <v>0</v>
      </c>
      <c r="S49" s="167">
        <v>0</v>
      </c>
      <c r="T49" s="164"/>
      <c r="U49" s="164"/>
      <c r="V49" s="168">
        <v>0</v>
      </c>
      <c r="W49" s="169">
        <v>0</v>
      </c>
      <c r="X49" s="170"/>
      <c r="Y49" s="223" t="s">
        <v>1159</v>
      </c>
      <c r="Z49" s="171" t="s">
        <v>1185</v>
      </c>
      <c r="AA49" s="97">
        <v>0</v>
      </c>
      <c r="AB49" s="172">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row>
    <row r="50" spans="1:84" outlineLevel="2">
      <c r="A50" s="116"/>
      <c r="B50" s="116" t="s">
        <v>976</v>
      </c>
      <c r="C50" s="116">
        <v>3</v>
      </c>
      <c r="D50" s="199" t="s">
        <v>1085</v>
      </c>
      <c r="E50" s="198"/>
      <c r="F50" s="163"/>
      <c r="G50" s="220" t="s">
        <v>1062</v>
      </c>
      <c r="H50" s="220"/>
      <c r="I50" s="163"/>
      <c r="J50" s="163"/>
      <c r="K50" s="163"/>
      <c r="L50" s="163"/>
      <c r="M50" s="164">
        <v>43637</v>
      </c>
      <c r="N50" s="164">
        <v>43642</v>
      </c>
      <c r="O50" s="165"/>
      <c r="P50" s="166">
        <v>12</v>
      </c>
      <c r="Q50" s="166">
        <v>12</v>
      </c>
      <c r="R50" s="167">
        <v>4</v>
      </c>
      <c r="S50" s="167">
        <v>4</v>
      </c>
      <c r="T50" s="164"/>
      <c r="U50" s="164"/>
      <c r="V50" s="168">
        <v>0</v>
      </c>
      <c r="W50" s="169">
        <v>0</v>
      </c>
      <c r="X50" s="170"/>
      <c r="Y50" s="165"/>
      <c r="Z50" s="171"/>
      <c r="AA50" s="97">
        <v>1</v>
      </c>
      <c r="AB50" s="172">
        <v>0</v>
      </c>
      <c r="AC50" s="123"/>
      <c r="AD50" s="4" t="str">
        <f>"     " &amp; TEXT(AB50,"#0.00%") &amp; " " &amp; "데이터베이스 설계" &amp; " " &amp; IF(M50="","",TEXT(M50,"M/D-")) &amp; IF(N50="","",TEXT(N50,"M/D")) &amp; " "</f>
        <v xml:space="preserve">     0.00% 데이터베이스 설계 6/21-6/26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row>
    <row r="51" spans="1:84" outlineLevel="3">
      <c r="A51" s="116"/>
      <c r="B51" s="116"/>
      <c r="C51" s="116">
        <v>4</v>
      </c>
      <c r="D51" s="199" t="s">
        <v>1086</v>
      </c>
      <c r="E51" s="198"/>
      <c r="F51" s="163"/>
      <c r="G51" s="220"/>
      <c r="H51" s="220" t="s">
        <v>1065</v>
      </c>
      <c r="I51" s="163"/>
      <c r="J51" s="163"/>
      <c r="K51" s="163"/>
      <c r="L51" s="163"/>
      <c r="M51" s="164">
        <v>43637</v>
      </c>
      <c r="N51" s="164">
        <v>43642</v>
      </c>
      <c r="O51" s="165"/>
      <c r="P51" s="166">
        <v>4</v>
      </c>
      <c r="Q51" s="166">
        <v>4</v>
      </c>
      <c r="R51" s="167">
        <v>4</v>
      </c>
      <c r="S51" s="167">
        <v>4</v>
      </c>
      <c r="T51" s="164"/>
      <c r="U51" s="164"/>
      <c r="V51" s="168"/>
      <c r="W51" s="169">
        <v>0</v>
      </c>
      <c r="X51" s="170">
        <v>1</v>
      </c>
      <c r="Y51" s="165" t="s">
        <v>1157</v>
      </c>
      <c r="Z51" s="171" t="s">
        <v>1186</v>
      </c>
      <c r="AA51" s="97">
        <v>1</v>
      </c>
      <c r="AB51" s="172">
        <v>0</v>
      </c>
      <c r="AC51" s="123"/>
      <c r="AD51" s="4" t="str">
        <f>"     " &amp; TEXT(AB51,"#0.00%") &amp; " " &amp; "다이어그램 정의 (다이어그램) -&gt; DB설계" &amp; "(최기현)" &amp; " " &amp; IF(M51="","",TEXT(M51,"M/D-")) &amp; IF(N51="","",TEXT(N51,"M/D")) &amp; " "</f>
        <v xml:space="preserve">     0.00% 다이어그램 정의 (다이어그램) -&gt; DB설계(최기현) 6/21-6/26 </v>
      </c>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row>
    <row r="52" spans="1:84" outlineLevel="3">
      <c r="A52" s="116"/>
      <c r="B52" s="116"/>
      <c r="C52" s="116">
        <v>4</v>
      </c>
      <c r="D52" s="199" t="s">
        <v>1087</v>
      </c>
      <c r="E52" s="198"/>
      <c r="F52" s="163"/>
      <c r="G52" s="220"/>
      <c r="H52" s="202" t="s">
        <v>1063</v>
      </c>
      <c r="I52" s="163"/>
      <c r="J52" s="163"/>
      <c r="K52" s="163"/>
      <c r="L52" s="163"/>
      <c r="M52" s="164">
        <v>43637</v>
      </c>
      <c r="N52" s="164">
        <v>43642</v>
      </c>
      <c r="O52" s="165"/>
      <c r="P52" s="166">
        <v>4</v>
      </c>
      <c r="Q52" s="166">
        <v>4</v>
      </c>
      <c r="R52" s="167">
        <v>4</v>
      </c>
      <c r="S52" s="167">
        <v>4</v>
      </c>
      <c r="T52" s="164"/>
      <c r="U52" s="164"/>
      <c r="V52" s="168"/>
      <c r="W52" s="169">
        <v>0</v>
      </c>
      <c r="X52" s="170">
        <v>1</v>
      </c>
      <c r="Y52" s="165" t="s">
        <v>1159</v>
      </c>
      <c r="Z52" s="171"/>
      <c r="AA52" s="97">
        <v>1</v>
      </c>
      <c r="AB52" s="172">
        <v>0</v>
      </c>
      <c r="AC52" s="123"/>
      <c r="AD52" s="4" t="str">
        <f>"     " &amp; TEXT(AB52,"#0.00%") &amp; " " &amp; "아키텍처 설계" &amp; "(지준혁)" &amp; " " &amp; IF(M52="","",TEXT(M52,"M/D-")) &amp; IF(N52="","",TEXT(N52,"M/D")) &amp; " "</f>
        <v xml:space="preserve">     0.00% 아키텍처 설계(지준혁) 6/21-6/26 </v>
      </c>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row>
    <row r="53" spans="1:84" outlineLevel="3">
      <c r="A53" s="116"/>
      <c r="B53" s="116"/>
      <c r="C53" s="116">
        <v>4</v>
      </c>
      <c r="D53" s="199" t="s">
        <v>1088</v>
      </c>
      <c r="E53" s="198"/>
      <c r="F53" s="163"/>
      <c r="G53" s="220"/>
      <c r="H53" s="202" t="s">
        <v>1064</v>
      </c>
      <c r="I53" s="163"/>
      <c r="J53" s="163"/>
      <c r="K53" s="163"/>
      <c r="L53" s="163"/>
      <c r="M53" s="164">
        <v>43637</v>
      </c>
      <c r="N53" s="164">
        <v>43642</v>
      </c>
      <c r="O53" s="165"/>
      <c r="P53" s="166">
        <v>4</v>
      </c>
      <c r="Q53" s="166">
        <v>4</v>
      </c>
      <c r="R53" s="167">
        <v>4</v>
      </c>
      <c r="S53" s="167">
        <v>4</v>
      </c>
      <c r="T53" s="164"/>
      <c r="U53" s="164"/>
      <c r="V53" s="168"/>
      <c r="W53" s="169">
        <v>0</v>
      </c>
      <c r="X53" s="170">
        <v>1</v>
      </c>
      <c r="Y53" s="165" t="s">
        <v>1161</v>
      </c>
      <c r="Z53" s="171" t="s">
        <v>1187</v>
      </c>
      <c r="AA53" s="97">
        <v>1</v>
      </c>
      <c r="AB53" s="172">
        <v>0</v>
      </c>
      <c r="AC53" s="123"/>
      <c r="AD53" s="4" t="str">
        <f>"     " &amp; TEXT(AB53,"#0.00%") &amp; " " &amp; "클래스 설계" &amp; "(이승헌)" &amp; " " &amp; IF(M53="","",TEXT(M53,"M/D-")) &amp; IF(N53="","",TEXT(N53,"M/D")) &amp; " "</f>
        <v xml:space="preserve">     0.00% 클래스 설계(이승헌) 6/21-6/26 </v>
      </c>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row>
    <row r="54" spans="1:84">
      <c r="A54" s="116"/>
      <c r="B54" s="116" t="s">
        <v>976</v>
      </c>
      <c r="C54" s="116">
        <v>1</v>
      </c>
      <c r="D54" s="218" t="s">
        <v>1026</v>
      </c>
      <c r="E54" s="163" t="s">
        <v>962</v>
      </c>
      <c r="F54" s="163"/>
      <c r="G54" s="163"/>
      <c r="H54" s="198"/>
      <c r="I54" s="198"/>
      <c r="J54" s="198"/>
      <c r="K54" s="198"/>
      <c r="L54" s="163"/>
      <c r="M54" s="164"/>
      <c r="N54" s="164"/>
      <c r="O54" s="165"/>
      <c r="P54" s="166">
        <v>0</v>
      </c>
      <c r="Q54" s="166">
        <v>0</v>
      </c>
      <c r="R54" s="167">
        <v>0</v>
      </c>
      <c r="S54" s="167">
        <v>0</v>
      </c>
      <c r="T54" s="164"/>
      <c r="U54" s="164"/>
      <c r="V54" s="168">
        <v>0</v>
      </c>
      <c r="W54" s="169">
        <v>0</v>
      </c>
      <c r="X54" s="170"/>
      <c r="Y54" s="165"/>
      <c r="Z54" s="171"/>
      <c r="AA54" s="97">
        <v>0</v>
      </c>
      <c r="AB54" s="172">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row>
    <row r="55" spans="1:84" outlineLevel="1">
      <c r="A55" s="116"/>
      <c r="B55" s="116" t="s">
        <v>976</v>
      </c>
      <c r="C55" s="116">
        <v>2</v>
      </c>
      <c r="D55" s="218" t="s">
        <v>1096</v>
      </c>
      <c r="E55" s="163"/>
      <c r="F55" s="163" t="s">
        <v>1089</v>
      </c>
      <c r="G55" s="163"/>
      <c r="H55" s="163"/>
      <c r="I55" s="163"/>
      <c r="J55" s="163"/>
      <c r="K55" s="163"/>
      <c r="L55" s="163"/>
      <c r="M55" s="164"/>
      <c r="N55" s="164"/>
      <c r="O55" s="165"/>
      <c r="P55" s="166">
        <v>0</v>
      </c>
      <c r="Q55" s="166">
        <v>0</v>
      </c>
      <c r="R55" s="167">
        <v>0</v>
      </c>
      <c r="S55" s="167">
        <v>0</v>
      </c>
      <c r="T55" s="164"/>
      <c r="U55" s="164"/>
      <c r="V55" s="168">
        <v>0</v>
      </c>
      <c r="W55" s="169">
        <v>0</v>
      </c>
      <c r="X55" s="170"/>
      <c r="Y55" s="165"/>
      <c r="Z55" s="171"/>
      <c r="AA55" s="97">
        <v>0</v>
      </c>
      <c r="AB55" s="172">
        <v>0</v>
      </c>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row>
    <row r="56" spans="1:84" outlineLevel="2">
      <c r="A56" s="116"/>
      <c r="B56" s="116"/>
      <c r="C56" s="116">
        <v>3</v>
      </c>
      <c r="D56" s="218" t="s">
        <v>1097</v>
      </c>
      <c r="E56" s="163"/>
      <c r="F56" s="163"/>
      <c r="G56" s="163" t="s">
        <v>1090</v>
      </c>
      <c r="H56" s="163"/>
      <c r="I56" s="163"/>
      <c r="J56" s="163"/>
      <c r="K56" s="163"/>
      <c r="L56" s="163"/>
      <c r="M56" s="164"/>
      <c r="N56" s="164"/>
      <c r="O56" s="165"/>
      <c r="P56" s="166">
        <v>0</v>
      </c>
      <c r="Q56" s="166">
        <v>0</v>
      </c>
      <c r="R56" s="167">
        <v>0</v>
      </c>
      <c r="S56" s="167">
        <v>0</v>
      </c>
      <c r="T56" s="164"/>
      <c r="U56" s="164"/>
      <c r="V56" s="168">
        <v>0</v>
      </c>
      <c r="W56" s="169">
        <v>0</v>
      </c>
      <c r="X56" s="170"/>
      <c r="Y56" s="165"/>
      <c r="Z56" s="171"/>
      <c r="AA56" s="97">
        <v>0</v>
      </c>
      <c r="AB56" s="172">
        <v>0</v>
      </c>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row>
    <row r="57" spans="1:84" outlineLevel="2">
      <c r="A57" s="116"/>
      <c r="B57" s="116"/>
      <c r="C57" s="116">
        <v>3</v>
      </c>
      <c r="D57" s="218" t="s">
        <v>1098</v>
      </c>
      <c r="E57" s="163"/>
      <c r="F57" s="163"/>
      <c r="G57" s="163" t="s">
        <v>1091</v>
      </c>
      <c r="H57" s="163"/>
      <c r="I57" s="163"/>
      <c r="J57" s="163"/>
      <c r="K57" s="163"/>
      <c r="L57" s="163"/>
      <c r="M57" s="164"/>
      <c r="N57" s="164"/>
      <c r="O57" s="165"/>
      <c r="P57" s="166">
        <v>0</v>
      </c>
      <c r="Q57" s="166">
        <v>0</v>
      </c>
      <c r="R57" s="167">
        <v>0</v>
      </c>
      <c r="S57" s="167">
        <v>0</v>
      </c>
      <c r="T57" s="164"/>
      <c r="U57" s="164"/>
      <c r="V57" s="168">
        <v>0</v>
      </c>
      <c r="W57" s="169">
        <v>0</v>
      </c>
      <c r="X57" s="170"/>
      <c r="Y57" s="165"/>
      <c r="Z57" s="171"/>
      <c r="AA57" s="97">
        <v>0</v>
      </c>
      <c r="AB57" s="172">
        <v>0</v>
      </c>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row>
    <row r="58" spans="1:84" outlineLevel="2">
      <c r="A58" s="116"/>
      <c r="B58" s="116"/>
      <c r="C58" s="116">
        <v>3</v>
      </c>
      <c r="D58" s="218" t="s">
        <v>1099</v>
      </c>
      <c r="E58" s="163"/>
      <c r="F58" s="163"/>
      <c r="G58" s="220" t="s">
        <v>1092</v>
      </c>
      <c r="H58" s="163"/>
      <c r="I58" s="163"/>
      <c r="J58" s="163"/>
      <c r="K58" s="163"/>
      <c r="L58" s="163"/>
      <c r="M58" s="164"/>
      <c r="N58" s="164"/>
      <c r="O58" s="165"/>
      <c r="P58" s="166">
        <v>0</v>
      </c>
      <c r="Q58" s="166">
        <v>0</v>
      </c>
      <c r="R58" s="167">
        <v>0</v>
      </c>
      <c r="S58" s="167">
        <v>0</v>
      </c>
      <c r="T58" s="164"/>
      <c r="U58" s="164"/>
      <c r="V58" s="168">
        <v>0</v>
      </c>
      <c r="W58" s="169">
        <v>0</v>
      </c>
      <c r="X58" s="170"/>
      <c r="Y58" s="165"/>
      <c r="Z58" s="171"/>
      <c r="AA58" s="97">
        <v>0</v>
      </c>
      <c r="AB58" s="172">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row>
    <row r="59" spans="1:84" outlineLevel="2">
      <c r="A59" s="116"/>
      <c r="B59" s="116"/>
      <c r="C59" s="116">
        <v>3</v>
      </c>
      <c r="D59" s="218" t="s">
        <v>1100</v>
      </c>
      <c r="E59" s="163"/>
      <c r="F59" s="163"/>
      <c r="G59" s="220" t="s">
        <v>1093</v>
      </c>
      <c r="H59" s="163"/>
      <c r="I59" s="163"/>
      <c r="J59" s="163"/>
      <c r="K59" s="163"/>
      <c r="L59" s="163"/>
      <c r="M59" s="164"/>
      <c r="N59" s="164"/>
      <c r="O59" s="165"/>
      <c r="P59" s="166">
        <v>0</v>
      </c>
      <c r="Q59" s="166">
        <v>0</v>
      </c>
      <c r="R59" s="167">
        <v>0</v>
      </c>
      <c r="S59" s="167">
        <v>0</v>
      </c>
      <c r="T59" s="164"/>
      <c r="U59" s="164"/>
      <c r="V59" s="168">
        <v>0</v>
      </c>
      <c r="W59" s="169">
        <v>0</v>
      </c>
      <c r="X59" s="170"/>
      <c r="Y59" s="165"/>
      <c r="Z59" s="171"/>
      <c r="AA59" s="97">
        <v>0</v>
      </c>
      <c r="AB59" s="172">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row>
    <row r="60" spans="1:84" outlineLevel="2">
      <c r="A60" s="116"/>
      <c r="B60" s="116"/>
      <c r="C60" s="116">
        <v>3</v>
      </c>
      <c r="D60" s="218" t="s">
        <v>1101</v>
      </c>
      <c r="E60" s="163"/>
      <c r="F60" s="163"/>
      <c r="G60" s="220" t="s">
        <v>1094</v>
      </c>
      <c r="H60" s="163"/>
      <c r="I60" s="163"/>
      <c r="J60" s="163"/>
      <c r="K60" s="163"/>
      <c r="L60" s="163"/>
      <c r="M60" s="164"/>
      <c r="N60" s="164"/>
      <c r="O60" s="165"/>
      <c r="P60" s="166">
        <v>0</v>
      </c>
      <c r="Q60" s="166">
        <v>0</v>
      </c>
      <c r="R60" s="167">
        <v>0</v>
      </c>
      <c r="S60" s="167">
        <v>0</v>
      </c>
      <c r="T60" s="164"/>
      <c r="U60" s="164"/>
      <c r="V60" s="168">
        <v>0</v>
      </c>
      <c r="W60" s="169">
        <v>0</v>
      </c>
      <c r="X60" s="170"/>
      <c r="Y60" s="165"/>
      <c r="Z60" s="171"/>
      <c r="AA60" s="97">
        <v>0</v>
      </c>
      <c r="AB60" s="172">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row>
    <row r="61" spans="1:84" outlineLevel="2">
      <c r="A61" s="116"/>
      <c r="B61" s="116"/>
      <c r="C61" s="116">
        <v>3</v>
      </c>
      <c r="D61" s="218" t="s">
        <v>1102</v>
      </c>
      <c r="E61" s="163"/>
      <c r="F61" s="163"/>
      <c r="G61" s="202" t="s">
        <v>1095</v>
      </c>
      <c r="H61" s="163"/>
      <c r="I61" s="163"/>
      <c r="J61" s="163"/>
      <c r="K61" s="163"/>
      <c r="L61" s="163"/>
      <c r="M61" s="164"/>
      <c r="N61" s="164"/>
      <c r="O61" s="165"/>
      <c r="P61" s="166">
        <v>0</v>
      </c>
      <c r="Q61" s="166">
        <v>0</v>
      </c>
      <c r="R61" s="167">
        <v>0</v>
      </c>
      <c r="S61" s="167">
        <v>0</v>
      </c>
      <c r="T61" s="164"/>
      <c r="U61" s="164"/>
      <c r="V61" s="168">
        <v>0</v>
      </c>
      <c r="W61" s="169">
        <v>0</v>
      </c>
      <c r="X61" s="170"/>
      <c r="Y61" s="165"/>
      <c r="Z61" s="171"/>
      <c r="AA61" s="97">
        <v>0</v>
      </c>
      <c r="AB61" s="17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row>
    <row r="62" spans="1:84" outlineLevel="1">
      <c r="A62" s="116"/>
      <c r="B62" s="116" t="s">
        <v>976</v>
      </c>
      <c r="C62" s="116">
        <v>2</v>
      </c>
      <c r="D62" s="218" t="s">
        <v>1116</v>
      </c>
      <c r="E62" s="163"/>
      <c r="F62" s="163" t="s">
        <v>1104</v>
      </c>
      <c r="G62" s="163"/>
      <c r="H62" s="163"/>
      <c r="I62" s="163"/>
      <c r="J62" s="163"/>
      <c r="K62" s="163"/>
      <c r="L62" s="163"/>
      <c r="M62" s="164"/>
      <c r="N62" s="164"/>
      <c r="O62" s="165"/>
      <c r="P62" s="166">
        <v>0</v>
      </c>
      <c r="Q62" s="166">
        <v>0</v>
      </c>
      <c r="R62" s="167">
        <v>0</v>
      </c>
      <c r="S62" s="167">
        <v>0</v>
      </c>
      <c r="T62" s="164"/>
      <c r="U62" s="164"/>
      <c r="V62" s="168">
        <v>0</v>
      </c>
      <c r="W62" s="169">
        <v>0</v>
      </c>
      <c r="X62" s="170"/>
      <c r="Y62" s="165"/>
      <c r="Z62" s="171"/>
      <c r="AA62" s="97">
        <v>0</v>
      </c>
      <c r="AB62" s="172">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row>
    <row r="63" spans="1:84" outlineLevel="2">
      <c r="A63" s="116"/>
      <c r="B63" s="116" t="s">
        <v>976</v>
      </c>
      <c r="C63" s="116">
        <v>3</v>
      </c>
      <c r="D63" s="218" t="s">
        <v>1117</v>
      </c>
      <c r="E63" s="163"/>
      <c r="F63" s="163"/>
      <c r="G63" s="220" t="s">
        <v>1105</v>
      </c>
      <c r="H63" s="163"/>
      <c r="I63" s="163"/>
      <c r="J63" s="163"/>
      <c r="K63" s="163"/>
      <c r="L63" s="163"/>
      <c r="M63" s="164"/>
      <c r="N63" s="164"/>
      <c r="O63" s="165"/>
      <c r="P63" s="166">
        <v>0</v>
      </c>
      <c r="Q63" s="166">
        <v>0</v>
      </c>
      <c r="R63" s="167">
        <v>0</v>
      </c>
      <c r="S63" s="167">
        <v>0</v>
      </c>
      <c r="T63" s="164"/>
      <c r="U63" s="164"/>
      <c r="V63" s="168">
        <v>0</v>
      </c>
      <c r="W63" s="169">
        <v>0</v>
      </c>
      <c r="X63" s="170"/>
      <c r="Y63" s="165"/>
      <c r="Z63" s="171"/>
      <c r="AA63" s="97">
        <v>0</v>
      </c>
      <c r="AB63" s="17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row>
    <row r="64" spans="1:84" outlineLevel="3">
      <c r="A64" s="116"/>
      <c r="B64" s="116"/>
      <c r="C64" s="116">
        <v>4</v>
      </c>
      <c r="D64" s="218" t="s">
        <v>1196</v>
      </c>
      <c r="E64" s="163"/>
      <c r="F64" s="163"/>
      <c r="G64" s="220"/>
      <c r="H64" s="163" t="s">
        <v>1191</v>
      </c>
      <c r="I64" s="163"/>
      <c r="J64" s="163"/>
      <c r="K64" s="163"/>
      <c r="L64" s="163"/>
      <c r="M64" s="164"/>
      <c r="N64" s="164"/>
      <c r="O64" s="165"/>
      <c r="P64" s="166">
        <v>0</v>
      </c>
      <c r="Q64" s="166">
        <v>0</v>
      </c>
      <c r="R64" s="167">
        <v>0</v>
      </c>
      <c r="S64" s="167">
        <v>0</v>
      </c>
      <c r="T64" s="164"/>
      <c r="U64" s="164"/>
      <c r="V64" s="168">
        <v>0</v>
      </c>
      <c r="W64" s="169">
        <v>0</v>
      </c>
      <c r="X64" s="170"/>
      <c r="Y64" s="165"/>
      <c r="Z64" s="171"/>
      <c r="AA64" s="97">
        <v>0</v>
      </c>
      <c r="AB64" s="17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row>
    <row r="65" spans="1:84" outlineLevel="3">
      <c r="A65" s="116"/>
      <c r="B65" s="116"/>
      <c r="C65" s="116">
        <v>4</v>
      </c>
      <c r="D65" s="218" t="s">
        <v>1205</v>
      </c>
      <c r="E65" s="163"/>
      <c r="F65" s="163"/>
      <c r="G65" s="220"/>
      <c r="H65" s="163" t="s">
        <v>1203</v>
      </c>
      <c r="I65" s="163"/>
      <c r="J65" s="163"/>
      <c r="K65" s="163"/>
      <c r="L65" s="163"/>
      <c r="M65" s="164"/>
      <c r="N65" s="164"/>
      <c r="O65" s="165"/>
      <c r="P65" s="166">
        <v>0</v>
      </c>
      <c r="Q65" s="166">
        <v>0</v>
      </c>
      <c r="R65" s="167">
        <v>0</v>
      </c>
      <c r="S65" s="167">
        <v>0</v>
      </c>
      <c r="T65" s="164"/>
      <c r="U65" s="164"/>
      <c r="V65" s="168">
        <v>0</v>
      </c>
      <c r="W65" s="169">
        <v>0</v>
      </c>
      <c r="X65" s="170"/>
      <c r="Y65" s="165"/>
      <c r="Z65" s="171"/>
      <c r="AA65" s="97">
        <v>0</v>
      </c>
      <c r="AB65" s="172">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row>
    <row r="66" spans="1:84" outlineLevel="3">
      <c r="A66" s="116"/>
      <c r="B66" s="116"/>
      <c r="C66" s="116">
        <v>0</v>
      </c>
      <c r="D66" s="218"/>
      <c r="E66" s="163"/>
      <c r="F66" s="163"/>
      <c r="G66" s="220"/>
      <c r="H66" s="163"/>
      <c r="I66" s="163"/>
      <c r="J66" s="163"/>
      <c r="K66" s="163"/>
      <c r="L66" s="163"/>
      <c r="M66" s="164"/>
      <c r="N66" s="164"/>
      <c r="O66" s="165"/>
      <c r="P66" s="166"/>
      <c r="Q66" s="166"/>
      <c r="R66" s="167">
        <v>0</v>
      </c>
      <c r="S66" s="167">
        <v>0</v>
      </c>
      <c r="T66" s="164"/>
      <c r="U66" s="164"/>
      <c r="V66" s="168"/>
      <c r="W66" s="169">
        <v>0</v>
      </c>
      <c r="X66" s="170"/>
      <c r="Y66" s="165"/>
      <c r="Z66" s="171"/>
      <c r="AA66" s="97"/>
      <c r="AB66" s="172"/>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row>
    <row r="67" spans="1:84" outlineLevel="2">
      <c r="A67" s="116"/>
      <c r="B67" s="116" t="s">
        <v>976</v>
      </c>
      <c r="C67" s="116">
        <v>3</v>
      </c>
      <c r="D67" s="218" t="s">
        <v>1118</v>
      </c>
      <c r="E67" s="163"/>
      <c r="F67" s="163"/>
      <c r="G67" s="220" t="s">
        <v>1092</v>
      </c>
      <c r="H67" s="163"/>
      <c r="I67" s="163"/>
      <c r="J67" s="163"/>
      <c r="K67" s="163"/>
      <c r="L67" s="163"/>
      <c r="M67" s="164"/>
      <c r="N67" s="164"/>
      <c r="O67" s="165"/>
      <c r="P67" s="166">
        <v>0</v>
      </c>
      <c r="Q67" s="166">
        <v>0</v>
      </c>
      <c r="R67" s="167">
        <v>0</v>
      </c>
      <c r="S67" s="167">
        <v>0</v>
      </c>
      <c r="T67" s="164"/>
      <c r="U67" s="164"/>
      <c r="V67" s="168">
        <v>0</v>
      </c>
      <c r="W67" s="169">
        <v>0</v>
      </c>
      <c r="X67" s="170"/>
      <c r="Y67" s="165"/>
      <c r="Z67" s="171"/>
      <c r="AA67" s="97">
        <v>0</v>
      </c>
      <c r="AB67" s="172">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row>
    <row r="68" spans="1:84" outlineLevel="3">
      <c r="A68" s="116"/>
      <c r="B68" s="116"/>
      <c r="C68" s="116">
        <v>4</v>
      </c>
      <c r="D68" s="218" t="s">
        <v>1197</v>
      </c>
      <c r="E68" s="163"/>
      <c r="F68" s="163"/>
      <c r="G68" s="220"/>
      <c r="H68" s="163" t="s">
        <v>1192</v>
      </c>
      <c r="I68" s="163"/>
      <c r="J68" s="163"/>
      <c r="K68" s="163"/>
      <c r="L68" s="163"/>
      <c r="M68" s="164"/>
      <c r="N68" s="164"/>
      <c r="O68" s="165"/>
      <c r="P68" s="166">
        <v>0</v>
      </c>
      <c r="Q68" s="166">
        <v>0</v>
      </c>
      <c r="R68" s="167">
        <v>0</v>
      </c>
      <c r="S68" s="167">
        <v>0</v>
      </c>
      <c r="T68" s="164"/>
      <c r="U68" s="164"/>
      <c r="V68" s="168">
        <v>0</v>
      </c>
      <c r="W68" s="169">
        <v>0</v>
      </c>
      <c r="X68" s="170"/>
      <c r="Y68" s="165"/>
      <c r="Z68" s="171"/>
      <c r="AA68" s="97">
        <v>0</v>
      </c>
      <c r="AB68" s="172">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row>
    <row r="69" spans="1:84" outlineLevel="3">
      <c r="A69" s="116"/>
      <c r="B69" s="116"/>
      <c r="C69" s="116">
        <v>4</v>
      </c>
      <c r="D69" s="218" t="s">
        <v>1211</v>
      </c>
      <c r="E69" s="163"/>
      <c r="F69" s="163"/>
      <c r="G69" s="220"/>
      <c r="H69" s="163" t="s">
        <v>1209</v>
      </c>
      <c r="I69" s="163"/>
      <c r="J69" s="163"/>
      <c r="K69" s="163"/>
      <c r="L69" s="163"/>
      <c r="M69" s="164"/>
      <c r="N69" s="164"/>
      <c r="O69" s="165"/>
      <c r="P69" s="166">
        <v>0</v>
      </c>
      <c r="Q69" s="166">
        <v>0</v>
      </c>
      <c r="R69" s="167">
        <v>0</v>
      </c>
      <c r="S69" s="167">
        <v>0</v>
      </c>
      <c r="T69" s="164"/>
      <c r="U69" s="164"/>
      <c r="V69" s="168">
        <v>0</v>
      </c>
      <c r="W69" s="169">
        <v>0</v>
      </c>
      <c r="X69" s="170"/>
      <c r="Y69" s="165"/>
      <c r="Z69" s="171"/>
      <c r="AA69" s="97">
        <v>0</v>
      </c>
      <c r="AB69" s="172">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row>
    <row r="70" spans="1:84" outlineLevel="3">
      <c r="A70" s="116"/>
      <c r="B70" s="116"/>
      <c r="C70" s="116">
        <v>0</v>
      </c>
      <c r="D70" s="218"/>
      <c r="E70" s="163"/>
      <c r="F70" s="163"/>
      <c r="G70" s="220"/>
      <c r="H70" s="163"/>
      <c r="I70" s="163"/>
      <c r="J70" s="163"/>
      <c r="K70" s="163"/>
      <c r="L70" s="163"/>
      <c r="M70" s="164"/>
      <c r="N70" s="164"/>
      <c r="O70" s="165"/>
      <c r="P70" s="166"/>
      <c r="Q70" s="166"/>
      <c r="R70" s="167">
        <v>0</v>
      </c>
      <c r="S70" s="167">
        <v>0</v>
      </c>
      <c r="T70" s="164"/>
      <c r="U70" s="164"/>
      <c r="V70" s="168"/>
      <c r="W70" s="169">
        <v>0</v>
      </c>
      <c r="X70" s="170"/>
      <c r="Y70" s="165"/>
      <c r="Z70" s="171"/>
      <c r="AA70" s="97"/>
      <c r="AB70" s="172"/>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row>
    <row r="71" spans="1:84" outlineLevel="2">
      <c r="A71" s="116"/>
      <c r="B71" s="116" t="s">
        <v>976</v>
      </c>
      <c r="C71" s="116">
        <v>3</v>
      </c>
      <c r="D71" s="218" t="s">
        <v>1119</v>
      </c>
      <c r="E71" s="163"/>
      <c r="F71" s="163"/>
      <c r="G71" s="220" t="s">
        <v>1095</v>
      </c>
      <c r="H71" s="163"/>
      <c r="I71" s="163"/>
      <c r="J71" s="163"/>
      <c r="K71" s="163"/>
      <c r="L71" s="163"/>
      <c r="M71" s="164"/>
      <c r="N71" s="164"/>
      <c r="O71" s="165"/>
      <c r="P71" s="166">
        <v>0</v>
      </c>
      <c r="Q71" s="166">
        <v>0</v>
      </c>
      <c r="R71" s="167">
        <v>0</v>
      </c>
      <c r="S71" s="167">
        <v>0</v>
      </c>
      <c r="T71" s="164"/>
      <c r="U71" s="164"/>
      <c r="V71" s="168">
        <v>0</v>
      </c>
      <c r="W71" s="169">
        <v>0</v>
      </c>
      <c r="X71" s="170"/>
      <c r="Y71" s="165"/>
      <c r="Z71" s="171"/>
      <c r="AA71" s="97">
        <v>0</v>
      </c>
      <c r="AB71" s="172">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row>
    <row r="72" spans="1:84" outlineLevel="3">
      <c r="A72" s="116"/>
      <c r="B72" s="116"/>
      <c r="C72" s="116">
        <v>4</v>
      </c>
      <c r="D72" s="218" t="s">
        <v>1198</v>
      </c>
      <c r="E72" s="163"/>
      <c r="F72" s="163"/>
      <c r="G72" s="220"/>
      <c r="H72" s="163" t="s">
        <v>1193</v>
      </c>
      <c r="I72" s="163"/>
      <c r="J72" s="163"/>
      <c r="K72" s="163"/>
      <c r="L72" s="163"/>
      <c r="M72" s="164"/>
      <c r="N72" s="164"/>
      <c r="O72" s="165"/>
      <c r="P72" s="166">
        <v>0</v>
      </c>
      <c r="Q72" s="166">
        <v>0</v>
      </c>
      <c r="R72" s="167">
        <v>0</v>
      </c>
      <c r="S72" s="167">
        <v>0</v>
      </c>
      <c r="T72" s="164"/>
      <c r="U72" s="164"/>
      <c r="V72" s="168">
        <v>0</v>
      </c>
      <c r="W72" s="169">
        <v>0</v>
      </c>
      <c r="X72" s="170"/>
      <c r="Y72" s="165"/>
      <c r="Z72" s="171"/>
      <c r="AA72" s="97">
        <v>0</v>
      </c>
      <c r="AB72" s="17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row>
    <row r="73" spans="1:84" outlineLevel="3">
      <c r="A73" s="116"/>
      <c r="B73" s="116"/>
      <c r="C73" s="116">
        <v>0</v>
      </c>
      <c r="D73" s="218"/>
      <c r="E73" s="163"/>
      <c r="F73" s="163"/>
      <c r="G73" s="220"/>
      <c r="H73" s="163"/>
      <c r="I73" s="163"/>
      <c r="J73" s="163"/>
      <c r="K73" s="163"/>
      <c r="L73" s="163"/>
      <c r="M73" s="164"/>
      <c r="N73" s="164"/>
      <c r="O73" s="165"/>
      <c r="P73" s="166"/>
      <c r="Q73" s="166"/>
      <c r="R73" s="167">
        <v>0</v>
      </c>
      <c r="S73" s="167">
        <v>0</v>
      </c>
      <c r="T73" s="164"/>
      <c r="U73" s="164"/>
      <c r="V73" s="168"/>
      <c r="W73" s="169">
        <v>0</v>
      </c>
      <c r="X73" s="170"/>
      <c r="Y73" s="165"/>
      <c r="Z73" s="171"/>
      <c r="AA73" s="97"/>
      <c r="AB73" s="172"/>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row>
    <row r="74" spans="1:84" outlineLevel="2">
      <c r="A74" s="116"/>
      <c r="B74" s="116" t="s">
        <v>976</v>
      </c>
      <c r="C74" s="116">
        <v>3</v>
      </c>
      <c r="D74" s="218" t="s">
        <v>1120</v>
      </c>
      <c r="E74" s="163"/>
      <c r="F74" s="163"/>
      <c r="G74" s="220" t="s">
        <v>1093</v>
      </c>
      <c r="H74" s="163"/>
      <c r="I74" s="163"/>
      <c r="J74" s="163"/>
      <c r="K74" s="163"/>
      <c r="L74" s="163"/>
      <c r="M74" s="164"/>
      <c r="N74" s="164"/>
      <c r="O74" s="165"/>
      <c r="P74" s="166">
        <v>0</v>
      </c>
      <c r="Q74" s="166">
        <v>0</v>
      </c>
      <c r="R74" s="167">
        <v>0</v>
      </c>
      <c r="S74" s="167">
        <v>0</v>
      </c>
      <c r="T74" s="164"/>
      <c r="U74" s="164"/>
      <c r="V74" s="168">
        <v>0</v>
      </c>
      <c r="W74" s="169">
        <v>0</v>
      </c>
      <c r="X74" s="170"/>
      <c r="Y74" s="165"/>
      <c r="Z74" s="171"/>
      <c r="AA74" s="97">
        <v>0</v>
      </c>
      <c r="AB74" s="172">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row>
    <row r="75" spans="1:84" outlineLevel="3">
      <c r="A75" s="116"/>
      <c r="B75" s="116"/>
      <c r="C75" s="116">
        <v>4</v>
      </c>
      <c r="D75" s="218" t="s">
        <v>1199</v>
      </c>
      <c r="E75" s="163"/>
      <c r="F75" s="163"/>
      <c r="G75" s="220"/>
      <c r="H75" s="257" t="s">
        <v>1206</v>
      </c>
      <c r="I75" s="163"/>
      <c r="J75" s="163"/>
      <c r="K75" s="163"/>
      <c r="L75" s="163"/>
      <c r="M75" s="164"/>
      <c r="N75" s="164"/>
      <c r="O75" s="165"/>
      <c r="P75" s="166">
        <v>0</v>
      </c>
      <c r="Q75" s="166">
        <v>0</v>
      </c>
      <c r="R75" s="167">
        <v>0</v>
      </c>
      <c r="S75" s="167">
        <v>0</v>
      </c>
      <c r="T75" s="164"/>
      <c r="U75" s="164"/>
      <c r="V75" s="168">
        <v>0</v>
      </c>
      <c r="W75" s="169">
        <v>0</v>
      </c>
      <c r="X75" s="170"/>
      <c r="Y75" s="165"/>
      <c r="Z75" s="171"/>
      <c r="AA75" s="97">
        <v>0</v>
      </c>
      <c r="AB75" s="172">
        <v>0</v>
      </c>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row>
    <row r="76" spans="1:84" outlineLevel="3">
      <c r="A76" s="116"/>
      <c r="B76" s="116"/>
      <c r="C76" s="116">
        <v>4</v>
      </c>
      <c r="D76" s="218" t="s">
        <v>1208</v>
      </c>
      <c r="E76" s="163"/>
      <c r="F76" s="163"/>
      <c r="G76" s="220"/>
      <c r="H76" s="163" t="s">
        <v>1207</v>
      </c>
      <c r="I76" s="163"/>
      <c r="J76" s="163"/>
      <c r="K76" s="163"/>
      <c r="L76" s="163"/>
      <c r="M76" s="164"/>
      <c r="N76" s="164"/>
      <c r="O76" s="165"/>
      <c r="P76" s="166">
        <v>0</v>
      </c>
      <c r="Q76" s="166">
        <v>0</v>
      </c>
      <c r="R76" s="167">
        <v>0</v>
      </c>
      <c r="S76" s="167">
        <v>0</v>
      </c>
      <c r="T76" s="164"/>
      <c r="U76" s="164"/>
      <c r="V76" s="168">
        <v>0</v>
      </c>
      <c r="W76" s="169">
        <v>0</v>
      </c>
      <c r="X76" s="170"/>
      <c r="Y76" s="165"/>
      <c r="Z76" s="171"/>
      <c r="AA76" s="97">
        <v>0</v>
      </c>
      <c r="AB76" s="172">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row>
    <row r="77" spans="1:84" outlineLevel="3">
      <c r="A77" s="116"/>
      <c r="B77" s="116"/>
      <c r="C77" s="116">
        <v>0</v>
      </c>
      <c r="D77" s="218"/>
      <c r="E77" s="163"/>
      <c r="F77" s="163"/>
      <c r="G77" s="220"/>
      <c r="H77" s="163"/>
      <c r="I77" s="163"/>
      <c r="J77" s="163"/>
      <c r="K77" s="163"/>
      <c r="L77" s="163"/>
      <c r="M77" s="164"/>
      <c r="N77" s="164"/>
      <c r="O77" s="165"/>
      <c r="P77" s="166"/>
      <c r="Q77" s="166"/>
      <c r="R77" s="167">
        <v>0</v>
      </c>
      <c r="S77" s="167">
        <v>0</v>
      </c>
      <c r="T77" s="164"/>
      <c r="U77" s="164"/>
      <c r="V77" s="168"/>
      <c r="W77" s="169">
        <v>0</v>
      </c>
      <c r="X77" s="170"/>
      <c r="Y77" s="165"/>
      <c r="Z77" s="171"/>
      <c r="AA77" s="97"/>
      <c r="AB77" s="172"/>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row>
    <row r="78" spans="1:84" outlineLevel="2">
      <c r="A78" s="116"/>
      <c r="B78" s="116" t="s">
        <v>976</v>
      </c>
      <c r="C78" s="116">
        <v>3</v>
      </c>
      <c r="D78" s="218" t="s">
        <v>1121</v>
      </c>
      <c r="E78" s="163"/>
      <c r="F78" s="163"/>
      <c r="G78" s="220" t="s">
        <v>1094</v>
      </c>
      <c r="H78" s="163"/>
      <c r="I78" s="163"/>
      <c r="J78" s="163"/>
      <c r="K78" s="163"/>
      <c r="L78" s="163"/>
      <c r="M78" s="164"/>
      <c r="N78" s="164"/>
      <c r="O78" s="165"/>
      <c r="P78" s="166">
        <v>0</v>
      </c>
      <c r="Q78" s="166">
        <v>0</v>
      </c>
      <c r="R78" s="167">
        <v>0</v>
      </c>
      <c r="S78" s="167">
        <v>0</v>
      </c>
      <c r="T78" s="164"/>
      <c r="U78" s="164"/>
      <c r="V78" s="168">
        <v>0</v>
      </c>
      <c r="W78" s="169">
        <v>0</v>
      </c>
      <c r="X78" s="170"/>
      <c r="Y78" s="165"/>
      <c r="Z78" s="171"/>
      <c r="AA78" s="97">
        <v>0</v>
      </c>
      <c r="AB78" s="172">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row>
    <row r="79" spans="1:84" outlineLevel="3">
      <c r="A79" s="116"/>
      <c r="B79" s="116"/>
      <c r="C79" s="116">
        <v>4</v>
      </c>
      <c r="D79" s="218" t="s">
        <v>1200</v>
      </c>
      <c r="E79" s="163"/>
      <c r="F79" s="163"/>
      <c r="G79" s="220"/>
      <c r="H79" s="163" t="s">
        <v>1194</v>
      </c>
      <c r="I79" s="163"/>
      <c r="J79" s="163"/>
      <c r="K79" s="163"/>
      <c r="L79" s="163"/>
      <c r="M79" s="164"/>
      <c r="N79" s="164"/>
      <c r="O79" s="165"/>
      <c r="P79" s="166">
        <v>0</v>
      </c>
      <c r="Q79" s="166">
        <v>0</v>
      </c>
      <c r="R79" s="167">
        <v>0</v>
      </c>
      <c r="S79" s="167">
        <v>0</v>
      </c>
      <c r="T79" s="164"/>
      <c r="U79" s="164"/>
      <c r="V79" s="168">
        <v>0</v>
      </c>
      <c r="W79" s="169">
        <v>0</v>
      </c>
      <c r="X79" s="170"/>
      <c r="Y79" s="165"/>
      <c r="Z79" s="171"/>
      <c r="AA79" s="97">
        <v>0</v>
      </c>
      <c r="AB79" s="17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row>
    <row r="80" spans="1:84" outlineLevel="3">
      <c r="A80" s="116"/>
      <c r="B80" s="116"/>
      <c r="C80" s="116">
        <v>4</v>
      </c>
      <c r="D80" s="218" t="s">
        <v>1201</v>
      </c>
      <c r="E80" s="163"/>
      <c r="F80" s="163"/>
      <c r="G80" s="220"/>
      <c r="H80" s="163" t="s">
        <v>1195</v>
      </c>
      <c r="I80" s="163"/>
      <c r="J80" s="163"/>
      <c r="K80" s="163"/>
      <c r="L80" s="163"/>
      <c r="M80" s="164"/>
      <c r="N80" s="164"/>
      <c r="O80" s="165"/>
      <c r="P80" s="166">
        <v>0</v>
      </c>
      <c r="Q80" s="166">
        <v>0</v>
      </c>
      <c r="R80" s="167">
        <v>0</v>
      </c>
      <c r="S80" s="167">
        <v>0</v>
      </c>
      <c r="T80" s="164"/>
      <c r="U80" s="164"/>
      <c r="V80" s="168">
        <v>0</v>
      </c>
      <c r="W80" s="169">
        <v>0</v>
      </c>
      <c r="X80" s="170"/>
      <c r="Y80" s="165"/>
      <c r="Z80" s="171"/>
      <c r="AA80" s="97">
        <v>0</v>
      </c>
      <c r="AB80" s="17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row>
    <row r="81" spans="1:84" outlineLevel="3">
      <c r="A81" s="116"/>
      <c r="B81" s="116"/>
      <c r="C81" s="116">
        <v>0</v>
      </c>
      <c r="D81" s="218"/>
      <c r="E81" s="163"/>
      <c r="F81" s="163"/>
      <c r="G81" s="220"/>
      <c r="H81" s="163"/>
      <c r="I81" s="163"/>
      <c r="J81" s="163"/>
      <c r="K81" s="163"/>
      <c r="L81" s="163"/>
      <c r="M81" s="164"/>
      <c r="N81" s="164"/>
      <c r="O81" s="165"/>
      <c r="P81" s="166"/>
      <c r="Q81" s="166"/>
      <c r="R81" s="167">
        <v>0</v>
      </c>
      <c r="S81" s="167">
        <v>0</v>
      </c>
      <c r="T81" s="164"/>
      <c r="U81" s="164"/>
      <c r="V81" s="168"/>
      <c r="W81" s="169">
        <v>0</v>
      </c>
      <c r="X81" s="170"/>
      <c r="Y81" s="165"/>
      <c r="Z81" s="171"/>
      <c r="AA81" s="97"/>
      <c r="AB81" s="172"/>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row>
    <row r="82" spans="1:84" outlineLevel="2">
      <c r="A82" s="116"/>
      <c r="B82" s="116" t="s">
        <v>976</v>
      </c>
      <c r="C82" s="116">
        <v>3</v>
      </c>
      <c r="D82" s="218" t="s">
        <v>1122</v>
      </c>
      <c r="E82" s="163"/>
      <c r="F82" s="163"/>
      <c r="G82" s="220" t="s">
        <v>1061</v>
      </c>
      <c r="H82" s="163"/>
      <c r="I82" s="163"/>
      <c r="J82" s="163"/>
      <c r="K82" s="163"/>
      <c r="L82" s="163"/>
      <c r="M82" s="164"/>
      <c r="N82" s="164"/>
      <c r="O82" s="165"/>
      <c r="P82" s="166">
        <v>0</v>
      </c>
      <c r="Q82" s="166">
        <v>0</v>
      </c>
      <c r="R82" s="167">
        <v>0</v>
      </c>
      <c r="S82" s="167">
        <v>0</v>
      </c>
      <c r="T82" s="164"/>
      <c r="U82" s="164"/>
      <c r="V82" s="168">
        <v>0</v>
      </c>
      <c r="W82" s="169">
        <v>0</v>
      </c>
      <c r="X82" s="170"/>
      <c r="Y82" s="165"/>
      <c r="Z82" s="171"/>
      <c r="AA82" s="97">
        <v>0</v>
      </c>
      <c r="AB82" s="172">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row>
    <row r="83" spans="1:84" outlineLevel="3">
      <c r="A83" s="116"/>
      <c r="B83" s="116"/>
      <c r="C83" s="116">
        <v>4</v>
      </c>
      <c r="D83" s="218" t="s">
        <v>1212</v>
      </c>
      <c r="E83" s="163"/>
      <c r="F83" s="163"/>
      <c r="G83" s="220"/>
      <c r="H83" s="163" t="s">
        <v>1210</v>
      </c>
      <c r="I83" s="163"/>
      <c r="J83" s="163"/>
      <c r="K83" s="163"/>
      <c r="L83" s="163"/>
      <c r="M83" s="164"/>
      <c r="N83" s="164"/>
      <c r="O83" s="165"/>
      <c r="P83" s="166">
        <v>0</v>
      </c>
      <c r="Q83" s="166">
        <v>0</v>
      </c>
      <c r="R83" s="167">
        <v>0</v>
      </c>
      <c r="S83" s="167">
        <v>0</v>
      </c>
      <c r="T83" s="164"/>
      <c r="U83" s="164"/>
      <c r="V83" s="168">
        <v>0</v>
      </c>
      <c r="W83" s="169">
        <v>0</v>
      </c>
      <c r="X83" s="170"/>
      <c r="Y83" s="165"/>
      <c r="Z83" s="171"/>
      <c r="AA83" s="97">
        <v>0</v>
      </c>
      <c r="AB83" s="172">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row>
    <row r="84" spans="1:84" outlineLevel="3">
      <c r="A84" s="116"/>
      <c r="B84" s="116"/>
      <c r="C84" s="116">
        <v>0</v>
      </c>
      <c r="D84" s="218"/>
      <c r="E84" s="163"/>
      <c r="F84" s="163"/>
      <c r="G84" s="220"/>
      <c r="H84" s="163"/>
      <c r="I84" s="163"/>
      <c r="J84" s="163"/>
      <c r="K84" s="163"/>
      <c r="L84" s="163"/>
      <c r="M84" s="164"/>
      <c r="N84" s="164"/>
      <c r="O84" s="165"/>
      <c r="P84" s="166"/>
      <c r="Q84" s="166"/>
      <c r="R84" s="167">
        <v>0</v>
      </c>
      <c r="S84" s="167">
        <v>0</v>
      </c>
      <c r="T84" s="164"/>
      <c r="U84" s="164"/>
      <c r="V84" s="168"/>
      <c r="W84" s="169">
        <v>0</v>
      </c>
      <c r="X84" s="170"/>
      <c r="Y84" s="165"/>
      <c r="Z84" s="171"/>
      <c r="AA84" s="97"/>
      <c r="AB84" s="172"/>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row>
    <row r="85" spans="1:84" outlineLevel="2">
      <c r="A85" s="116"/>
      <c r="B85" s="116"/>
      <c r="C85" s="116">
        <v>3</v>
      </c>
      <c r="D85" s="218" t="s">
        <v>1123</v>
      </c>
      <c r="E85" s="163"/>
      <c r="F85" s="163"/>
      <c r="G85" s="220" t="s">
        <v>1106</v>
      </c>
      <c r="H85" s="163"/>
      <c r="I85" s="163"/>
      <c r="J85" s="163"/>
      <c r="K85" s="163"/>
      <c r="L85" s="163"/>
      <c r="M85" s="164"/>
      <c r="N85" s="164"/>
      <c r="O85" s="165"/>
      <c r="P85" s="166">
        <v>0</v>
      </c>
      <c r="Q85" s="166">
        <v>0</v>
      </c>
      <c r="R85" s="167">
        <v>0</v>
      </c>
      <c r="S85" s="167">
        <v>0</v>
      </c>
      <c r="T85" s="164"/>
      <c r="U85" s="164"/>
      <c r="V85" s="168">
        <v>0</v>
      </c>
      <c r="W85" s="169">
        <v>0</v>
      </c>
      <c r="X85" s="170"/>
      <c r="Y85" s="165"/>
      <c r="Z85" s="171"/>
      <c r="AA85" s="97">
        <v>0</v>
      </c>
      <c r="AB85" s="172">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row>
    <row r="86" spans="1:84">
      <c r="A86" s="116"/>
      <c r="B86" s="116" t="s">
        <v>976</v>
      </c>
      <c r="C86" s="116">
        <v>1</v>
      </c>
      <c r="D86" s="218" t="s">
        <v>1027</v>
      </c>
      <c r="E86" s="163" t="s">
        <v>1017</v>
      </c>
      <c r="F86" s="163"/>
      <c r="G86" s="163"/>
      <c r="H86" s="163"/>
      <c r="I86" s="163"/>
      <c r="J86" s="163"/>
      <c r="K86" s="163"/>
      <c r="L86" s="163"/>
      <c r="M86" s="164">
        <v>43626</v>
      </c>
      <c r="N86" s="164">
        <v>43674</v>
      </c>
      <c r="O86" s="165"/>
      <c r="P86" s="166">
        <v>105</v>
      </c>
      <c r="Q86" s="166">
        <v>39</v>
      </c>
      <c r="R86" s="167">
        <v>35</v>
      </c>
      <c r="S86" s="167">
        <v>13</v>
      </c>
      <c r="T86" s="164"/>
      <c r="U86" s="164"/>
      <c r="V86" s="168">
        <v>0</v>
      </c>
      <c r="W86" s="169">
        <v>0</v>
      </c>
      <c r="X86" s="170"/>
      <c r="Y86" s="165"/>
      <c r="Z86" s="171"/>
      <c r="AA86" s="97">
        <v>0.37142857142857144</v>
      </c>
      <c r="AB86" s="172">
        <v>0</v>
      </c>
      <c r="AC86" s="123" t="str">
        <f>" " &amp; TEXT(AB86,"#0.00%") &amp; " "</f>
        <v xml:space="preserve"> 0.00% </v>
      </c>
      <c r="AD86" s="4"/>
      <c r="AE86" s="4"/>
      <c r="AF86" s="4"/>
      <c r="AG86" s="4"/>
      <c r="AH86" s="4"/>
      <c r="AI86" s="4"/>
      <c r="AJ86" s="4" t="str">
        <f>" " &amp; "테스트" &amp; " " &amp; IF(M86="","",TEXT(M86,"M/D-")) &amp; IF(N86="","",TEXT(N86,"M/D")) &amp; " "</f>
        <v xml:space="preserve"> 테스트 6/10-7/28 </v>
      </c>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row>
    <row r="87" spans="1:84" outlineLevel="1">
      <c r="A87" s="116"/>
      <c r="B87" s="116" t="s">
        <v>976</v>
      </c>
      <c r="C87" s="116">
        <v>2</v>
      </c>
      <c r="D87" s="218" t="s">
        <v>1124</v>
      </c>
      <c r="E87" s="163"/>
      <c r="F87" s="163" t="s">
        <v>1103</v>
      </c>
      <c r="G87" s="163"/>
      <c r="H87" s="163"/>
      <c r="I87" s="163"/>
      <c r="J87" s="163"/>
      <c r="K87" s="163"/>
      <c r="L87" s="163"/>
      <c r="M87" s="164">
        <v>43626</v>
      </c>
      <c r="N87" s="164">
        <v>43674</v>
      </c>
      <c r="O87" s="165"/>
      <c r="P87" s="166">
        <v>105</v>
      </c>
      <c r="Q87" s="166">
        <v>39</v>
      </c>
      <c r="R87" s="167">
        <v>35</v>
      </c>
      <c r="S87" s="167">
        <v>13</v>
      </c>
      <c r="T87" s="164"/>
      <c r="U87" s="164"/>
      <c r="V87" s="168">
        <v>0</v>
      </c>
      <c r="W87" s="169">
        <v>0</v>
      </c>
      <c r="X87" s="170"/>
      <c r="Y87" s="165"/>
      <c r="Z87" s="171"/>
      <c r="AA87" s="97">
        <v>0.37142857142857144</v>
      </c>
      <c r="AB87" s="172">
        <v>0</v>
      </c>
      <c r="AC87" s="123" t="str">
        <f>" " &amp; TEXT(AB87,"#0.00%") &amp; " "</f>
        <v xml:space="preserve"> 0.00% </v>
      </c>
      <c r="AD87" s="4"/>
      <c r="AE87" s="4"/>
      <c r="AF87" s="4"/>
      <c r="AG87" s="4"/>
      <c r="AH87" s="4"/>
      <c r="AI87" s="4"/>
      <c r="AJ87" s="4" t="str">
        <f>" " &amp; "통합 테스트 및 디버깅" &amp; " " &amp; IF(M87="","",TEXT(M87,"M/D-")) &amp; IF(N87="","",TEXT(N87,"M/D")) &amp; " "</f>
        <v xml:space="preserve"> 통합 테스트 및 디버깅 6/10-7/28 </v>
      </c>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row>
    <row r="88" spans="1:84" outlineLevel="2">
      <c r="A88" s="116"/>
      <c r="B88" s="116"/>
      <c r="C88" s="116">
        <v>3</v>
      </c>
      <c r="D88" s="218" t="s">
        <v>1125</v>
      </c>
      <c r="E88" s="163"/>
      <c r="F88" s="163"/>
      <c r="G88" s="220" t="s">
        <v>1107</v>
      </c>
      <c r="H88" s="163"/>
      <c r="I88" s="163"/>
      <c r="J88" s="163"/>
      <c r="K88" s="163"/>
      <c r="L88" s="163"/>
      <c r="M88" s="164"/>
      <c r="N88" s="164"/>
      <c r="O88" s="165"/>
      <c r="P88" s="166">
        <v>0</v>
      </c>
      <c r="Q88" s="166">
        <v>0</v>
      </c>
      <c r="R88" s="167">
        <v>0</v>
      </c>
      <c r="S88" s="167">
        <v>0</v>
      </c>
      <c r="T88" s="164"/>
      <c r="U88" s="164"/>
      <c r="V88" s="168">
        <v>0</v>
      </c>
      <c r="W88" s="169">
        <v>0</v>
      </c>
      <c r="X88" s="170"/>
      <c r="Y88" s="165"/>
      <c r="Z88" s="171"/>
      <c r="AA88" s="97">
        <v>0</v>
      </c>
      <c r="AB88" s="172">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row>
    <row r="89" spans="1:84" outlineLevel="2">
      <c r="A89" s="116"/>
      <c r="B89" s="116"/>
      <c r="C89" s="116">
        <v>3</v>
      </c>
      <c r="D89" s="218" t="s">
        <v>1126</v>
      </c>
      <c r="E89" s="163"/>
      <c r="F89" s="163"/>
      <c r="G89" s="220" t="s">
        <v>1108</v>
      </c>
      <c r="H89" s="163"/>
      <c r="I89" s="163"/>
      <c r="J89" s="163"/>
      <c r="K89" s="163"/>
      <c r="L89" s="163"/>
      <c r="M89" s="164"/>
      <c r="N89" s="164"/>
      <c r="O89" s="165"/>
      <c r="P89" s="166">
        <v>0</v>
      </c>
      <c r="Q89" s="166">
        <v>0</v>
      </c>
      <c r="R89" s="167">
        <v>0</v>
      </c>
      <c r="S89" s="167">
        <v>0</v>
      </c>
      <c r="T89" s="164"/>
      <c r="U89" s="164"/>
      <c r="V89" s="168">
        <v>0</v>
      </c>
      <c r="W89" s="169">
        <v>0</v>
      </c>
      <c r="X89" s="170"/>
      <c r="Y89" s="165"/>
      <c r="Z89" s="171"/>
      <c r="AA89" s="97">
        <v>0</v>
      </c>
      <c r="AB89" s="172">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row>
    <row r="90" spans="1:84" outlineLevel="2">
      <c r="A90" s="116"/>
      <c r="B90" s="116"/>
      <c r="C90" s="116">
        <v>3</v>
      </c>
      <c r="D90" s="218" t="s">
        <v>1127</v>
      </c>
      <c r="E90" s="163"/>
      <c r="F90" s="163"/>
      <c r="G90" s="220" t="s">
        <v>1109</v>
      </c>
      <c r="H90" s="163"/>
      <c r="I90" s="163"/>
      <c r="J90" s="163"/>
      <c r="K90" s="163"/>
      <c r="L90" s="163"/>
      <c r="M90" s="164">
        <v>43626</v>
      </c>
      <c r="N90" s="164">
        <v>43674</v>
      </c>
      <c r="O90" s="165"/>
      <c r="P90" s="166">
        <v>35</v>
      </c>
      <c r="Q90" s="166">
        <v>13</v>
      </c>
      <c r="R90" s="167">
        <v>35</v>
      </c>
      <c r="S90" s="167">
        <v>13</v>
      </c>
      <c r="T90" s="164"/>
      <c r="U90" s="164"/>
      <c r="V90" s="168"/>
      <c r="W90" s="169">
        <v>0</v>
      </c>
      <c r="X90" s="170">
        <v>1</v>
      </c>
      <c r="Y90" s="165"/>
      <c r="Z90" s="171"/>
      <c r="AA90" s="97">
        <v>0.37142857142857144</v>
      </c>
      <c r="AB90" s="172">
        <v>0</v>
      </c>
      <c r="AC90" s="123" t="str">
        <f>" " &amp; TEXT(AB90,"#0.00%") &amp; " "</f>
        <v xml:space="preserve"> 0.00% </v>
      </c>
      <c r="AD90" s="4"/>
      <c r="AE90" s="4"/>
      <c r="AF90" s="4"/>
      <c r="AG90" s="4"/>
      <c r="AH90" s="4"/>
      <c r="AI90" s="4"/>
      <c r="AJ90" s="4" t="str">
        <f>" " &amp; "디자인 지침" &amp; " " &amp; IF(M90="","",TEXT(M90,"M/D-")) &amp; IF(N90="","",TEXT(N90,"M/D")) &amp; " "</f>
        <v xml:space="preserve"> 디자인 지침 6/10-7/28 </v>
      </c>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row>
    <row r="91" spans="1:84" outlineLevel="2">
      <c r="A91" s="116"/>
      <c r="B91" s="116"/>
      <c r="C91" s="116">
        <v>3</v>
      </c>
      <c r="D91" s="218" t="s">
        <v>1128</v>
      </c>
      <c r="E91" s="163"/>
      <c r="F91" s="163"/>
      <c r="G91" s="220" t="s">
        <v>1110</v>
      </c>
      <c r="H91" s="163"/>
      <c r="I91" s="163"/>
      <c r="J91" s="163"/>
      <c r="K91" s="163"/>
      <c r="L91" s="163"/>
      <c r="M91" s="164">
        <v>43626</v>
      </c>
      <c r="N91" s="164">
        <v>43674</v>
      </c>
      <c r="O91" s="165"/>
      <c r="P91" s="166">
        <v>35</v>
      </c>
      <c r="Q91" s="166">
        <v>13</v>
      </c>
      <c r="R91" s="167">
        <v>35</v>
      </c>
      <c r="S91" s="167">
        <v>13</v>
      </c>
      <c r="T91" s="164"/>
      <c r="U91" s="164"/>
      <c r="V91" s="168"/>
      <c r="W91" s="169">
        <v>0</v>
      </c>
      <c r="X91" s="170">
        <v>1</v>
      </c>
      <c r="Y91" s="165"/>
      <c r="Z91" s="171"/>
      <c r="AA91" s="97">
        <v>0.37142857142857144</v>
      </c>
      <c r="AB91" s="172">
        <v>0</v>
      </c>
      <c r="AC91" s="123" t="str">
        <f>" " &amp; TEXT(AB91,"#0.00%") &amp; " "</f>
        <v xml:space="preserve"> 0.00% </v>
      </c>
      <c r="AD91" s="4"/>
      <c r="AE91" s="4"/>
      <c r="AF91" s="4"/>
      <c r="AG91" s="4"/>
      <c r="AH91" s="4"/>
      <c r="AI91" s="4"/>
      <c r="AJ91" s="4" t="str">
        <f>" " &amp; "퍼블리싱 지침" &amp; " " &amp; IF(M91="","",TEXT(M91,"M/D-")) &amp; IF(N91="","",TEXT(N91,"M/D")) &amp; " "</f>
        <v xml:space="preserve"> 퍼블리싱 지침 6/10-7/28 </v>
      </c>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row>
    <row r="92" spans="1:84" outlineLevel="2">
      <c r="A92" s="116"/>
      <c r="B92" s="116"/>
      <c r="C92" s="116">
        <v>3</v>
      </c>
      <c r="D92" s="218" t="s">
        <v>1129</v>
      </c>
      <c r="E92" s="163"/>
      <c r="F92" s="163"/>
      <c r="G92" s="220" t="s">
        <v>1111</v>
      </c>
      <c r="H92" s="163"/>
      <c r="I92" s="163"/>
      <c r="J92" s="163"/>
      <c r="K92" s="163"/>
      <c r="L92" s="163"/>
      <c r="M92" s="164">
        <v>43626</v>
      </c>
      <c r="N92" s="164">
        <v>43674</v>
      </c>
      <c r="O92" s="165"/>
      <c r="P92" s="166">
        <v>35</v>
      </c>
      <c r="Q92" s="166">
        <v>13</v>
      </c>
      <c r="R92" s="167">
        <v>35</v>
      </c>
      <c r="S92" s="167">
        <v>13</v>
      </c>
      <c r="T92" s="164"/>
      <c r="U92" s="164"/>
      <c r="V92" s="168"/>
      <c r="W92" s="169">
        <v>0</v>
      </c>
      <c r="X92" s="170">
        <v>1</v>
      </c>
      <c r="Y92" s="165"/>
      <c r="Z92" s="171"/>
      <c r="AA92" s="97">
        <v>0.37142857142857144</v>
      </c>
      <c r="AB92" s="172">
        <v>0</v>
      </c>
      <c r="AC92" s="123" t="str">
        <f>" " &amp; TEXT(AB92,"#0.00%") &amp; " "</f>
        <v xml:space="preserve"> 0.00% </v>
      </c>
      <c r="AD92" s="4"/>
      <c r="AE92" s="4"/>
      <c r="AF92" s="4"/>
      <c r="AG92" s="4"/>
      <c r="AH92" s="4"/>
      <c r="AI92" s="4"/>
      <c r="AJ92" s="4" t="str">
        <f>" " &amp; "개발 지침" &amp; " " &amp; IF(M92="","",TEXT(M92,"M/D-")) &amp; IF(N92="","",TEXT(N92,"M/D")) &amp; " "</f>
        <v xml:space="preserve"> 개발 지침 6/10-7/28 </v>
      </c>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row>
    <row r="93" spans="1:84" outlineLevel="2">
      <c r="A93" s="116"/>
      <c r="B93" s="116"/>
      <c r="C93" s="116">
        <v>0</v>
      </c>
      <c r="D93" s="219"/>
      <c r="E93" s="163"/>
      <c r="F93" s="163"/>
      <c r="G93" s="163"/>
      <c r="H93" s="163"/>
      <c r="I93" s="163"/>
      <c r="J93" s="163"/>
      <c r="K93" s="163"/>
      <c r="L93" s="163"/>
      <c r="M93" s="164"/>
      <c r="N93" s="164"/>
      <c r="O93" s="165"/>
      <c r="P93" s="166"/>
      <c r="Q93" s="166"/>
      <c r="R93" s="167">
        <v>0</v>
      </c>
      <c r="S93" s="167">
        <v>0</v>
      </c>
      <c r="T93" s="164"/>
      <c r="U93" s="164"/>
      <c r="V93" s="168"/>
      <c r="W93" s="169">
        <v>0</v>
      </c>
      <c r="X93" s="170"/>
      <c r="Y93" s="165"/>
      <c r="Z93" s="171"/>
      <c r="AA93" s="97"/>
      <c r="AB93" s="172"/>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row>
    <row r="94" spans="1:84">
      <c r="A94" s="116"/>
      <c r="B94" s="116" t="s">
        <v>976</v>
      </c>
      <c r="C94" s="116">
        <v>1</v>
      </c>
      <c r="D94" s="218" t="s">
        <v>1028</v>
      </c>
      <c r="E94" s="163" t="s">
        <v>1018</v>
      </c>
      <c r="F94" s="163"/>
      <c r="G94" s="163"/>
      <c r="H94" s="163"/>
      <c r="I94" s="163"/>
      <c r="J94" s="163"/>
      <c r="K94" s="163"/>
      <c r="L94" s="163"/>
      <c r="M94" s="164"/>
      <c r="N94" s="164"/>
      <c r="O94" s="165"/>
      <c r="P94" s="166">
        <v>0</v>
      </c>
      <c r="Q94" s="166">
        <v>0</v>
      </c>
      <c r="R94" s="167">
        <v>0</v>
      </c>
      <c r="S94" s="167">
        <v>0</v>
      </c>
      <c r="T94" s="164"/>
      <c r="U94" s="164"/>
      <c r="V94" s="168">
        <v>0</v>
      </c>
      <c r="W94" s="169">
        <v>0</v>
      </c>
      <c r="X94" s="170"/>
      <c r="Y94" s="165"/>
      <c r="Z94" s="171"/>
      <c r="AA94" s="97">
        <v>0</v>
      </c>
      <c r="AB94" s="172">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row>
    <row r="95" spans="1:84" outlineLevel="1">
      <c r="A95" s="116"/>
      <c r="B95" s="116" t="s">
        <v>976</v>
      </c>
      <c r="C95" s="116">
        <v>2</v>
      </c>
      <c r="D95" s="218" t="s">
        <v>1130</v>
      </c>
      <c r="E95" s="163"/>
      <c r="F95" s="163" t="s">
        <v>1018</v>
      </c>
      <c r="G95" s="163"/>
      <c r="H95" s="163"/>
      <c r="I95" s="163"/>
      <c r="J95" s="163"/>
      <c r="K95" s="163"/>
      <c r="L95" s="163"/>
      <c r="M95" s="164"/>
      <c r="N95" s="164"/>
      <c r="O95" s="165"/>
      <c r="P95" s="166">
        <v>0</v>
      </c>
      <c r="Q95" s="166">
        <v>0</v>
      </c>
      <c r="R95" s="167"/>
      <c r="S95" s="167"/>
      <c r="T95" s="164"/>
      <c r="U95" s="164"/>
      <c r="V95" s="168">
        <v>0</v>
      </c>
      <c r="W95" s="169"/>
      <c r="X95" s="170"/>
      <c r="Y95" s="165"/>
      <c r="Z95" s="171"/>
      <c r="AA95" s="97">
        <v>0</v>
      </c>
      <c r="AB95" s="172">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row>
    <row r="96" spans="1:84" outlineLevel="2">
      <c r="A96" s="116"/>
      <c r="B96" s="116"/>
      <c r="C96" s="116">
        <v>3</v>
      </c>
      <c r="D96" s="218" t="s">
        <v>1131</v>
      </c>
      <c r="E96" s="163"/>
      <c r="F96" s="163"/>
      <c r="G96" s="220" t="s">
        <v>1112</v>
      </c>
      <c r="H96" s="163"/>
      <c r="I96" s="163"/>
      <c r="J96" s="163"/>
      <c r="K96" s="163"/>
      <c r="L96" s="163"/>
      <c r="M96" s="164"/>
      <c r="N96" s="164"/>
      <c r="O96" s="165"/>
      <c r="P96" s="166">
        <v>0</v>
      </c>
      <c r="Q96" s="166">
        <v>0</v>
      </c>
      <c r="R96" s="167"/>
      <c r="S96" s="167"/>
      <c r="T96" s="164"/>
      <c r="U96" s="164"/>
      <c r="V96" s="168">
        <v>0</v>
      </c>
      <c r="W96" s="169"/>
      <c r="X96" s="170"/>
      <c r="Y96" s="165"/>
      <c r="Z96" s="171"/>
      <c r="AA96" s="97">
        <v>0</v>
      </c>
      <c r="AB96" s="172">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row>
    <row r="97" spans="1:84" outlineLevel="2">
      <c r="A97" s="116"/>
      <c r="B97" s="116"/>
      <c r="C97" s="116">
        <v>3</v>
      </c>
      <c r="D97" s="3" t="s">
        <v>1132</v>
      </c>
      <c r="E97" s="163"/>
      <c r="F97" s="163"/>
      <c r="G97" s="220" t="s">
        <v>1113</v>
      </c>
      <c r="H97" s="163"/>
      <c r="I97" s="163"/>
      <c r="J97" s="163"/>
      <c r="K97" s="163"/>
      <c r="L97" s="163"/>
      <c r="M97" s="164"/>
      <c r="N97" s="164"/>
      <c r="O97" s="165"/>
      <c r="P97" s="166">
        <v>0</v>
      </c>
      <c r="Q97" s="166">
        <v>0</v>
      </c>
      <c r="R97" s="167">
        <v>67</v>
      </c>
      <c r="S97" s="167">
        <v>67</v>
      </c>
      <c r="T97" s="164"/>
      <c r="U97" s="164"/>
      <c r="V97" s="168">
        <v>0</v>
      </c>
      <c r="W97" s="169">
        <v>0</v>
      </c>
      <c r="X97" s="170"/>
      <c r="Y97" s="165"/>
      <c r="Z97" s="171"/>
      <c r="AA97" s="97">
        <v>0</v>
      </c>
      <c r="AB97" s="172">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row>
    <row r="98" spans="1:84" outlineLevel="2">
      <c r="A98" s="116"/>
      <c r="B98" s="116"/>
      <c r="C98" s="116">
        <v>3</v>
      </c>
      <c r="D98" s="3" t="s">
        <v>1133</v>
      </c>
      <c r="E98" s="163"/>
      <c r="F98" s="163"/>
      <c r="G98" s="221" t="s">
        <v>1114</v>
      </c>
      <c r="H98" s="163"/>
      <c r="I98" s="163"/>
      <c r="J98" s="163"/>
      <c r="K98" s="163"/>
      <c r="L98" s="163"/>
      <c r="M98" s="164"/>
      <c r="N98" s="164"/>
      <c r="O98" s="165"/>
      <c r="P98" s="166">
        <v>0</v>
      </c>
      <c r="Q98" s="166">
        <v>0</v>
      </c>
      <c r="R98" s="167">
        <v>3</v>
      </c>
      <c r="S98" s="167">
        <v>3</v>
      </c>
      <c r="T98" s="164">
        <v>43330</v>
      </c>
      <c r="U98" s="164">
        <v>43334</v>
      </c>
      <c r="V98" s="168">
        <v>0</v>
      </c>
      <c r="W98" s="169">
        <v>3</v>
      </c>
      <c r="X98" s="170"/>
      <c r="Y98" s="165"/>
      <c r="Z98" s="171"/>
      <c r="AA98" s="97">
        <v>0</v>
      </c>
      <c r="AB98" s="172">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row>
    <row r="99" spans="1:84" outlineLevel="2">
      <c r="A99" s="116"/>
      <c r="B99" s="116"/>
      <c r="C99" s="116">
        <v>3</v>
      </c>
      <c r="D99" s="3" t="s">
        <v>1134</v>
      </c>
      <c r="E99" s="163"/>
      <c r="F99" s="163"/>
      <c r="G99" s="220" t="s">
        <v>1115</v>
      </c>
      <c r="H99" s="163"/>
      <c r="I99" s="163"/>
      <c r="J99" s="163"/>
      <c r="K99" s="163"/>
      <c r="L99" s="163"/>
      <c r="M99" s="164"/>
      <c r="N99" s="164"/>
      <c r="O99" s="165"/>
      <c r="P99" s="166">
        <v>0</v>
      </c>
      <c r="Q99" s="166">
        <v>0</v>
      </c>
      <c r="R99" s="167">
        <v>1</v>
      </c>
      <c r="S99" s="167">
        <v>1</v>
      </c>
      <c r="T99" s="164"/>
      <c r="U99" s="164"/>
      <c r="V99" s="168">
        <v>0</v>
      </c>
      <c r="W99" s="169">
        <v>0</v>
      </c>
      <c r="X99" s="170"/>
      <c r="Y99" s="165"/>
      <c r="Z99" s="171"/>
      <c r="AA99" s="97">
        <v>0</v>
      </c>
      <c r="AB99" s="172">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row>
    <row r="100" spans="1:84" ht="11.4" customHeight="1">
      <c r="A100" s="173"/>
      <c r="B100" s="173"/>
      <c r="C100" s="173"/>
      <c r="D100" s="222"/>
      <c r="E100" s="175"/>
      <c r="F100" s="175"/>
      <c r="G100" s="175"/>
      <c r="H100" s="175"/>
      <c r="I100" s="175"/>
      <c r="J100" s="175"/>
      <c r="K100" s="175"/>
      <c r="L100" s="175"/>
      <c r="M100" s="176"/>
      <c r="N100" s="176"/>
      <c r="O100" s="177"/>
      <c r="P100" s="178"/>
      <c r="Q100" s="178"/>
      <c r="R100" s="179"/>
      <c r="S100" s="179"/>
      <c r="T100" s="176"/>
      <c r="U100" s="176"/>
      <c r="V100" s="180"/>
      <c r="W100" s="181"/>
      <c r="X100" s="182"/>
      <c r="Y100" s="177"/>
      <c r="Z100" s="183"/>
      <c r="AA100" s="184"/>
      <c r="AB100" s="185"/>
      <c r="AC100" s="162"/>
      <c r="AD100" s="162"/>
      <c r="AE100" s="162"/>
      <c r="AF100" s="162"/>
      <c r="AG100" s="162"/>
      <c r="AH100" s="162"/>
      <c r="AI100" s="162"/>
      <c r="AJ100" s="162"/>
      <c r="AK100" s="162"/>
      <c r="AL100" s="162"/>
      <c r="AM100" s="162"/>
      <c r="AN100" s="162"/>
      <c r="AO100" s="162"/>
      <c r="AP100" s="162"/>
      <c r="AQ100" s="162"/>
      <c r="AR100" s="162"/>
      <c r="AS100" s="162"/>
      <c r="AT100" s="162"/>
      <c r="AU100" s="162"/>
      <c r="AV100" s="162"/>
      <c r="AW100" s="162"/>
      <c r="AX100" s="162"/>
      <c r="AY100" s="162"/>
      <c r="AZ100" s="162"/>
      <c r="BA100" s="162"/>
      <c r="BB100" s="162"/>
      <c r="BC100" s="162"/>
      <c r="BD100" s="162"/>
      <c r="BE100" s="162"/>
      <c r="BF100" s="162"/>
      <c r="BG100" s="162"/>
      <c r="BH100" s="162"/>
      <c r="BI100" s="162"/>
      <c r="BJ100" s="162"/>
      <c r="BK100" s="162"/>
      <c r="BL100" s="162"/>
      <c r="BM100" s="162"/>
      <c r="BN100" s="162"/>
      <c r="BO100" s="162"/>
      <c r="BP100" s="162"/>
      <c r="BQ100" s="162"/>
      <c r="BR100" s="162"/>
      <c r="BS100" s="162"/>
      <c r="BT100" s="162"/>
      <c r="BU100" s="162"/>
      <c r="BV100" s="162"/>
      <c r="BW100" s="162"/>
      <c r="BX100" s="162"/>
      <c r="BY100" s="162"/>
      <c r="BZ100" s="162"/>
      <c r="CA100" s="162"/>
      <c r="CB100" s="162"/>
      <c r="CC100" s="162"/>
      <c r="CD100" s="162"/>
      <c r="CE100" s="162"/>
      <c r="CF100" s="162"/>
    </row>
    <row r="101" spans="1:84">
      <c r="A101" s="116"/>
      <c r="B101" s="116"/>
      <c r="C101" s="116"/>
      <c r="D101" s="219"/>
      <c r="E101" s="163"/>
      <c r="F101" s="163"/>
      <c r="G101" s="163"/>
      <c r="H101" s="163"/>
      <c r="I101" s="163"/>
      <c r="J101" s="163"/>
      <c r="K101" s="163"/>
      <c r="L101" s="163"/>
      <c r="M101" s="164"/>
      <c r="N101" s="164"/>
      <c r="O101" s="165"/>
      <c r="P101" s="166"/>
      <c r="Q101" s="166"/>
      <c r="R101" s="167"/>
      <c r="S101" s="167"/>
      <c r="T101" s="164"/>
      <c r="U101" s="164"/>
      <c r="V101" s="168"/>
      <c r="W101" s="169"/>
      <c r="X101" s="170"/>
      <c r="Y101" s="165"/>
      <c r="Z101" s="171"/>
      <c r="AA101" s="97"/>
      <c r="AB101" s="172"/>
    </row>
    <row r="102" spans="1:84">
      <c r="A102" s="173"/>
      <c r="B102" s="173"/>
      <c r="C102" s="173"/>
      <c r="D102" s="222"/>
      <c r="E102" s="175"/>
      <c r="F102" s="175"/>
      <c r="G102" s="175"/>
      <c r="H102" s="175"/>
      <c r="I102" s="175"/>
      <c r="J102" s="175"/>
      <c r="K102" s="175"/>
      <c r="L102" s="175"/>
      <c r="M102" s="176"/>
      <c r="N102" s="176"/>
      <c r="O102" s="177"/>
      <c r="P102" s="178"/>
      <c r="Q102" s="178"/>
      <c r="R102" s="179"/>
      <c r="S102" s="179"/>
      <c r="T102" s="176"/>
      <c r="U102" s="176"/>
      <c r="V102" s="180"/>
      <c r="W102" s="181"/>
      <c r="X102" s="182"/>
      <c r="Y102" s="177"/>
      <c r="Z102" s="183"/>
      <c r="AA102" s="184"/>
      <c r="AB102" s="185"/>
    </row>
    <row r="103" spans="1:84">
      <c r="A103" s="116"/>
      <c r="B103" s="116"/>
      <c r="C103" s="116"/>
      <c r="D103" s="219"/>
      <c r="E103" s="163"/>
      <c r="F103" s="163"/>
      <c r="G103" s="163"/>
      <c r="H103" s="163"/>
      <c r="I103" s="163"/>
      <c r="J103" s="163"/>
      <c r="K103" s="163"/>
      <c r="L103" s="163"/>
      <c r="M103" s="164"/>
      <c r="N103" s="164"/>
      <c r="O103" s="165"/>
      <c r="P103" s="166"/>
      <c r="Q103" s="166"/>
      <c r="R103" s="167"/>
      <c r="S103" s="167"/>
      <c r="T103" s="164"/>
      <c r="U103" s="164"/>
      <c r="V103" s="168"/>
      <c r="W103" s="169"/>
      <c r="X103" s="170"/>
      <c r="Y103" s="165"/>
      <c r="Z103" s="171"/>
      <c r="AA103" s="97"/>
      <c r="AB103" s="172"/>
    </row>
    <row r="104" spans="1:84">
      <c r="A104" s="116"/>
      <c r="B104" s="116"/>
      <c r="C104" s="116"/>
      <c r="D104" s="219"/>
      <c r="E104" s="163"/>
      <c r="F104" s="163"/>
      <c r="G104" s="163"/>
      <c r="H104" s="163"/>
      <c r="I104" s="163"/>
      <c r="J104" s="163"/>
      <c r="K104" s="163"/>
      <c r="L104" s="163"/>
      <c r="M104" s="164"/>
      <c r="N104" s="164"/>
      <c r="O104" s="165"/>
      <c r="P104" s="166"/>
      <c r="Q104" s="166"/>
      <c r="R104" s="167"/>
      <c r="S104" s="167"/>
      <c r="T104" s="164"/>
      <c r="U104" s="164"/>
      <c r="V104" s="168"/>
      <c r="W104" s="169"/>
      <c r="X104" s="170"/>
      <c r="Y104" s="165"/>
      <c r="Z104" s="171"/>
      <c r="AA104" s="97"/>
      <c r="AB104" s="172"/>
    </row>
    <row r="105" spans="1:84">
      <c r="A105" s="116"/>
      <c r="B105" s="116"/>
      <c r="C105" s="116"/>
      <c r="D105" s="219"/>
      <c r="E105" s="163"/>
      <c r="F105" s="163"/>
      <c r="G105" s="163"/>
      <c r="H105" s="163"/>
      <c r="I105" s="163"/>
      <c r="J105" s="163"/>
      <c r="K105" s="163"/>
      <c r="L105" s="163"/>
      <c r="M105" s="164"/>
      <c r="N105" s="164"/>
      <c r="O105" s="165"/>
      <c r="P105" s="166"/>
      <c r="Q105" s="166"/>
      <c r="R105" s="167"/>
      <c r="S105" s="167"/>
      <c r="T105" s="164"/>
      <c r="U105" s="164"/>
      <c r="V105" s="168"/>
      <c r="W105" s="169"/>
      <c r="X105" s="170"/>
      <c r="Y105" s="165"/>
      <c r="Z105" s="171"/>
      <c r="AA105" s="97"/>
      <c r="AB105" s="172"/>
    </row>
    <row r="106" spans="1:84">
      <c r="A106" s="116"/>
      <c r="B106" s="116"/>
      <c r="C106" s="116"/>
      <c r="D106" s="219"/>
      <c r="E106" s="163"/>
      <c r="F106" s="163"/>
      <c r="G106" s="163"/>
      <c r="H106" s="163"/>
      <c r="I106" s="163"/>
      <c r="J106" s="163"/>
      <c r="K106" s="163"/>
      <c r="L106" s="163"/>
      <c r="M106" s="164"/>
      <c r="N106" s="164"/>
      <c r="O106" s="165"/>
      <c r="P106" s="166"/>
      <c r="Q106" s="166"/>
      <c r="R106" s="167"/>
      <c r="S106" s="167"/>
      <c r="T106" s="164"/>
      <c r="U106" s="164"/>
      <c r="V106" s="168"/>
      <c r="W106" s="169"/>
      <c r="X106" s="170"/>
      <c r="Y106" s="165"/>
      <c r="Z106" s="171"/>
      <c r="AA106" s="97"/>
      <c r="AB106" s="172"/>
    </row>
    <row r="107" spans="1:84">
      <c r="A107" s="116"/>
      <c r="B107" s="116"/>
      <c r="C107" s="116"/>
      <c r="D107" s="219"/>
      <c r="E107" s="163"/>
      <c r="F107" s="163"/>
      <c r="G107" s="163"/>
      <c r="H107" s="163"/>
      <c r="I107" s="163"/>
      <c r="J107" s="163"/>
      <c r="K107" s="163"/>
      <c r="L107" s="163"/>
      <c r="M107" s="164"/>
      <c r="N107" s="164"/>
      <c r="O107" s="165"/>
      <c r="P107" s="166"/>
      <c r="Q107" s="166"/>
      <c r="R107" s="167"/>
      <c r="S107" s="167"/>
      <c r="T107" s="164"/>
      <c r="U107" s="164"/>
      <c r="V107" s="168"/>
      <c r="W107" s="169"/>
      <c r="X107" s="170"/>
      <c r="Y107" s="165"/>
      <c r="Z107" s="171"/>
      <c r="AA107" s="97"/>
      <c r="AB107" s="172"/>
    </row>
    <row r="108" spans="1:84">
      <c r="A108" s="116"/>
      <c r="B108" s="116"/>
      <c r="C108" s="116"/>
      <c r="D108" s="219"/>
      <c r="E108" s="163"/>
      <c r="F108" s="163"/>
      <c r="G108" s="163"/>
      <c r="H108" s="163"/>
      <c r="I108" s="163"/>
      <c r="J108" s="163"/>
      <c r="K108" s="163"/>
      <c r="L108" s="163"/>
      <c r="M108" s="164"/>
      <c r="N108" s="164"/>
      <c r="O108" s="165"/>
      <c r="P108" s="166"/>
      <c r="Q108" s="166"/>
      <c r="R108" s="167"/>
      <c r="S108" s="167"/>
      <c r="T108" s="164"/>
      <c r="U108" s="164"/>
      <c r="V108" s="168"/>
      <c r="W108" s="169"/>
      <c r="X108" s="170"/>
      <c r="Y108" s="165"/>
      <c r="Z108" s="171"/>
      <c r="AA108" s="97"/>
      <c r="AB108" s="172"/>
    </row>
    <row r="109" spans="1:84">
      <c r="A109" s="116"/>
      <c r="B109" s="116"/>
      <c r="C109" s="116"/>
      <c r="D109" s="219"/>
      <c r="E109" s="163"/>
      <c r="F109" s="163"/>
      <c r="G109" s="163"/>
      <c r="H109" s="163"/>
      <c r="I109" s="163"/>
      <c r="J109" s="163"/>
      <c r="K109" s="163"/>
      <c r="L109" s="163"/>
      <c r="M109" s="164"/>
      <c r="N109" s="164"/>
      <c r="O109" s="165"/>
      <c r="P109" s="166"/>
      <c r="Q109" s="166"/>
      <c r="R109" s="167"/>
      <c r="S109" s="167"/>
      <c r="T109" s="164"/>
      <c r="U109" s="164"/>
      <c r="V109" s="168"/>
      <c r="W109" s="169"/>
      <c r="X109" s="170"/>
      <c r="Y109" s="165"/>
      <c r="Z109" s="171"/>
      <c r="AA109" s="97"/>
      <c r="AB109" s="172"/>
    </row>
    <row r="110" spans="1:84">
      <c r="A110" s="116"/>
      <c r="B110" s="116"/>
      <c r="C110" s="116"/>
      <c r="D110" s="219"/>
      <c r="E110" s="163"/>
      <c r="F110" s="163"/>
      <c r="G110" s="163"/>
      <c r="H110" s="163"/>
      <c r="I110" s="163"/>
      <c r="J110" s="163"/>
      <c r="K110" s="163"/>
      <c r="L110" s="163"/>
      <c r="M110" s="164"/>
      <c r="N110" s="164"/>
      <c r="O110" s="165"/>
      <c r="P110" s="166"/>
      <c r="Q110" s="166"/>
      <c r="R110" s="167"/>
      <c r="S110" s="167"/>
      <c r="T110" s="164"/>
      <c r="U110" s="164"/>
      <c r="V110" s="168"/>
      <c r="W110" s="169"/>
      <c r="X110" s="170"/>
      <c r="Y110" s="165"/>
      <c r="Z110" s="171"/>
      <c r="AA110" s="97"/>
      <c r="AB110" s="172"/>
    </row>
    <row r="111" spans="1:84">
      <c r="A111" s="116"/>
      <c r="B111" s="116"/>
      <c r="C111" s="116"/>
      <c r="D111" s="219"/>
      <c r="E111" s="163"/>
      <c r="F111" s="163"/>
      <c r="G111" s="163"/>
      <c r="H111" s="163"/>
      <c r="I111" s="163"/>
      <c r="J111" s="163"/>
      <c r="K111" s="163"/>
      <c r="L111" s="163"/>
      <c r="M111" s="164"/>
      <c r="N111" s="164"/>
      <c r="O111" s="165"/>
      <c r="P111" s="166"/>
      <c r="Q111" s="166"/>
      <c r="R111" s="167"/>
      <c r="S111" s="167"/>
      <c r="T111" s="164"/>
      <c r="U111" s="164"/>
      <c r="V111" s="168"/>
      <c r="W111" s="169"/>
      <c r="X111" s="170"/>
      <c r="Y111" s="165"/>
      <c r="Z111" s="171"/>
      <c r="AA111" s="97"/>
      <c r="AB111" s="172"/>
    </row>
    <row r="112" spans="1:84">
      <c r="A112" s="116"/>
      <c r="B112" s="116"/>
      <c r="C112" s="116"/>
      <c r="D112" s="219"/>
      <c r="E112" s="163"/>
      <c r="F112" s="163"/>
      <c r="G112" s="163"/>
      <c r="H112" s="163"/>
      <c r="I112" s="163"/>
      <c r="J112" s="163"/>
      <c r="K112" s="163"/>
      <c r="L112" s="163"/>
      <c r="M112" s="164"/>
      <c r="N112" s="164"/>
      <c r="O112" s="165"/>
      <c r="P112" s="166"/>
      <c r="Q112" s="166"/>
      <c r="R112" s="167"/>
      <c r="S112" s="167"/>
      <c r="T112" s="164"/>
      <c r="U112" s="164"/>
      <c r="V112" s="168"/>
      <c r="W112" s="169"/>
      <c r="X112" s="170"/>
      <c r="Y112" s="165"/>
      <c r="Z112" s="171"/>
      <c r="AA112" s="97"/>
      <c r="AB112" s="172"/>
    </row>
    <row r="113" spans="1:28">
      <c r="A113" s="116"/>
      <c r="B113" s="116"/>
      <c r="C113" s="116"/>
      <c r="D113" s="219"/>
      <c r="E113" s="163"/>
      <c r="F113" s="163"/>
      <c r="G113" s="163"/>
      <c r="H113" s="163"/>
      <c r="I113" s="163"/>
      <c r="J113" s="163"/>
      <c r="K113" s="163"/>
      <c r="L113" s="163"/>
      <c r="M113" s="164"/>
      <c r="N113" s="164"/>
      <c r="O113" s="165"/>
      <c r="P113" s="166"/>
      <c r="Q113" s="166"/>
      <c r="R113" s="167"/>
      <c r="S113" s="167"/>
      <c r="T113" s="164"/>
      <c r="U113" s="164"/>
      <c r="V113" s="168"/>
      <c r="W113" s="169"/>
      <c r="X113" s="170"/>
      <c r="Y113" s="165"/>
      <c r="Z113" s="171"/>
      <c r="AA113" s="97"/>
      <c r="AB113" s="172"/>
    </row>
    <row r="114" spans="1:28">
      <c r="A114" s="116"/>
      <c r="B114" s="116"/>
      <c r="C114" s="116"/>
      <c r="D114" s="219"/>
      <c r="E114" s="163"/>
      <c r="F114" s="163"/>
      <c r="G114" s="163"/>
      <c r="H114" s="163"/>
      <c r="I114" s="163"/>
      <c r="J114" s="163"/>
      <c r="K114" s="163"/>
      <c r="L114" s="163"/>
      <c r="M114" s="164"/>
      <c r="N114" s="164"/>
      <c r="O114" s="165"/>
      <c r="P114" s="166"/>
      <c r="Q114" s="166"/>
      <c r="R114" s="167"/>
      <c r="S114" s="167"/>
      <c r="T114" s="164"/>
      <c r="U114" s="164"/>
      <c r="V114" s="168"/>
      <c r="W114" s="169"/>
      <c r="X114" s="170"/>
      <c r="Y114" s="165"/>
      <c r="Z114" s="171"/>
      <c r="AA114" s="97"/>
      <c r="AB114" s="172"/>
    </row>
    <row r="115" spans="1:28">
      <c r="A115" s="116"/>
      <c r="B115" s="116"/>
      <c r="C115" s="116"/>
      <c r="D115" s="219"/>
      <c r="E115" s="163"/>
      <c r="F115" s="163"/>
      <c r="G115" s="163"/>
      <c r="H115" s="163"/>
      <c r="I115" s="163"/>
      <c r="J115" s="163"/>
      <c r="K115" s="163"/>
      <c r="L115" s="163"/>
      <c r="M115" s="164"/>
      <c r="N115" s="164"/>
      <c r="O115" s="165"/>
      <c r="P115" s="166"/>
      <c r="Q115" s="166"/>
      <c r="R115" s="167"/>
      <c r="S115" s="167"/>
      <c r="T115" s="164"/>
      <c r="U115" s="164"/>
      <c r="V115" s="168"/>
      <c r="W115" s="169"/>
      <c r="X115" s="170"/>
      <c r="Y115" s="165"/>
      <c r="Z115" s="171"/>
      <c r="AA115" s="97"/>
      <c r="AB115" s="172"/>
    </row>
    <row r="116" spans="1:28">
      <c r="A116" s="116"/>
      <c r="B116" s="116"/>
      <c r="C116" s="116"/>
      <c r="D116" s="219"/>
      <c r="E116" s="163"/>
      <c r="F116" s="163"/>
      <c r="G116" s="163"/>
      <c r="H116" s="163"/>
      <c r="I116" s="163"/>
      <c r="J116" s="163"/>
      <c r="K116" s="163"/>
      <c r="L116" s="163"/>
      <c r="M116" s="164"/>
      <c r="N116" s="164"/>
      <c r="O116" s="165"/>
      <c r="P116" s="166"/>
      <c r="Q116" s="166"/>
      <c r="R116" s="167"/>
      <c r="S116" s="167"/>
      <c r="T116" s="164"/>
      <c r="U116" s="164"/>
      <c r="V116" s="168"/>
      <c r="W116" s="169"/>
      <c r="X116" s="170"/>
      <c r="Y116" s="165"/>
      <c r="Z116" s="171"/>
      <c r="AA116" s="97"/>
      <c r="AB116" s="172"/>
    </row>
    <row r="117" spans="1:28">
      <c r="A117" s="116"/>
      <c r="B117" s="116"/>
      <c r="C117" s="116"/>
      <c r="D117" s="219"/>
      <c r="E117" s="163"/>
      <c r="F117" s="163"/>
      <c r="G117" s="163"/>
      <c r="H117" s="163"/>
      <c r="I117" s="163"/>
      <c r="J117" s="163"/>
      <c r="K117" s="163"/>
      <c r="L117" s="163"/>
      <c r="M117" s="164"/>
      <c r="N117" s="164"/>
      <c r="O117" s="165"/>
      <c r="P117" s="166"/>
      <c r="Q117" s="166"/>
      <c r="R117" s="167"/>
      <c r="S117" s="167"/>
      <c r="T117" s="164"/>
      <c r="U117" s="164"/>
      <c r="V117" s="168"/>
      <c r="W117" s="169"/>
      <c r="X117" s="170"/>
      <c r="Y117" s="165"/>
      <c r="Z117" s="171"/>
      <c r="AA117" s="97"/>
      <c r="AB117" s="172"/>
    </row>
    <row r="118" spans="1:28">
      <c r="A118" s="116"/>
      <c r="B118" s="116"/>
      <c r="C118" s="116"/>
      <c r="D118" s="219"/>
      <c r="E118" s="163"/>
      <c r="F118" s="163"/>
      <c r="G118" s="163"/>
      <c r="H118" s="163"/>
      <c r="I118" s="163"/>
      <c r="J118" s="163"/>
      <c r="K118" s="163"/>
      <c r="L118" s="163"/>
      <c r="M118" s="164"/>
      <c r="N118" s="164"/>
      <c r="O118" s="165"/>
      <c r="P118" s="166"/>
      <c r="Q118" s="166"/>
      <c r="R118" s="167"/>
      <c r="S118" s="167"/>
      <c r="T118" s="164"/>
      <c r="U118" s="164"/>
      <c r="V118" s="168"/>
      <c r="W118" s="169"/>
      <c r="X118" s="170"/>
      <c r="Y118" s="165"/>
      <c r="Z118" s="171"/>
      <c r="AA118" s="97"/>
      <c r="AB118" s="172"/>
    </row>
    <row r="119" spans="1:28">
      <c r="A119" s="116"/>
      <c r="B119" s="116"/>
      <c r="C119" s="116"/>
      <c r="D119" s="219"/>
      <c r="E119" s="163"/>
      <c r="F119" s="163"/>
      <c r="G119" s="163"/>
      <c r="H119" s="163"/>
      <c r="I119" s="163"/>
      <c r="J119" s="163"/>
      <c r="K119" s="163"/>
      <c r="L119" s="163"/>
      <c r="M119" s="164"/>
      <c r="N119" s="164"/>
      <c r="O119" s="165"/>
      <c r="P119" s="166"/>
      <c r="Q119" s="166"/>
      <c r="R119" s="167"/>
      <c r="S119" s="167"/>
      <c r="T119" s="164"/>
      <c r="U119" s="164"/>
      <c r="V119" s="168"/>
      <c r="W119" s="169"/>
      <c r="X119" s="170"/>
      <c r="Y119" s="165"/>
      <c r="Z119" s="171"/>
      <c r="AA119" s="97"/>
      <c r="AB119" s="172"/>
    </row>
    <row r="120" spans="1:28">
      <c r="A120" s="116"/>
      <c r="B120" s="116"/>
      <c r="C120" s="116"/>
      <c r="D120" s="219"/>
      <c r="E120" s="163"/>
      <c r="F120" s="163"/>
      <c r="G120" s="163"/>
      <c r="H120" s="163"/>
      <c r="I120" s="163"/>
      <c r="J120" s="163"/>
      <c r="K120" s="163"/>
      <c r="L120" s="163"/>
      <c r="M120" s="164"/>
      <c r="N120" s="164"/>
      <c r="O120" s="165"/>
      <c r="P120" s="166"/>
      <c r="Q120" s="166"/>
      <c r="R120" s="167"/>
      <c r="S120" s="167"/>
      <c r="T120" s="164"/>
      <c r="U120" s="164"/>
      <c r="V120" s="168"/>
      <c r="W120" s="169"/>
      <c r="X120" s="170"/>
      <c r="Y120" s="165"/>
      <c r="Z120" s="171"/>
      <c r="AA120" s="97"/>
      <c r="AB120" s="172"/>
    </row>
    <row r="121" spans="1:28">
      <c r="A121" s="116"/>
      <c r="B121" s="116"/>
      <c r="C121" s="116"/>
      <c r="D121" s="219"/>
      <c r="E121" s="163"/>
      <c r="F121" s="163"/>
      <c r="G121" s="163"/>
      <c r="H121" s="163"/>
      <c r="I121" s="163"/>
      <c r="J121" s="163"/>
      <c r="K121" s="163"/>
      <c r="L121" s="163"/>
      <c r="M121" s="164"/>
      <c r="N121" s="164"/>
      <c r="O121" s="165"/>
      <c r="P121" s="166"/>
      <c r="Q121" s="166"/>
      <c r="R121" s="167"/>
      <c r="S121" s="167"/>
      <c r="T121" s="164"/>
      <c r="U121" s="164"/>
      <c r="V121" s="168"/>
      <c r="W121" s="169"/>
      <c r="X121" s="170"/>
      <c r="Y121" s="165"/>
      <c r="Z121" s="171"/>
      <c r="AA121" s="97"/>
      <c r="AB121" s="172"/>
    </row>
    <row r="122" spans="1:28">
      <c r="A122" s="116"/>
      <c r="B122" s="116"/>
      <c r="C122" s="116"/>
      <c r="D122" s="219"/>
      <c r="E122" s="163"/>
      <c r="F122" s="163"/>
      <c r="G122" s="163"/>
      <c r="H122" s="163"/>
      <c r="I122" s="163"/>
      <c r="J122" s="163"/>
      <c r="K122" s="163"/>
      <c r="L122" s="163"/>
      <c r="M122" s="164"/>
      <c r="N122" s="164"/>
      <c r="O122" s="165"/>
      <c r="P122" s="166"/>
      <c r="Q122" s="166"/>
      <c r="R122" s="167"/>
      <c r="S122" s="167"/>
      <c r="T122" s="164"/>
      <c r="U122" s="164"/>
      <c r="V122" s="168"/>
      <c r="W122" s="169"/>
      <c r="X122" s="170"/>
      <c r="Y122" s="165"/>
      <c r="Z122" s="171"/>
      <c r="AA122" s="97"/>
      <c r="AB122" s="172"/>
    </row>
    <row r="123" spans="1:28">
      <c r="A123" s="116"/>
      <c r="B123" s="116"/>
      <c r="C123" s="116"/>
      <c r="D123" s="186"/>
      <c r="E123" s="163"/>
      <c r="F123" s="163"/>
      <c r="G123" s="163"/>
      <c r="H123" s="163"/>
      <c r="I123" s="163"/>
      <c r="J123" s="163"/>
      <c r="K123" s="163"/>
      <c r="L123" s="163"/>
      <c r="M123" s="164"/>
      <c r="N123" s="164"/>
      <c r="O123" s="165"/>
      <c r="P123" s="166"/>
      <c r="Q123" s="166"/>
      <c r="R123" s="167"/>
      <c r="S123" s="167"/>
      <c r="T123" s="164"/>
      <c r="U123" s="164"/>
      <c r="V123" s="168"/>
      <c r="W123" s="169"/>
      <c r="X123" s="170"/>
      <c r="Y123" s="165"/>
      <c r="Z123" s="171"/>
      <c r="AA123" s="97"/>
      <c r="AB123" s="172"/>
    </row>
    <row r="124" spans="1:28">
      <c r="A124" s="116"/>
      <c r="B124" s="116"/>
      <c r="C124" s="116"/>
      <c r="D124" s="186"/>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28">
      <c r="A125" s="116"/>
      <c r="B125" s="116"/>
      <c r="C125" s="116"/>
      <c r="D125" s="186"/>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28">
      <c r="A126" s="116"/>
      <c r="B126" s="116"/>
      <c r="C126" s="116"/>
      <c r="D126" s="219"/>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28">
      <c r="A127" s="116"/>
      <c r="B127" s="116"/>
      <c r="C127" s="116"/>
      <c r="D127" s="219"/>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28">
      <c r="A128" s="116"/>
      <c r="B128" s="116"/>
      <c r="C128" s="116"/>
      <c r="D128" s="219"/>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9"/>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9"/>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9"/>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9"/>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9"/>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9"/>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9"/>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9"/>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9"/>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186"/>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186"/>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9"/>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9"/>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9"/>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73"/>
      <c r="B143" s="173"/>
      <c r="C143" s="194"/>
      <c r="D143" s="150"/>
      <c r="E143" s="195"/>
      <c r="F143" s="175"/>
      <c r="G143" s="175"/>
      <c r="H143" s="175"/>
      <c r="I143" s="175"/>
      <c r="J143" s="175"/>
      <c r="K143" s="175"/>
      <c r="L143" s="175"/>
      <c r="M143" s="176"/>
      <c r="N143" s="176"/>
      <c r="O143" s="177"/>
      <c r="P143" s="178"/>
      <c r="Q143" s="178"/>
      <c r="R143" s="179"/>
      <c r="S143" s="179"/>
      <c r="T143" s="176"/>
      <c r="U143" s="176"/>
      <c r="V143" s="180"/>
      <c r="W143" s="181"/>
      <c r="X143" s="182"/>
      <c r="Y143" s="177"/>
      <c r="Z143" s="183"/>
      <c r="AA143" s="184"/>
      <c r="AB143" s="185"/>
    </row>
    <row r="144" spans="1:28">
      <c r="A144" s="116"/>
      <c r="B144" s="116"/>
      <c r="C144" s="193"/>
      <c r="D144" s="196"/>
      <c r="E144" s="192"/>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93"/>
      <c r="D145" s="196"/>
      <c r="E145" s="192"/>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174"/>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3"/>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3"/>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3"/>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3"/>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3"/>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3"/>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3"/>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3"/>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3"/>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3"/>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3"/>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3"/>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3"/>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3"/>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3"/>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3"/>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3"/>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3"/>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3"/>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3"/>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3"/>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16"/>
      <c r="D168" s="3"/>
      <c r="E168" s="163"/>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3"/>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186"/>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49"/>
      <c r="B216" s="149"/>
      <c r="C216" s="149"/>
      <c r="D216" s="150"/>
      <c r="E216" s="151"/>
      <c r="F216" s="151"/>
      <c r="G216" s="151"/>
      <c r="H216" s="151"/>
      <c r="I216" s="151"/>
      <c r="J216" s="151"/>
      <c r="K216" s="151"/>
      <c r="L216" s="151"/>
      <c r="M216" s="152"/>
      <c r="N216" s="152"/>
      <c r="O216" s="153"/>
      <c r="P216" s="154"/>
      <c r="Q216" s="154"/>
      <c r="R216" s="155"/>
      <c r="S216" s="155"/>
      <c r="T216" s="152"/>
      <c r="U216" s="152"/>
      <c r="V216" s="156"/>
      <c r="W216" s="157"/>
      <c r="X216" s="158"/>
      <c r="Y216" s="153"/>
      <c r="Z216" s="159"/>
      <c r="AA216" s="160"/>
      <c r="AB216" s="161"/>
    </row>
  </sheetData>
  <sheetProtection formatCells="0" formatColumns="0" formatRows="0" insertColumns="0" insertRows="0" insertHyperlinks="0" deleteColumns="0" deleteRows="0" sort="0" autoFilter="0" pivotTables="0"/>
  <dataConsolidate/>
  <mergeCells count="26">
    <mergeCell ref="R3:R4"/>
    <mergeCell ref="S3:S4"/>
    <mergeCell ref="Y3:Y4"/>
    <mergeCell ref="AB3:AB4"/>
    <mergeCell ref="T3:T4"/>
    <mergeCell ref="U3:U4"/>
    <mergeCell ref="V3:V4"/>
    <mergeCell ref="W3:W4"/>
    <mergeCell ref="X3:X4"/>
    <mergeCell ref="AA3:AA4"/>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s>
  <phoneticPr fontId="5" type="noConversion"/>
  <conditionalFormatting sqref="D5:AB99">
    <cfRule type="expression" dxfId="1" priority="2">
      <formula>($B5="G")</formula>
    </cfRule>
    <cfRule type="expression" dxfId="0" priority="1">
      <formula>($AB5=1)</formula>
    </cfRule>
  </conditionalFormatting>
  <dataValidations count="1">
    <dataValidation type="list" allowBlank="1" showInputMessage="1" showErrorMessage="1" sqref="Y100:Y159">
      <formula1>$L$184</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Members'!$C$3:$C$9</xm:f>
          </x14:formula1>
          <xm:sqref>Y5:Y99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1204</v>
      </c>
      <c r="B1" s="18"/>
      <c r="C1" s="18"/>
      <c r="D1" s="18"/>
      <c r="E1" s="18"/>
      <c r="F1" s="18"/>
      <c r="G1" s="18"/>
      <c r="H1" s="18"/>
      <c r="I1" s="18"/>
      <c r="J1" s="18"/>
      <c r="K1" s="18"/>
      <c r="L1" s="251"/>
      <c r="M1" s="252"/>
      <c r="N1" s="252"/>
      <c r="O1" s="19"/>
      <c r="P1" s="19"/>
      <c r="Q1" s="19"/>
    </row>
    <row r="2" spans="1:17" s="23" customFormat="1" ht="13.8">
      <c r="A2" s="21" t="s">
        <v>987</v>
      </c>
      <c r="B2" s="22"/>
    </row>
    <row r="3" spans="1:17" s="23" customFormat="1" ht="13.8">
      <c r="A3" s="21" t="s">
        <v>988</v>
      </c>
      <c r="B3" s="22"/>
    </row>
    <row r="4" spans="1:17" s="23" customFormat="1" ht="13.8">
      <c r="A4" s="253"/>
      <c r="B4" s="253"/>
      <c r="C4" s="24"/>
      <c r="D4" s="25"/>
      <c r="E4" s="25"/>
      <c r="F4" s="25"/>
    </row>
    <row r="5" spans="1:17" s="31" customFormat="1" ht="13.8">
      <c r="A5" s="26"/>
      <c r="B5" s="27"/>
      <c r="C5" s="28"/>
      <c r="D5" s="29"/>
      <c r="E5" s="30"/>
      <c r="F5" s="30"/>
      <c r="G5" s="30"/>
    </row>
    <row r="6" spans="1:17" s="31" customFormat="1" ht="13.8">
      <c r="A6" s="32" t="s">
        <v>989</v>
      </c>
      <c r="B6" s="33">
        <v>174</v>
      </c>
      <c r="C6" s="31" t="s">
        <v>1</v>
      </c>
      <c r="D6" s="250" t="s">
        <v>990</v>
      </c>
      <c r="E6" s="250"/>
      <c r="F6" s="250"/>
      <c r="G6" s="250"/>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991</v>
      </c>
      <c r="B9" s="33">
        <v>100</v>
      </c>
      <c r="C9" s="31" t="s">
        <v>1</v>
      </c>
      <c r="D9" s="249" t="s">
        <v>992</v>
      </c>
      <c r="E9" s="249"/>
      <c r="F9" s="249"/>
      <c r="G9" s="249"/>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1229</v>
      </c>
      <c r="B12" s="33">
        <v>45</v>
      </c>
      <c r="C12" s="31" t="s">
        <v>1</v>
      </c>
      <c r="D12" s="249" t="s">
        <v>1178</v>
      </c>
      <c r="E12" s="249"/>
      <c r="F12" s="249"/>
      <c r="G12" s="249"/>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49" t="s">
        <v>993</v>
      </c>
      <c r="E15" s="249"/>
      <c r="F15" s="249"/>
      <c r="G15" s="249"/>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994</v>
      </c>
      <c r="B18" s="55">
        <v>0.57471264367816088</v>
      </c>
      <c r="D18" s="249" t="s">
        <v>995</v>
      </c>
      <c r="E18" s="249"/>
      <c r="F18" s="249"/>
      <c r="G18" s="249"/>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996</v>
      </c>
      <c r="B21" s="55">
        <v>0.25862068965517243</v>
      </c>
      <c r="D21" s="249" t="s">
        <v>997</v>
      </c>
      <c r="E21" s="249"/>
      <c r="F21" s="249"/>
      <c r="G21" s="249"/>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998</v>
      </c>
      <c r="B24" s="65">
        <f>ACTUAL_RATE-PLANNED_RATE</f>
        <v>-0.31609195402298845</v>
      </c>
      <c r="D24" s="250" t="s">
        <v>999</v>
      </c>
      <c r="E24" s="250"/>
      <c r="F24" s="250"/>
      <c r="G24" s="250"/>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5"/>
  <sheetViews>
    <sheetView showGridLines="0" zoomScale="80" zoomScaleNormal="80" workbookViewId="0">
      <pane ySplit="1" topLeftCell="A2" activePane="bottomLeft" state="frozen"/>
      <selection pane="bottomLeft" activeCell="B1" sqref="B1"/>
    </sheetView>
  </sheetViews>
  <sheetFormatPr defaultColWidth="9.09765625" defaultRowHeight="14.4"/>
  <cols>
    <col min="1" max="1" width="1.69921875" style="191" customWidth="1"/>
    <col min="2" max="3" width="9.796875" style="191" bestFit="1" customWidth="1"/>
    <col min="4" max="4" width="9.09765625" style="191"/>
    <col min="5" max="5" width="10.69921875" style="191" customWidth="1"/>
    <col min="6" max="16384" width="9.09765625" style="191"/>
  </cols>
  <sheetData>
    <row r="1" spans="2:6" ht="37.049999999999997" customHeight="1">
      <c r="B1" s="78" t="s">
        <v>1179</v>
      </c>
    </row>
    <row r="2" spans="2:6">
      <c r="B2" s="191" t="s">
        <v>1180</v>
      </c>
    </row>
    <row r="3" spans="2:6">
      <c r="B3" s="191" t="s">
        <v>1181</v>
      </c>
    </row>
    <row r="6" spans="2:6" ht="28.8">
      <c r="B6" s="79" t="s">
        <v>1001</v>
      </c>
      <c r="C6" s="200" t="s">
        <v>1002</v>
      </c>
      <c r="D6" s="200" t="s">
        <v>2</v>
      </c>
      <c r="E6" s="200" t="s">
        <v>1182</v>
      </c>
      <c r="F6" s="201" t="s">
        <v>1183</v>
      </c>
    </row>
    <row r="7" spans="2:6">
      <c r="B7" s="187">
        <v>43626</v>
      </c>
      <c r="C7" s="187">
        <v>43631</v>
      </c>
      <c r="D7" s="188">
        <v>16</v>
      </c>
      <c r="E7" s="188">
        <f>D7</f>
        <v>16</v>
      </c>
      <c r="F7" s="224">
        <f t="shared" ref="F7:F14" si="0">E7/$D$15</f>
        <v>9.1954022988505746E-2</v>
      </c>
    </row>
    <row r="8" spans="2:6">
      <c r="B8" s="189">
        <v>43632</v>
      </c>
      <c r="C8" s="189">
        <v>43638</v>
      </c>
      <c r="D8" s="190">
        <v>50</v>
      </c>
      <c r="E8" s="190">
        <f>E7+D8</f>
        <v>66</v>
      </c>
      <c r="F8" s="225">
        <f t="shared" si="0"/>
        <v>0.37931034482758619</v>
      </c>
    </row>
    <row r="9" spans="2:6">
      <c r="B9" s="189">
        <v>43639</v>
      </c>
      <c r="C9" s="189">
        <v>43645</v>
      </c>
      <c r="D9" s="190">
        <v>48</v>
      </c>
      <c r="E9" s="190">
        <f t="shared" ref="E9:E14" si="1">E8+D9</f>
        <v>114</v>
      </c>
      <c r="F9" s="225">
        <f t="shared" si="0"/>
        <v>0.65517241379310343</v>
      </c>
    </row>
    <row r="10" spans="2:6">
      <c r="B10" s="189">
        <v>43646</v>
      </c>
      <c r="C10" s="189">
        <v>43652</v>
      </c>
      <c r="D10" s="190">
        <v>15</v>
      </c>
      <c r="E10" s="190">
        <f t="shared" si="1"/>
        <v>129</v>
      </c>
      <c r="F10" s="225">
        <f t="shared" si="0"/>
        <v>0.74137931034482762</v>
      </c>
    </row>
    <row r="11" spans="2:6">
      <c r="B11" s="189">
        <v>43653</v>
      </c>
      <c r="C11" s="189">
        <v>43659</v>
      </c>
      <c r="D11" s="190">
        <v>15</v>
      </c>
      <c r="E11" s="190">
        <f t="shared" si="1"/>
        <v>144</v>
      </c>
      <c r="F11" s="225">
        <f t="shared" si="0"/>
        <v>0.82758620689655171</v>
      </c>
    </row>
    <row r="12" spans="2:6">
      <c r="B12" s="189">
        <v>43660</v>
      </c>
      <c r="C12" s="189">
        <v>43666</v>
      </c>
      <c r="D12" s="190">
        <v>15</v>
      </c>
      <c r="E12" s="190">
        <f t="shared" si="1"/>
        <v>159</v>
      </c>
      <c r="F12" s="225">
        <f t="shared" si="0"/>
        <v>0.91379310344827591</v>
      </c>
    </row>
    <row r="13" spans="2:6">
      <c r="B13" s="189">
        <v>43667</v>
      </c>
      <c r="C13" s="189">
        <v>43673</v>
      </c>
      <c r="D13" s="190">
        <v>15</v>
      </c>
      <c r="E13" s="190">
        <f t="shared" si="1"/>
        <v>174</v>
      </c>
      <c r="F13" s="225">
        <f t="shared" si="0"/>
        <v>1</v>
      </c>
    </row>
    <row r="14" spans="2:6">
      <c r="B14" s="189">
        <v>43674</v>
      </c>
      <c r="C14" s="189">
        <v>43680</v>
      </c>
      <c r="D14" s="190">
        <v>0</v>
      </c>
      <c r="E14" s="190">
        <f t="shared" si="1"/>
        <v>174</v>
      </c>
      <c r="F14" s="225">
        <f t="shared" si="0"/>
        <v>1</v>
      </c>
    </row>
    <row r="15" spans="2:6">
      <c r="C15" s="191" t="s">
        <v>4</v>
      </c>
      <c r="D15" s="191">
        <f>SUM(D7:D14)</f>
        <v>174</v>
      </c>
    </row>
  </sheetData>
  <sortState ref="A7:M34">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B12" sqref="B12"/>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10" s="80" customFormat="1" ht="36.9" customHeight="1">
      <c r="A1" s="17" t="s">
        <v>1004</v>
      </c>
      <c r="B1" s="17"/>
      <c r="C1" s="17"/>
      <c r="D1" s="17"/>
      <c r="E1" s="17"/>
      <c r="F1" s="17"/>
      <c r="G1" s="17"/>
      <c r="H1" s="17"/>
    </row>
    <row r="2" spans="1:10" s="81" customFormat="1" ht="78.75" customHeight="1">
      <c r="A2" s="254" t="s">
        <v>1005</v>
      </c>
      <c r="B2" s="254"/>
      <c r="C2" s="254"/>
      <c r="D2" s="254"/>
      <c r="E2" s="254"/>
      <c r="F2" s="254"/>
      <c r="G2" s="254"/>
      <c r="H2" s="254"/>
    </row>
    <row r="3" spans="1:10" s="81" customFormat="1" ht="24.75" customHeight="1">
      <c r="A3" s="255" t="s">
        <v>1006</v>
      </c>
      <c r="B3" s="255"/>
      <c r="D3" s="255" t="s">
        <v>1007</v>
      </c>
      <c r="E3" s="255"/>
      <c r="G3" s="255" t="s">
        <v>1008</v>
      </c>
      <c r="H3" s="255"/>
    </row>
    <row r="4" spans="1:10" s="83" customFormat="1" ht="19.5" customHeight="1">
      <c r="A4" s="82" t="s">
        <v>1009</v>
      </c>
      <c r="B4" s="82" t="s">
        <v>1011</v>
      </c>
      <c r="D4" s="82" t="s">
        <v>1010</v>
      </c>
      <c r="E4" s="82" t="s">
        <v>1012</v>
      </c>
      <c r="G4" s="82" t="s">
        <v>1010</v>
      </c>
      <c r="H4" s="82" t="s">
        <v>1011</v>
      </c>
    </row>
    <row r="5" spans="1:10" ht="17.399999999999999">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7.399999999999999">
      <c r="A6" s="118" t="s">
        <v>965</v>
      </c>
      <c r="B6" s="119">
        <v>43500</v>
      </c>
      <c r="C6" s="86" t="str">
        <f t="shared" si="0"/>
        <v>(월)</v>
      </c>
      <c r="D6" s="84"/>
      <c r="E6" s="85"/>
      <c r="F6" s="86" t="str">
        <f t="shared" si="1"/>
        <v/>
      </c>
      <c r="G6" s="84"/>
      <c r="H6" s="85"/>
      <c r="I6" s="86" t="str">
        <f t="shared" si="2"/>
        <v/>
      </c>
      <c r="J6" s="87"/>
    </row>
    <row r="7" spans="1:10" ht="17.399999999999999">
      <c r="A7" s="118" t="s">
        <v>966</v>
      </c>
      <c r="B7" s="119">
        <v>43501</v>
      </c>
      <c r="C7" s="86" t="str">
        <f t="shared" si="0"/>
        <v>(화)</v>
      </c>
      <c r="D7" s="84"/>
      <c r="E7" s="85"/>
      <c r="F7" s="86" t="str">
        <f t="shared" si="1"/>
        <v/>
      </c>
      <c r="G7" s="84"/>
      <c r="H7" s="85"/>
      <c r="I7" s="86" t="str">
        <f t="shared" si="2"/>
        <v/>
      </c>
    </row>
    <row r="8" spans="1:10" ht="17.399999999999999">
      <c r="A8" s="118" t="s">
        <v>965</v>
      </c>
      <c r="B8" s="119">
        <v>43502</v>
      </c>
      <c r="C8" s="86" t="str">
        <f t="shared" si="0"/>
        <v>(수)</v>
      </c>
      <c r="D8" s="84"/>
      <c r="E8" s="85"/>
      <c r="F8" s="86" t="str">
        <f t="shared" si="1"/>
        <v/>
      </c>
      <c r="G8" s="84"/>
      <c r="H8" s="85"/>
      <c r="I8" s="86" t="str">
        <f t="shared" si="2"/>
        <v/>
      </c>
    </row>
    <row r="9" spans="1:10" ht="17.399999999999999">
      <c r="A9" s="118" t="s">
        <v>967</v>
      </c>
      <c r="B9" s="119">
        <v>43525</v>
      </c>
      <c r="C9" s="86" t="str">
        <f t="shared" si="0"/>
        <v>(금)</v>
      </c>
      <c r="D9" s="84"/>
      <c r="E9" s="85"/>
      <c r="F9" s="86" t="str">
        <f t="shared" si="1"/>
        <v/>
      </c>
      <c r="G9" s="84"/>
      <c r="H9" s="85"/>
      <c r="I9" s="86" t="str">
        <f t="shared" si="2"/>
        <v/>
      </c>
    </row>
    <row r="10" spans="1:10" ht="17.399999999999999">
      <c r="A10" s="118" t="s">
        <v>968</v>
      </c>
      <c r="B10" s="119">
        <v>43591</v>
      </c>
      <c r="C10" s="86" t="str">
        <f t="shared" si="0"/>
        <v>(월)</v>
      </c>
      <c r="D10" s="84"/>
      <c r="E10" s="85"/>
      <c r="F10" s="86" t="str">
        <f t="shared" si="1"/>
        <v/>
      </c>
      <c r="G10" s="84"/>
      <c r="H10" s="85"/>
      <c r="I10" s="86" t="str">
        <f t="shared" si="2"/>
        <v/>
      </c>
    </row>
    <row r="11" spans="1:10" ht="17.399999999999999">
      <c r="A11" s="118" t="s">
        <v>969</v>
      </c>
      <c r="B11" s="119">
        <v>43622</v>
      </c>
      <c r="C11" s="86" t="str">
        <f t="shared" si="0"/>
        <v>(목)</v>
      </c>
      <c r="D11" s="84"/>
      <c r="E11" s="85"/>
      <c r="F11" s="86" t="str">
        <f t="shared" si="1"/>
        <v/>
      </c>
      <c r="G11" s="84"/>
      <c r="H11" s="85"/>
      <c r="I11" s="86" t="str">
        <f t="shared" si="2"/>
        <v/>
      </c>
    </row>
    <row r="12" spans="1:10" ht="17.399999999999999">
      <c r="A12" s="118" t="s">
        <v>970</v>
      </c>
      <c r="B12" s="119">
        <v>43692</v>
      </c>
      <c r="C12" s="86" t="str">
        <f t="shared" si="0"/>
        <v>(목)</v>
      </c>
      <c r="D12" s="84"/>
      <c r="E12" s="85"/>
      <c r="F12" s="86" t="str">
        <f t="shared" si="1"/>
        <v/>
      </c>
      <c r="G12" s="84"/>
      <c r="H12" s="85"/>
      <c r="I12" s="86" t="str">
        <f t="shared" si="2"/>
        <v/>
      </c>
    </row>
    <row r="13" spans="1:10" ht="17.399999999999999">
      <c r="A13" s="118" t="s">
        <v>971</v>
      </c>
      <c r="B13" s="119">
        <v>43720</v>
      </c>
      <c r="C13" s="86" t="str">
        <f t="shared" si="0"/>
        <v>(목)</v>
      </c>
      <c r="D13" s="84"/>
      <c r="E13" s="85"/>
      <c r="F13" s="86" t="str">
        <f t="shared" si="1"/>
        <v/>
      </c>
      <c r="G13" s="84"/>
      <c r="H13" s="85"/>
      <c r="I13" s="86" t="str">
        <f t="shared" si="2"/>
        <v/>
      </c>
    </row>
    <row r="14" spans="1:10" ht="17.399999999999999">
      <c r="A14" s="118" t="s">
        <v>972</v>
      </c>
      <c r="B14" s="119">
        <v>43721</v>
      </c>
      <c r="C14" s="86" t="str">
        <f t="shared" si="0"/>
        <v>(금)</v>
      </c>
      <c r="D14" s="84"/>
      <c r="E14" s="85"/>
      <c r="F14" s="86" t="str">
        <f t="shared" si="1"/>
        <v/>
      </c>
      <c r="G14" s="84"/>
      <c r="H14" s="85"/>
      <c r="I14" s="86" t="str">
        <f t="shared" si="2"/>
        <v/>
      </c>
    </row>
    <row r="15" spans="1:10" ht="17.399999999999999">
      <c r="A15" s="118" t="s">
        <v>973</v>
      </c>
      <c r="B15" s="119">
        <v>43741</v>
      </c>
      <c r="C15" s="86" t="str">
        <f t="shared" si="0"/>
        <v>(목)</v>
      </c>
      <c r="D15" s="84"/>
      <c r="E15" s="85"/>
      <c r="F15" s="86" t="str">
        <f t="shared" si="1"/>
        <v/>
      </c>
      <c r="G15" s="84"/>
      <c r="H15" s="85"/>
      <c r="I15" s="86" t="str">
        <f t="shared" si="2"/>
        <v/>
      </c>
    </row>
    <row r="16" spans="1:10" ht="17.399999999999999">
      <c r="A16" s="118" t="s">
        <v>974</v>
      </c>
      <c r="B16" s="119">
        <v>43747</v>
      </c>
      <c r="C16" s="86" t="str">
        <f t="shared" si="0"/>
        <v>(수)</v>
      </c>
      <c r="D16" s="84"/>
      <c r="E16" s="85"/>
      <c r="F16" s="86" t="str">
        <f t="shared" si="1"/>
        <v/>
      </c>
      <c r="G16" s="84"/>
      <c r="H16" s="85"/>
      <c r="I16" s="86" t="str">
        <f t="shared" si="2"/>
        <v/>
      </c>
    </row>
    <row r="17" spans="1:9" ht="17.399999999999999">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1013</v>
      </c>
      <c r="D291" s="86" t="s">
        <v>1013</v>
      </c>
      <c r="G291" s="86" t="s">
        <v>1013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14"/>
  <sheetViews>
    <sheetView workbookViewId="0">
      <selection activeCell="E4" sqref="E4"/>
    </sheetView>
  </sheetViews>
  <sheetFormatPr defaultRowHeight="17.399999999999999"/>
  <cols>
    <col min="1" max="1" width="1.5" customWidth="1"/>
  </cols>
  <sheetData>
    <row r="3" spans="2:3">
      <c r="C3" t="s">
        <v>1165</v>
      </c>
    </row>
    <row r="4" spans="2:3">
      <c r="B4" s="256" t="s">
        <v>1166</v>
      </c>
      <c r="C4" t="s">
        <v>1156</v>
      </c>
    </row>
    <row r="5" spans="2:3">
      <c r="B5" s="256"/>
      <c r="C5" t="s">
        <v>1158</v>
      </c>
    </row>
    <row r="6" spans="2:3">
      <c r="B6" s="256"/>
      <c r="C6" t="s">
        <v>1160</v>
      </c>
    </row>
    <row r="7" spans="2:3">
      <c r="B7" s="256"/>
      <c r="C7" t="s">
        <v>1162</v>
      </c>
    </row>
    <row r="8" spans="2:3">
      <c r="B8" s="256"/>
      <c r="C8" t="s">
        <v>1163</v>
      </c>
    </row>
    <row r="9" spans="2:3">
      <c r="B9" s="256"/>
      <c r="C9" t="s">
        <v>1164</v>
      </c>
    </row>
    <row r="10" spans="2:3">
      <c r="B10" s="256" t="s">
        <v>1172</v>
      </c>
      <c r="C10" t="s">
        <v>1167</v>
      </c>
    </row>
    <row r="11" spans="2:3">
      <c r="B11" s="256"/>
      <c r="C11" t="s">
        <v>1168</v>
      </c>
    </row>
    <row r="12" spans="2:3">
      <c r="B12" s="256"/>
      <c r="C12" t="s">
        <v>1169</v>
      </c>
    </row>
    <row r="13" spans="2:3">
      <c r="B13" s="256"/>
      <c r="C13" t="s">
        <v>1170</v>
      </c>
    </row>
    <row r="14" spans="2:3">
      <c r="B14" s="256"/>
      <c r="C14" t="s">
        <v>1171</v>
      </c>
    </row>
  </sheetData>
  <mergeCells count="2">
    <mergeCell ref="B4:B9"/>
    <mergeCell ref="B10:B14"/>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2019-06-26T09:51:16Z</dcterms:modified>
</cp:coreProperties>
</file>