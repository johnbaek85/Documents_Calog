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af2455916749499e"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john\Documents\GitHub\Documents_calog\Schedule\"/>
    </mc:Choice>
  </mc:AlternateContent>
  <bookViews>
    <workbookView xWindow="0" yWindow="0" windowWidth="25125" windowHeight="13710" tabRatio="535" firstSheet="3" activeTab="3"/>
  </bookViews>
  <sheets>
    <sheet name="Settings" sheetId="6" state="veryHidden" r:id="rId1"/>
    <sheet name="TranslatedLanguages" sheetId="7" state="hidden" r:id="rId2"/>
    <sheet name="Workload" sheetId="8" state="veryHidden" r:id="rId3"/>
    <sheet name="Schedule" sheetId="2" r:id="rId4"/>
    <sheet name="Progress" sheetId="3" r:id="rId5"/>
    <sheet name="AnalysisReport" sheetId="4" r:id="rId6"/>
    <sheet name="Calendar" sheetId="5" r:id="rId7"/>
    <sheet name="Team Members" sheetId="9" r:id="rId8"/>
  </sheets>
  <functionGroups builtInGroupCount="18"/>
  <externalReferences>
    <externalReference r:id="rId9"/>
  </externalReferences>
  <definedNames>
    <definedName name="_xlnm._FilterDatabase" localSheetId="3" hidden="1">Schedule!$M$3:$AB$162</definedName>
    <definedName name="ACTUAL_RATE" localSheetId="2">[1]Progress!$B$21</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2"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 localSheetId="2">[1]Progress!$B$18</definedName>
    <definedName name="PLANNED_RATE">Progress!$B$18</definedName>
    <definedName name="PLANNED_WORKLOAD">Progress!$B$9</definedName>
    <definedName name="RATE_GAP">Progress!$B$24</definedName>
    <definedName name="RNG_ACTUAL_END_DATE_COL_NAME">Schedule!$U$3</definedName>
    <definedName name="RNG_ACTUAL_RATE_COL_NAME">Schedule!$AB$3</definedName>
    <definedName name="RNG_ACTUAL_START_DATE_COL_NAME">Schedule!$T$3</definedName>
    <definedName name="RNG_ACTUAL_TOTAL_DURATION_COL_NAME">Schedule!$W$3</definedName>
    <definedName name="RNG_ACTUAL_TOTAL_WORKLOAD_COL_NAME">Schedule!$V$3</definedName>
    <definedName name="RNG_CALENDAR_COL_NAME">Schedule!$O$3</definedName>
    <definedName name="RNG_DELIVERABLES_COL_NAME">Schedule!$Z$3</definedName>
    <definedName name="RNG_END_DATE_COL_NAME">Schedule!$N$3</definedName>
    <definedName name="RNG_ETC_COL_NAME">Schedule!$L$3</definedName>
    <definedName name="RNG_GANTT_AREA_FIRST_COL_NAME">Schedule!$AC$4</definedName>
    <definedName name="RNG_PLAN_DURATION_COL_NAME">Schedule!$S$3</definedName>
    <definedName name="RNG_PLAN_RATE_COL_NAME">Schedule!$AA$3</definedName>
    <definedName name="RNG_PLAN_WORKLOAD_COL_NAME">Schedule!$Q$3</definedName>
    <definedName name="RNG_RESOURCE_COL_NAME">Schedule!$Y$3</definedName>
    <definedName name="RNG_RESOURCE_WEIGHT_COL_NAME">Schedule!$X$3</definedName>
    <definedName name="RNG_START_DATE_COL_NAME">Schedule!$M$3</definedName>
    <definedName name="RNG_TASK_FIRST_COL_NAME">Schedule!$E$3</definedName>
    <definedName name="RNG_TOTAL_DURATION_COL_NAME">Schedule!$R$3</definedName>
    <definedName name="RNG_TOTAL_WORKLOAD_COL_NAME">Schedule!$P$3</definedName>
    <definedName name="RNG_WBS_AREA_LAST_COL_NAME" localSheetId="2">[1]Schedule!#REF!</definedName>
    <definedName name="RNG_WBS_AREA_LAST_COL_NAME">Schedule!$AB$3</definedName>
    <definedName name="RNG_WBS_COL_NAME">Schedule!$D$3</definedName>
    <definedName name="RNG_WBS_LEVEL_COL_NAME">Schedule!$C$3</definedName>
    <definedName name="STD_CAL" localSheetId="2">[1]Calendar!$B$5:$B$304</definedName>
    <definedName name="STD_CAL">Calendar!$B$5:$B$290</definedName>
    <definedName name="TOTAL_WORKLOAD">Progress!$B$6</definedName>
    <definedName name="UD_CAL1">Calendar!$E$5:$E$290</definedName>
    <definedName name="UD_CAL2">Calendar!$H$5:$H$290</definedName>
    <definedName name="Z_02FBC6E6_CD2B_48E2_BC55_64C05A10B473_.wvu.FilterData" localSheetId="3" hidden="1">Schedule!$E$4:$T$4</definedName>
    <definedName name="Z_0A64F8D9_59E4_4471_A54B_AB6085820F8B_.wvu.FilterData" localSheetId="3" hidden="1">Schedule!$E$4:$T$4</definedName>
    <definedName name="Z_0A64F8D9_59E4_4471_A54B_AB6085820F8B_.wvu.PrintArea" localSheetId="3" hidden="1">Schedule!$E$4:$AB$4</definedName>
    <definedName name="Z_0B810681_CC81_4141_9F16_24B3FD4F0FB8_.wvu.FilterData" localSheetId="3" hidden="1">Schedule!$E$4:$T$4</definedName>
    <definedName name="Z_0B810681_CC81_4141_9F16_24B3FD4F0FB8_.wvu.PrintArea" localSheetId="3" hidden="1">Schedule!$E$4:$AB$4</definedName>
    <definedName name="Z_45F170B6_3544_43F8_BFC7_D657B723AABC_.wvu.FilterData" localSheetId="3" hidden="1">Schedule!$E$4:$T$4</definedName>
    <definedName name="Z_45F170B6_3544_43F8_BFC7_D657B723AABC_.wvu.PrintArea" localSheetId="3" hidden="1">Schedule!$E$4:$AB$4</definedName>
    <definedName name="Z_6C04A49A_6140_42F5_B660_358F3428D555_.wvu.FilterData" localSheetId="3" hidden="1">Schedule!$E$4:$T$4</definedName>
    <definedName name="Z_6C04A49A_6140_42F5_B660_358F3428D555_.wvu.PrintArea" localSheetId="3" hidden="1">Schedule!$E$4:$AB$4</definedName>
    <definedName name="Z_717B341C_ADF7_4494_8FE3_F9159C14788B_.wvu.FilterData" localSheetId="3" hidden="1">Schedule!$E$4:$T$4</definedName>
    <definedName name="Z_96DEAA77_2828_4E97_975A_CF93EF5D9712_.wvu.FilterData" localSheetId="3" hidden="1">Schedule!$E$4:$T$4</definedName>
    <definedName name="Z_AF9F6769_16BA_4444_B539_537212F9672A_.wvu.FilterData" localSheetId="3" hidden="1">Schedule!$E$4:$T$4</definedName>
    <definedName name="Z_AF9F6769_16BA_4444_B539_537212F9672A_.wvu.PrintArea" localSheetId="3" hidden="1">Schedule!$E$4:$AB$4</definedName>
    <definedName name="Z_B0AA3114_3257_4D99_8E15_F0A183B56293_.wvu.FilterData" localSheetId="3" hidden="1">Schedule!$E$4:$T$4</definedName>
    <definedName name="Z_B4798534_C27D_422C_BD87_0A71D9C8BAA9_.wvu.FilterData" localSheetId="3" hidden="1">Schedule!$E$4:$T$4</definedName>
    <definedName name="Z_C7B87852_3417_4B82_AD8F_04929FC46960_.wvu.FilterData" localSheetId="3" hidden="1">Schedule!$E$4:$T$4</definedName>
    <definedName name="Z_CD147E05_78AB_4F1A_996E_7FAB0BB4629B_.wvu.FilterData" localSheetId="3" hidden="1">Schedule!$E$4:$T$4</definedName>
    <definedName name="Z_F8F33EAC_6737_4237_A48D_05833D89E8C9_.wvu.FilterData" localSheetId="3" hidden="1">Schedule!$E$4:$T$4</definedName>
    <definedName name="Z_F8F33EAC_6737_4237_A48D_05833D89E8C9_.wvu.PrintArea" localSheetId="3" hidden="1">Schedule!$E$4:$AB$4</definedName>
    <definedName name="Z_FA644498_2FA7_4E23_AA15_463455A1D2EE_.wvu.FilterData" localSheetId="3" hidden="1">Schedule!$E$4:$T$4</definedName>
  </definedNames>
  <calcPr calcId="152511"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C5" i="2" l="1"/>
  <c r="AC6" i="2"/>
  <c r="AC7" i="2"/>
  <c r="AH15" i="2"/>
  <c r="AD16" i="2"/>
  <c r="AD20" i="2"/>
  <c r="AD21" i="2"/>
  <c r="AD22" i="2"/>
  <c r="AD23" i="2"/>
  <c r="AD24" i="2"/>
  <c r="AH25" i="2"/>
  <c r="AF26" i="2"/>
  <c r="AD27" i="2"/>
  <c r="AD28" i="2"/>
  <c r="AE29" i="2"/>
  <c r="AF30" i="2"/>
  <c r="AH31" i="2"/>
  <c r="AH32" i="2"/>
  <c r="AH33" i="2"/>
  <c r="AH34" i="2"/>
  <c r="AE35" i="2"/>
  <c r="AE36" i="2"/>
  <c r="AE37" i="2"/>
  <c r="AE38" i="2"/>
  <c r="AG39" i="2"/>
  <c r="AF40" i="2"/>
  <c r="AF41" i="2"/>
  <c r="AF42" i="2"/>
  <c r="AF44" i="2"/>
  <c r="AF46" i="2"/>
  <c r="AH47" i="2"/>
  <c r="AF48" i="2"/>
  <c r="AF49" i="2"/>
  <c r="AF50" i="2"/>
  <c r="AF51" i="2"/>
  <c r="AF52" i="2"/>
  <c r="AF53" i="2"/>
  <c r="AF54" i="2"/>
  <c r="AG55" i="2"/>
  <c r="AG60" i="2"/>
  <c r="AG65" i="2"/>
  <c r="AG66" i="2"/>
  <c r="AC106" i="2"/>
  <c r="AJ106" i="2"/>
  <c r="AC107" i="2"/>
  <c r="AJ107" i="2"/>
  <c r="AC110" i="2"/>
  <c r="AJ110" i="2"/>
  <c r="AC111" i="2"/>
  <c r="AJ111" i="2"/>
  <c r="AC112" i="2"/>
  <c r="AJ112" i="2"/>
  <c r="D15" i="4"/>
  <c r="E8" i="4"/>
  <c r="F8" i="4" s="1"/>
  <c r="E7" i="4"/>
  <c r="H60" i="8"/>
  <c r="F7" i="4" l="1"/>
  <c r="E9" i="4"/>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D1" i="2"/>
  <c r="F9" i="4" l="1"/>
  <c r="E10" i="4"/>
  <c r="B24" i="3"/>
  <c r="AB2" i="2"/>
  <c r="AB1" i="2"/>
  <c r="F10" i="4" l="1"/>
  <c r="E11" i="4"/>
  <c r="F11" i="4" l="1"/>
  <c r="E12" i="4"/>
  <c r="F12" i="4" l="1"/>
  <c r="E13" i="4"/>
  <c r="F13" i="4" l="1"/>
  <c r="E14" i="4"/>
  <c r="F14" i="4" s="1"/>
</calcChain>
</file>

<file path=xl/sharedStrings.xml><?xml version="1.0" encoding="utf-8"?>
<sst xmlns="http://schemas.openxmlformats.org/spreadsheetml/2006/main" count="1636" uniqueCount="1307">
  <si>
    <t>프로젝트 착수</t>
  </si>
  <si>
    <t>Man/Day</t>
    <phoneticPr fontId="5" type="noConversion"/>
  </si>
  <si>
    <t>Man-Day</t>
  </si>
  <si>
    <t>Man-Month</t>
  </si>
  <si>
    <t>Total</t>
  </si>
  <si>
    <t>ITEM</t>
    <phoneticPr fontId="5" type="noConversion"/>
  </si>
  <si>
    <t>VALUE1</t>
    <phoneticPr fontId="5" type="noConversion"/>
  </si>
  <si>
    <t>VALUE2</t>
    <phoneticPr fontId="5" type="noConversion"/>
  </si>
  <si>
    <t>VALUE3</t>
  </si>
  <si>
    <t>INSERTED_DATE</t>
    <phoneticPr fontId="5" type="noConversion"/>
  </si>
  <si>
    <t>UPDATED_DATE</t>
    <phoneticPr fontId="5" type="noConversion"/>
  </si>
  <si>
    <t>COMPANY</t>
    <phoneticPr fontId="5" type="noConversion"/>
  </si>
  <si>
    <t>XLWorks</t>
    <phoneticPr fontId="5" type="noConversion"/>
  </si>
  <si>
    <t>DO NOT UPDATE</t>
    <phoneticPr fontId="5" type="noConversion"/>
  </si>
  <si>
    <t>AUTHOR_EMAIL</t>
    <phoneticPr fontId="5" type="noConversion"/>
  </si>
  <si>
    <t>PROGRAM_NAME</t>
    <phoneticPr fontId="5" type="noConversion"/>
  </si>
  <si>
    <t>XLGantt</t>
  </si>
  <si>
    <t>PROGRAM_SITE</t>
    <phoneticPr fontId="5" type="noConversion"/>
  </si>
  <si>
    <t>http://xlworks.net</t>
    <phoneticPr fontId="5" type="noConversion"/>
  </si>
  <si>
    <t>PROGRAM_SITE_DISP</t>
    <phoneticPr fontId="5" type="noConversion"/>
  </si>
  <si>
    <t>VERSION</t>
    <phoneticPr fontId="5" type="noConversion"/>
  </si>
  <si>
    <t>DO NOT UPDATE</t>
    <phoneticPr fontId="5" type="noConversion"/>
  </si>
  <si>
    <t>RELEASE_DATE</t>
    <phoneticPr fontId="5" type="noConversion"/>
  </si>
  <si>
    <t>LICENSE</t>
    <phoneticPr fontId="5" type="noConversion"/>
  </si>
  <si>
    <t>Freeware</t>
    <phoneticPr fontId="5" type="noConversion"/>
  </si>
  <si>
    <t>Name:projectName</t>
  </si>
  <si>
    <t>Name:isConfirmedProjectBasicInfo</t>
  </si>
  <si>
    <t>Name:projectStartDate</t>
  </si>
  <si>
    <t>Name:projectEndDate</t>
  </si>
  <si>
    <t>Name:optScheduleChangeMgt</t>
  </si>
  <si>
    <t>Name:optPlanRateCriteriaDate</t>
  </si>
  <si>
    <t>Name:chkDeliverablesMgt</t>
    <phoneticPr fontId="5" type="noConversion"/>
  </si>
  <si>
    <t>Name:savePathType</t>
    <phoneticPr fontId="5" type="noConversion"/>
  </si>
  <si>
    <t>Name:txtDefinedPath</t>
    <phoneticPr fontId="5" type="noConversion"/>
  </si>
  <si>
    <t>Name:txtAutoDefinedBasePath</t>
    <phoneticPr fontId="5" type="noConversion"/>
  </si>
  <si>
    <t>Name:txtPgmName1</t>
    <phoneticPr fontId="5" type="noConversion"/>
  </si>
  <si>
    <t>Name:txtFileExt1</t>
  </si>
  <si>
    <t>Name:txtPgmPath1</t>
    <phoneticPr fontId="5" type="noConversion"/>
  </si>
  <si>
    <t>Name:chkInclude2SelectList1</t>
    <phoneticPr fontId="5" type="noConversion"/>
  </si>
  <si>
    <t>Name:txtPgmName2</t>
    <phoneticPr fontId="5" type="noConversion"/>
  </si>
  <si>
    <t>Name:txtFileExt2</t>
    <phoneticPr fontId="5" type="noConversion"/>
  </si>
  <si>
    <t>Name:txtPgmPath2</t>
    <phoneticPr fontId="5" type="noConversion"/>
  </si>
  <si>
    <t>Name:chkInclude2SelectList2</t>
    <phoneticPr fontId="5" type="noConversion"/>
  </si>
  <si>
    <t>Name:txtPgmName3</t>
    <phoneticPr fontId="5" type="noConversion"/>
  </si>
  <si>
    <t>Name:txtFileExt3</t>
    <phoneticPr fontId="5" type="noConversion"/>
  </si>
  <si>
    <t>Name:txtPgmPath3</t>
    <phoneticPr fontId="5" type="noConversion"/>
  </si>
  <si>
    <t>Name:chkInclude2SelectList3</t>
    <phoneticPr fontId="5" type="noConversion"/>
  </si>
  <si>
    <t>Name:txtPgmName4</t>
    <phoneticPr fontId="5" type="noConversion"/>
  </si>
  <si>
    <t>Name:txtFileExt4</t>
    <phoneticPr fontId="5" type="noConversion"/>
  </si>
  <si>
    <t>Name:txtPgmPath4</t>
    <phoneticPr fontId="5" type="noConversion"/>
  </si>
  <si>
    <t>Name:chkInclude2SelectList4</t>
    <phoneticPr fontId="5" type="noConversion"/>
  </si>
  <si>
    <t>Name:txtPgmName5</t>
    <phoneticPr fontId="5" type="noConversion"/>
  </si>
  <si>
    <t>Name:txtFileExt5</t>
    <phoneticPr fontId="5" type="noConversion"/>
  </si>
  <si>
    <t>Name:txtPgmPath5</t>
    <phoneticPr fontId="5" type="noConversion"/>
  </si>
  <si>
    <t>Name:chkInclude2SelectList5</t>
    <phoneticPr fontId="5"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</si>
  <si>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</si>
  <si>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</si>
  <si>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</si>
  <si>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</si>
  <si>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</si>
  <si>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</si>
  <si>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</si>
  <si>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</si>
  <si>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</si>
  <si>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</si>
  <si>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</si>
  <si>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</si>
  <si>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</si>
  <si>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</si>
  <si>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</si>
  <si>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</si>
  <si>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</si>
  <si>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</si>
  <si>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</si>
  <si>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</si>
  <si>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</si>
  <si>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</si>
  <si>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</si>
  <si>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</si>
  <si>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</si>
  <si>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</si>
  <si>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</si>
  <si>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</si>
  <si>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"Planned Progress" button to update the contents.</t>
  </si>
  <si>
    <t>* You need to click the "Progresses by Resources" button to update contents.</t>
  </si>
  <si>
    <t>* You need to click the "Workloads by Resources" button to update the contents.</t>
  </si>
  <si>
    <t>[Resources unspecified]</t>
  </si>
  <si>
    <t>{} "Outlook Appointment(s)" have been added.</t>
  </si>
  <si>
    <t>{} file does not exist.</t>
  </si>
  <si>
    <t>&lt;&lt; Remove</t>
  </si>
  <si>
    <t>&lt;&lt; Unmap</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</si>
  <si>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</si>
  <si>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</si>
  <si>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</si>
  <si>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</si>
  <si>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</si>
  <si>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</si>
  <si>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</si>
  <si>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</si>
  <si>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</si>
  <si>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</si>
  <si>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</si>
  <si>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</si>
  <si>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</si>
  <si>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</si>
  <si>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</si>
  <si>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</si>
  <si>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</si>
  <si>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</si>
  <si>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</si>
  <si>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</si>
  <si>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</si>
  <si>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</si>
  <si>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</si>
  <si>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</si>
  <si>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</si>
  <si>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</si>
  <si>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</si>
  <si>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</si>
  <si>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</si>
  <si>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</si>
  <si>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</si>
  <si>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</si>
  <si>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</si>
  <si>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</si>
  <si>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</si>
  <si>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</si>
  <si>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</si>
  <si>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</si>
  <si>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</si>
  <si>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</si>
  <si>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</si>
  <si>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</si>
  <si>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</si>
  <si>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</si>
  <si>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</si>
  <si>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</si>
  <si>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</si>
  <si>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</si>
  <si>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</si>
  <si>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</si>
  <si>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</si>
  <si>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</si>
  <si>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</si>
  <si>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</si>
  <si>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</si>
  <si>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</si>
  <si>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</si>
  <si>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</si>
  <si>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</si>
  <si>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</si>
  <si>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</si>
  <si>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</si>
  <si>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</si>
  <si>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</si>
  <si>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</si>
  <si>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</si>
  <si>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</si>
  <si>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</si>
  <si>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</si>
  <si>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</si>
  <si>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</si>
  <si>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</si>
  <si>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</si>
  <si>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</si>
  <si>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</si>
  <si>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</si>
  <si>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</si>
  <si>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</si>
  <si>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</si>
  <si>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</si>
  <si>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</si>
  <si>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</si>
  <si>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</si>
  <si>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</si>
  <si>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</si>
  <si>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</si>
  <si>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</si>
  <si>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</si>
  <si>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</si>
  <si>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</si>
  <si>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</si>
  <si>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</si>
  <si>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</si>
  <si>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</si>
  <si>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</si>
  <si>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</si>
  <si>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</si>
  <si>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</si>
  <si>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</si>
  <si>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</si>
  <si>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</si>
  <si>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</si>
  <si>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</si>
  <si>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</si>
  <si>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</si>
  <si>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</si>
  <si>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</si>
  <si>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</si>
  <si>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</si>
  <si>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</si>
  <si>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</si>
  <si>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</si>
  <si>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</si>
  <si>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</si>
  <si>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</si>
  <si>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</si>
  <si>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Performed Work(C)\nMan-day</t>
  </si>
  <si>
    <t>Performed workload on planned schedule</t>
  </si>
  <si>
    <t>Performed workload on planned schedule when managing schedule changes(Total Duration x %Work Complete)</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</si>
  <si>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</si>
  <si>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</si>
  <si>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</si>
  <si>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</si>
  <si>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</si>
  <si>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</si>
  <si>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</si>
  <si>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</si>
  <si>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</si>
  <si>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</si>
  <si>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</si>
  <si>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</si>
  <si>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</si>
  <si>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</si>
  <si>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</si>
  <si>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</si>
  <si>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</si>
  <si>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</si>
  <si>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</si>
  <si>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</si>
  <si>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</si>
  <si>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</si>
  <si>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</si>
  <si>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</si>
  <si>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</si>
  <si>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</si>
  <si>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</si>
  <si>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</si>
  <si>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</si>
  <si>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</si>
  <si>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</si>
  <si>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</si>
  <si>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</si>
  <si>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</si>
  <si>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</si>
  <si>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</si>
  <si>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</si>
  <si>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</si>
  <si>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</si>
  <si>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</si>
  <si>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</si>
  <si>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</si>
  <si>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</si>
  <si>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</si>
  <si>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</si>
  <si>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</si>
  <si>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</si>
  <si>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</si>
  <si>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 marks-required fields, orange columns-automatically calculated</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</si>
  <si>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</si>
  <si>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</si>
  <si>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</si>
  <si>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</si>
  <si>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</si>
  <si>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</si>
  <si>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</si>
  <si>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</si>
  <si>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</si>
  <si>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</si>
  <si>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</si>
  <si>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</si>
  <si>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</si>
  <si>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</si>
  <si>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</si>
  <si>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</si>
  <si>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</si>
  <si>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</si>
  <si>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</si>
  <si>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</si>
  <si>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</si>
  <si>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</si>
  <si>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</si>
  <si>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</si>
  <si>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</si>
  <si>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</si>
  <si>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</si>
  <si>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</si>
  <si>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</si>
  <si>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</si>
  <si>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</si>
  <si>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</si>
  <si>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</si>
  <si>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</si>
  <si>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</si>
  <si>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</si>
  <si>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</si>
  <si>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</si>
  <si>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</si>
  <si>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</si>
  <si>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</si>
  <si>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</si>
  <si>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</si>
  <si>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</si>
  <si>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</si>
  <si>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</si>
  <si>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</si>
  <si>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</si>
  <si>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</si>
  <si>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</si>
  <si>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</si>
  <si>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</si>
  <si>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</si>
  <si>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</si>
  <si>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</si>
  <si>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number of task columns is not 7. Please retry after changing the sheet to its previous state.</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</si>
  <si>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</si>
  <si>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</si>
  <si>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</si>
  <si>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</si>
  <si>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</si>
  <si>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</si>
  <si>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</si>
  <si>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</si>
  <si>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</si>
  <si>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</si>
  <si>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</si>
  <si>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</si>
  <si>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</si>
  <si>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</si>
  <si>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</si>
  <si>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</si>
  <si>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</si>
  <si>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</si>
  <si>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</si>
  <si>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</si>
  <si>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</si>
  <si>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</si>
  <si>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</si>
  <si>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</si>
  <si>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</si>
  <si>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</si>
  <si>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</si>
  <si>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</si>
  <si>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</si>
  <si>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</si>
  <si>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</si>
  <si>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</si>
  <si>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</si>
  <si>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</si>
  <si>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</si>
  <si>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</si>
  <si>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</si>
  <si>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</si>
  <si>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</si>
  <si>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</si>
  <si>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</si>
  <si>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</si>
  <si>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</si>
  <si>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</si>
  <si>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</si>
  <si>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</si>
  <si>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</si>
  <si>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</si>
  <si>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</si>
  <si>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</si>
  <si>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</si>
  <si>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</si>
  <si>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</si>
  <si>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</si>
  <si>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</si>
  <si>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</si>
  <si>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</si>
  <si>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</si>
  <si>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</si>
  <si>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</si>
  <si>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</si>
  <si>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</si>
  <si>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</si>
  <si>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</si>
  <si>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</si>
  <si>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</si>
  <si>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</si>
  <si>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</si>
  <si>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</si>
  <si>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</si>
  <si>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</si>
  <si>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</si>
  <si>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</si>
  <si>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</si>
  <si>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</si>
  <si>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</si>
  <si>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</si>
  <si>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</si>
  <si>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</si>
  <si>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</si>
  <si>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</si>
  <si>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timebucket_start</t>
  </si>
  <si>
    <t>timebucket_finish</t>
  </si>
  <si>
    <t>workload</t>
  </si>
  <si>
    <t>AUTHOR_NAME</t>
    <phoneticPr fontId="5" type="noConversion"/>
  </si>
  <si>
    <t>admin@xlworks.net</t>
    <phoneticPr fontId="5"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</si>
  <si>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</si>
  <si>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</si>
  <si>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</si>
  <si>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</si>
  <si>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</si>
  <si>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</si>
  <si>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</si>
  <si>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</si>
  <si>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</si>
  <si>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</si>
  <si>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</si>
  <si>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</si>
  <si>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</si>
  <si>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</si>
  <si>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</si>
  <si>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</si>
  <si>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</si>
  <si>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</si>
  <si>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</si>
  <si>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</si>
  <si>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</si>
  <si>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</si>
  <si>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</si>
  <si>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</si>
  <si>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</si>
  <si>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</si>
  <si>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Name:resourceDisp</t>
  </si>
  <si>
    <t>Name:taskDisp</t>
  </si>
  <si>
    <t>Name:optNonWorkingDays</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</si>
  <si>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</si>
  <si>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</si>
  <si>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</si>
  <si>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</si>
  <si>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</si>
  <si>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</si>
  <si>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</si>
  <si>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This sheet shows you planned project progresses by weeks.</t>
  </si>
  <si>
    <t>{} "Outlook Task(s)" have been added.</t>
  </si>
  <si>
    <t>12/1/2018</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</si>
  <si>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</si>
  <si>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</si>
  <si>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</si>
  <si>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</si>
  <si>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</si>
  <si>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</si>
  <si>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</si>
  <si>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</si>
  <si>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</si>
  <si>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</si>
  <si>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</si>
  <si>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</si>
  <si>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</si>
  <si>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</si>
  <si>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</si>
  <si>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</si>
  <si>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</si>
  <si>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</si>
  <si>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</si>
  <si>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</si>
  <si>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</si>
  <si>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interior color to the gray for the task groups</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</si>
  <si>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</si>
  <si>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</si>
  <si>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</si>
  <si>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</si>
  <si>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</si>
  <si>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</si>
  <si>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</si>
  <si>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</si>
  <si>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</si>
  <si>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</si>
  <si>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</si>
  <si>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Gantt Chart Zoom Ratio</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</si>
  <si>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</si>
  <si>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</si>
  <si>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</si>
  <si>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</si>
  <si>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</si>
  <si>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</si>
  <si>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</si>
  <si>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</si>
  <si>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</si>
  <si>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</si>
  <si>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</si>
  <si>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</si>
  <si>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Planned Project Progresses by Weeks</t>
  </si>
  <si>
    <t>Project Scheduler</t>
  </si>
  <si>
    <t>Right of the chart</t>
  </si>
  <si>
    <t>Run "Update Schedule"  When Saving XLGantt File</t>
  </si>
  <si>
    <t>Select source files(Muliple Select)</t>
  </si>
  <si>
    <t>Set "the earlist start date and the lastest fisnish date of the tasks" to the Project Start-Finish date.</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</si>
  <si>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</si>
  <si>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</si>
  <si>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</si>
  <si>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</si>
  <si>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</si>
  <si>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</si>
  <si>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</si>
  <si>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</si>
  <si>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</si>
  <si>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</si>
  <si>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</si>
  <si>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</si>
  <si>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</si>
  <si>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</si>
  <si>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</si>
  <si>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</si>
  <si>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</si>
  <si>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</si>
  <si>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5"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</si>
  <si>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</si>
  <si>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</si>
  <si>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</si>
  <si>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</si>
  <si>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</si>
  <si>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r>
      <rPr>
        <sz val="9"/>
        <color theme="1"/>
        <rFont val="돋움"/>
        <family val="3"/>
        <charset val="129"/>
      </rPr>
      <t>실적</t>
    </r>
  </si>
  <si>
    <r>
      <rPr>
        <sz val="9"/>
        <color theme="1"/>
        <rFont val="돋움"/>
        <family val="3"/>
        <charset val="129"/>
      </rPr>
      <t>계획</t>
    </r>
  </si>
  <si>
    <r>
      <rPr>
        <sz val="9"/>
        <color theme="1"/>
        <rFont val="맑은 고딕"/>
        <family val="2"/>
      </rPr>
      <t>실적진척율</t>
    </r>
  </si>
  <si>
    <r>
      <rPr>
        <sz val="9"/>
        <color theme="1"/>
        <rFont val="맑은 고딕"/>
        <family val="2"/>
      </rPr>
      <t>실적</t>
    </r>
  </si>
  <si>
    <r>
      <t xml:space="preserve">&lt;&lt; </t>
    </r>
    <r>
      <rPr>
        <sz val="9"/>
        <color theme="1"/>
        <rFont val="맑은 고딕"/>
        <family val="2"/>
      </rPr>
      <t>제거</t>
    </r>
  </si>
  <si>
    <r>
      <t>&lt;&lt; Mapping</t>
    </r>
    <r>
      <rPr>
        <sz val="9"/>
        <color theme="1"/>
        <rFont val="맑은 고딕"/>
        <family val="2"/>
      </rPr>
      <t>취소</t>
    </r>
  </si>
  <si>
    <r>
      <rPr>
        <sz val="9"/>
        <color theme="1"/>
        <rFont val="맑은 고딕"/>
        <family val="2"/>
      </rPr>
      <t>실제완료일</t>
    </r>
  </si>
  <si>
    <r>
      <rPr>
        <sz val="9"/>
        <color theme="1"/>
        <rFont val="맑은 고딕"/>
        <family val="2"/>
      </rPr>
      <t>실제완료일자</t>
    </r>
  </si>
  <si>
    <r>
      <rPr>
        <sz val="9"/>
        <color theme="1"/>
        <rFont val="맑은 고딕"/>
        <family val="2"/>
      </rPr>
      <t>실제시작일</t>
    </r>
  </si>
  <si>
    <r>
      <rPr>
        <sz val="9"/>
        <color theme="1"/>
        <rFont val="맑은 고딕"/>
        <family val="2"/>
      </rPr>
      <t>실제시작일자</t>
    </r>
  </si>
  <si>
    <r>
      <rPr>
        <sz val="9"/>
        <color theme="1"/>
        <rFont val="맑은 고딕"/>
        <family val="2"/>
      </rPr>
      <t>분석</t>
    </r>
  </si>
  <si>
    <r>
      <rPr>
        <sz val="9"/>
        <color theme="1"/>
        <rFont val="맑은 고딕"/>
        <family val="2"/>
      </rPr>
      <t>자동지정</t>
    </r>
  </si>
  <si>
    <r>
      <rPr>
        <sz val="9"/>
        <color theme="1"/>
        <rFont val="맑은 고딕"/>
        <family val="2"/>
      </rPr>
      <t>완료율</t>
    </r>
  </si>
  <si>
    <r>
      <rPr>
        <sz val="9"/>
        <color theme="1"/>
        <rFont val="맑은 고딕"/>
        <family val="2"/>
      </rPr>
      <t>기간</t>
    </r>
  </si>
  <si>
    <r>
      <rPr>
        <sz val="9"/>
        <color theme="1"/>
        <rFont val="맑은 고딕"/>
        <family val="2"/>
      </rPr>
      <t>취소</t>
    </r>
  </si>
  <si>
    <r>
      <rPr>
        <sz val="9"/>
        <color theme="1"/>
        <rFont val="맑은 고딕"/>
        <family val="2"/>
      </rPr>
      <t>차트</t>
    </r>
  </si>
  <si>
    <r>
      <rPr>
        <sz val="9"/>
        <color theme="1"/>
        <rFont val="맑은 고딕"/>
        <family val="2"/>
      </rPr>
      <t>최신버전확인</t>
    </r>
  </si>
  <si>
    <r>
      <rPr>
        <sz val="9"/>
        <color theme="1"/>
        <rFont val="맑은 고딕"/>
        <family val="2"/>
      </rPr>
      <t>닫기</t>
    </r>
  </si>
  <si>
    <r>
      <rPr>
        <sz val="9"/>
        <color theme="1"/>
        <rFont val="맑은 고딕"/>
        <family val="2"/>
      </rPr>
      <t>완료</t>
    </r>
  </si>
  <si>
    <r>
      <rPr>
        <sz val="9"/>
        <color theme="1"/>
        <rFont val="맑은 고딕"/>
        <family val="2"/>
      </rPr>
      <t>포함</t>
    </r>
  </si>
  <si>
    <r>
      <rPr>
        <sz val="9"/>
        <color theme="1"/>
        <rFont val="맑은 고딕"/>
        <family val="2"/>
      </rPr>
      <t>일별</t>
    </r>
  </si>
  <si>
    <r>
      <rPr>
        <sz val="9"/>
        <color theme="1"/>
        <rFont val="맑은 고딕"/>
        <family val="2"/>
      </rPr>
      <t>일별보기</t>
    </r>
  </si>
  <si>
    <r>
      <rPr>
        <sz val="9"/>
        <color theme="1"/>
        <rFont val="맑은 고딕"/>
        <family val="2"/>
      </rPr>
      <t>산출물</t>
    </r>
  </si>
  <si>
    <r>
      <rPr>
        <sz val="9"/>
        <color theme="1"/>
        <rFont val="맑은 고딕"/>
        <family val="2"/>
      </rPr>
      <t>같음</t>
    </r>
  </si>
  <si>
    <r>
      <rPr>
        <sz val="9"/>
        <color theme="1"/>
        <rFont val="맑은 고딕"/>
        <family val="2"/>
      </rPr>
      <t>엑셀</t>
    </r>
  </si>
  <si>
    <r>
      <rPr>
        <sz val="9"/>
        <color theme="1"/>
        <rFont val="맑은 고딕"/>
        <family val="2"/>
      </rPr>
      <t>확장자명</t>
    </r>
  </si>
  <si>
    <r>
      <rPr>
        <sz val="9"/>
        <color theme="1"/>
        <rFont val="맑은 고딕"/>
        <family val="2"/>
      </rPr>
      <t>완료일</t>
    </r>
  </si>
  <si>
    <r>
      <rPr>
        <sz val="9"/>
        <color theme="1"/>
        <rFont val="맑은 고딕"/>
        <family val="2"/>
      </rPr>
      <t>완료일자</t>
    </r>
  </si>
  <si>
    <r>
      <rPr>
        <sz val="9"/>
        <color theme="1"/>
        <rFont val="맑은 고딕"/>
        <family val="2"/>
      </rPr>
      <t>금</t>
    </r>
  </si>
  <si>
    <r>
      <rPr>
        <sz val="9"/>
        <color theme="1"/>
        <rFont val="맑은 고딕"/>
        <family val="2"/>
      </rPr>
      <t>가져오기</t>
    </r>
  </si>
  <si>
    <r>
      <t xml:space="preserve">Chart </t>
    </r>
    <r>
      <rPr>
        <sz val="9"/>
        <color theme="1"/>
        <rFont val="맑은 고딕"/>
        <family val="2"/>
      </rPr>
      <t>내부</t>
    </r>
  </si>
  <si>
    <r>
      <rPr>
        <sz val="9"/>
        <color theme="1"/>
        <rFont val="맑은 고딕"/>
        <family val="2"/>
      </rPr>
      <t>작업결과</t>
    </r>
  </si>
  <si>
    <r>
      <rPr>
        <sz val="9"/>
        <color theme="1"/>
        <rFont val="맑은 고딕"/>
        <family val="2"/>
      </rPr>
      <t>홍길동</t>
    </r>
  </si>
  <si>
    <r>
      <t xml:space="preserve">Chart </t>
    </r>
    <r>
      <rPr>
        <sz val="9"/>
        <color theme="1"/>
        <rFont val="맑은 고딕"/>
        <family val="2"/>
      </rPr>
      <t>왼쪽</t>
    </r>
  </si>
  <si>
    <r>
      <rPr>
        <sz val="9"/>
        <color theme="1"/>
        <rFont val="맑은 고딕"/>
        <family val="2"/>
      </rPr>
      <t>라이선스</t>
    </r>
  </si>
  <si>
    <r>
      <rPr>
        <sz val="9"/>
        <color theme="1"/>
        <rFont val="맑은 고딕"/>
        <family val="2"/>
      </rPr>
      <t>월</t>
    </r>
  </si>
  <si>
    <r>
      <rPr>
        <sz val="9"/>
        <color theme="1"/>
        <rFont val="맑은 고딕"/>
        <family val="2"/>
      </rPr>
      <t>월별</t>
    </r>
  </si>
  <si>
    <r>
      <rPr>
        <sz val="9"/>
        <color theme="1"/>
        <rFont val="맑은 고딕"/>
        <family val="2"/>
      </rPr>
      <t>월별보기</t>
    </r>
  </si>
  <si>
    <r>
      <rPr>
        <sz val="9"/>
        <color theme="1"/>
        <rFont val="맑은 고딕"/>
        <family val="2"/>
      </rPr>
      <t>휴무일명</t>
    </r>
  </si>
  <si>
    <r>
      <rPr>
        <sz val="9"/>
        <color theme="1"/>
        <rFont val="맑은 고딕"/>
        <family val="2"/>
      </rPr>
      <t>휴무일자</t>
    </r>
  </si>
  <si>
    <r>
      <rPr>
        <sz val="9"/>
        <color theme="1"/>
        <rFont val="맑은 고딕"/>
        <family val="2"/>
      </rPr>
      <t>미완료</t>
    </r>
  </si>
  <si>
    <r>
      <rPr>
        <sz val="9"/>
        <color theme="1"/>
        <rFont val="맑은 고딕"/>
        <family val="2"/>
      </rPr>
      <t>비고</t>
    </r>
  </si>
  <si>
    <r>
      <rPr>
        <sz val="9"/>
        <color theme="1"/>
        <rFont val="맑은 고딕"/>
        <family val="2"/>
      </rPr>
      <t>옵션</t>
    </r>
  </si>
  <si>
    <r>
      <rPr>
        <sz val="9"/>
        <color theme="1"/>
        <rFont val="맑은 고딕"/>
        <family val="2"/>
      </rPr>
      <t>개요수준</t>
    </r>
  </si>
  <si>
    <r>
      <rPr>
        <sz val="9"/>
        <color theme="1"/>
        <rFont val="맑은 고딕"/>
        <family val="2"/>
      </rPr>
      <t>계획진척율</t>
    </r>
  </si>
  <si>
    <r>
      <rPr>
        <sz val="9"/>
        <color theme="1"/>
        <rFont val="맑은 고딕"/>
        <family val="2"/>
      </rPr>
      <t>계획</t>
    </r>
  </si>
  <si>
    <r>
      <rPr>
        <sz val="9"/>
        <color theme="1"/>
        <rFont val="맑은 고딕"/>
        <family val="2"/>
      </rPr>
      <t>파워포인트</t>
    </r>
  </si>
  <si>
    <r>
      <rPr>
        <sz val="9"/>
        <color theme="1"/>
        <rFont val="맑은 고딕"/>
        <family val="2"/>
      </rPr>
      <t>프로그램명</t>
    </r>
  </si>
  <si>
    <r>
      <rPr>
        <sz val="9"/>
        <color theme="1"/>
        <rFont val="맑은 고딕"/>
        <family val="2"/>
      </rPr>
      <t>진척율</t>
    </r>
  </si>
  <si>
    <r>
      <rPr>
        <sz val="9"/>
        <color theme="1"/>
        <rFont val="맑은 고딕"/>
        <family val="2"/>
      </rPr>
      <t>프로젝트수행계획서</t>
    </r>
  </si>
  <si>
    <r>
      <rPr>
        <sz val="9"/>
        <color theme="1"/>
        <rFont val="맑은 고딕"/>
        <family val="2"/>
      </rPr>
      <t>프로젝트명</t>
    </r>
  </si>
  <si>
    <r>
      <rPr>
        <sz val="9"/>
        <color theme="1"/>
        <rFont val="맑은 고딕"/>
        <family val="2"/>
      </rPr>
      <t>서식재설정</t>
    </r>
  </si>
  <si>
    <r>
      <t xml:space="preserve">Chart </t>
    </r>
    <r>
      <rPr>
        <sz val="9"/>
        <color theme="1"/>
        <rFont val="맑은 고딕"/>
        <family val="2"/>
      </rPr>
      <t>오른쪽</t>
    </r>
  </si>
  <si>
    <r>
      <rPr>
        <sz val="9"/>
        <color theme="1"/>
        <rFont val="맑은 고딕"/>
        <family val="2"/>
      </rPr>
      <t>토</t>
    </r>
  </si>
  <si>
    <r>
      <rPr>
        <sz val="9"/>
        <color theme="1"/>
        <rFont val="맑은 고딕"/>
        <family val="2"/>
      </rPr>
      <t>저장</t>
    </r>
  </si>
  <si>
    <r>
      <rPr>
        <sz val="9"/>
        <color theme="1"/>
        <rFont val="맑은 고딕"/>
        <family val="2"/>
      </rPr>
      <t>설정</t>
    </r>
  </si>
  <si>
    <r>
      <rPr>
        <sz val="9"/>
        <color theme="1"/>
        <rFont val="맑은 고딕"/>
        <family val="2"/>
      </rPr>
      <t>특정날짜</t>
    </r>
  </si>
  <si>
    <r>
      <rPr>
        <sz val="9"/>
        <color theme="1"/>
        <rFont val="맑은 고딕"/>
        <family val="2"/>
      </rPr>
      <t>표준캘린더</t>
    </r>
  </si>
  <si>
    <r>
      <rPr>
        <sz val="9"/>
        <color theme="1"/>
        <rFont val="맑은 고딕"/>
        <family val="2"/>
      </rPr>
      <t>시작일</t>
    </r>
  </si>
  <si>
    <r>
      <rPr>
        <sz val="9"/>
        <color theme="1"/>
        <rFont val="맑은 고딕"/>
        <family val="2"/>
      </rPr>
      <t>시작일자</t>
    </r>
  </si>
  <si>
    <r>
      <rPr>
        <sz val="9"/>
        <color theme="1"/>
        <rFont val="맑은 고딕"/>
        <family val="2"/>
      </rPr>
      <t>일</t>
    </r>
  </si>
  <si>
    <r>
      <rPr>
        <sz val="9"/>
        <color theme="1"/>
        <rFont val="맑은 고딕"/>
        <family val="2"/>
      </rPr>
      <t>작업명</t>
    </r>
  </si>
  <si>
    <r>
      <rPr>
        <sz val="9"/>
        <color theme="1"/>
        <rFont val="맑은 고딕"/>
        <family val="2"/>
      </rPr>
      <t>목</t>
    </r>
  </si>
  <si>
    <r>
      <rPr>
        <sz val="9"/>
        <color theme="1"/>
        <rFont val="맑은 고딕"/>
        <family val="2"/>
      </rPr>
      <t>오늘</t>
    </r>
  </si>
  <si>
    <r>
      <rPr>
        <sz val="9"/>
        <color theme="1"/>
        <rFont val="맑은 고딕"/>
        <family val="2"/>
      </rPr>
      <t>화</t>
    </r>
  </si>
  <si>
    <r>
      <rPr>
        <sz val="9"/>
        <color theme="1"/>
        <rFont val="맑은 고딕"/>
        <family val="2"/>
      </rPr>
      <t>화면설계</t>
    </r>
  </si>
  <si>
    <r>
      <rPr>
        <sz val="9"/>
        <color theme="1"/>
        <rFont val="맑은 고딕"/>
        <family val="2"/>
      </rPr>
      <t>스케줄업데이트</t>
    </r>
  </si>
  <si>
    <r>
      <rPr>
        <sz val="9"/>
        <color theme="1"/>
        <rFont val="맑은 고딕"/>
        <family val="2"/>
      </rPr>
      <t>수</t>
    </r>
  </si>
  <si>
    <r>
      <rPr>
        <sz val="9"/>
        <color theme="1"/>
        <rFont val="맑은 고딕"/>
        <family val="2"/>
      </rPr>
      <t>주별</t>
    </r>
  </si>
  <si>
    <r>
      <rPr>
        <sz val="9"/>
        <color theme="1"/>
        <rFont val="맑은 고딕"/>
        <family val="2"/>
      </rPr>
      <t>주별보기</t>
    </r>
  </si>
  <si>
    <r>
      <rPr>
        <sz val="9"/>
        <color theme="1"/>
        <rFont val="맑은 고딕"/>
        <family val="2"/>
      </rPr>
      <t>가중치</t>
    </r>
  </si>
  <si>
    <r>
      <rPr>
        <sz val="9"/>
        <color theme="1"/>
        <rFont val="맑은 고딕"/>
        <family val="2"/>
      </rPr>
      <t>워드</t>
    </r>
  </si>
  <si>
    <r>
      <t xml:space="preserve">* </t>
    </r>
    <r>
      <rPr>
        <sz val="9"/>
        <color theme="1"/>
        <rFont val="맑은 고딕"/>
        <family val="2"/>
      </rPr>
      <t>현재</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영어와</t>
    </r>
    <r>
      <rPr>
        <sz val="9"/>
        <color theme="1"/>
        <rFont val="Calibri"/>
        <family val="2"/>
      </rPr>
      <t xml:space="preserve"> </t>
    </r>
    <r>
      <rPr>
        <sz val="9"/>
        <color theme="1"/>
        <rFont val="맑은 고딕"/>
        <family val="2"/>
      </rPr>
      <t>한국어만</t>
    </r>
    <r>
      <rPr>
        <sz val="9"/>
        <color theme="1"/>
        <rFont val="Calibri"/>
        <family val="2"/>
      </rPr>
      <t xml:space="preserve"> </t>
    </r>
    <r>
      <rPr>
        <sz val="9"/>
        <color theme="1"/>
        <rFont val="맑은 고딕"/>
        <family val="2"/>
      </rPr>
      <t>지원합니다</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언어가</t>
    </r>
    <r>
      <rPr>
        <sz val="9"/>
        <color theme="1"/>
        <rFont val="Calibri"/>
        <family val="2"/>
      </rPr>
      <t xml:space="preserve"> </t>
    </r>
    <r>
      <rPr>
        <sz val="9"/>
        <color theme="1"/>
        <rFont val="맑은 고딕"/>
        <family val="2"/>
      </rPr>
      <t>필요하면</t>
    </r>
    <r>
      <rPr>
        <sz val="9"/>
        <color theme="1"/>
        <rFont val="Calibri"/>
        <family val="2"/>
      </rPr>
      <t xml:space="preserve">  </t>
    </r>
    <r>
      <rPr>
        <sz val="9"/>
        <color theme="1"/>
        <rFont val="맑은 고딕"/>
        <family val="2"/>
      </rPr>
      <t>아래</t>
    </r>
    <r>
      <rPr>
        <sz val="9"/>
        <color theme="1"/>
        <rFont val="Calibri"/>
        <family val="2"/>
      </rPr>
      <t xml:space="preserve"> "</t>
    </r>
    <r>
      <rPr>
        <sz val="9"/>
        <color theme="1"/>
        <rFont val="맑은 고딕"/>
        <family val="2"/>
      </rPr>
      <t>언어추가</t>
    </r>
    <r>
      <rPr>
        <sz val="9"/>
        <color theme="1"/>
        <rFont val="Calibri"/>
        <family val="2"/>
      </rPr>
      <t>"</t>
    </r>
    <r>
      <rPr>
        <sz val="9"/>
        <color theme="1"/>
        <rFont val="맑은 고딕"/>
        <family val="2"/>
      </rPr>
      <t>에서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추가하고</t>
    </r>
    <r>
      <rPr>
        <sz val="9"/>
        <color theme="1"/>
        <rFont val="Calibri"/>
        <family val="2"/>
      </rPr>
      <t xml:space="preserve"> TranslatedLanguages sheet</t>
    </r>
    <r>
      <rPr>
        <sz val="9"/>
        <color theme="1"/>
        <rFont val="맑은 고딕"/>
        <family val="2"/>
      </rPr>
      <t>에</t>
    </r>
    <r>
      <rPr>
        <sz val="9"/>
        <color theme="1"/>
        <rFont val="Calibri"/>
        <family val="2"/>
      </rPr>
      <t xml:space="preserve"> </t>
    </r>
    <r>
      <rPr>
        <sz val="9"/>
        <color theme="1"/>
        <rFont val="맑은 고딕"/>
        <family val="2"/>
      </rPr>
      <t>각</t>
    </r>
    <r>
      <rPr>
        <sz val="9"/>
        <color theme="1"/>
        <rFont val="Calibri"/>
        <family val="2"/>
      </rPr>
      <t xml:space="preserve"> </t>
    </r>
    <r>
      <rPr>
        <sz val="9"/>
        <color theme="1"/>
        <rFont val="맑은 고딕"/>
        <family val="2"/>
      </rPr>
      <t>언어별로</t>
    </r>
    <r>
      <rPr>
        <sz val="9"/>
        <color theme="1"/>
        <rFont val="Calibri"/>
        <family val="2"/>
      </rPr>
      <t xml:space="preserve"> </t>
    </r>
    <r>
      <rPr>
        <sz val="9"/>
        <color theme="1"/>
        <rFont val="맑은 고딕"/>
        <family val="2"/>
      </rPr>
      <t>번역을</t>
    </r>
    <r>
      <rPr>
        <sz val="9"/>
        <color theme="1"/>
        <rFont val="Calibri"/>
        <family val="2"/>
      </rPr>
      <t xml:space="preserve"> </t>
    </r>
    <r>
      <rPr>
        <sz val="9"/>
        <color theme="1"/>
        <rFont val="맑은 고딕"/>
        <family val="2"/>
      </rPr>
      <t>추가해야</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번역을</t>
    </r>
    <r>
      <rPr>
        <sz val="9"/>
        <color theme="1"/>
        <rFont val="Calibri"/>
        <family val="2"/>
      </rPr>
      <t xml:space="preserve"> </t>
    </r>
    <r>
      <rPr>
        <sz val="9"/>
        <color theme="1"/>
        <rFont val="맑은 고딕"/>
        <family val="2"/>
      </rPr>
      <t>추가하지</t>
    </r>
    <r>
      <rPr>
        <sz val="9"/>
        <color theme="1"/>
        <rFont val="Calibri"/>
        <family val="2"/>
      </rPr>
      <t xml:space="preserve"> </t>
    </r>
    <r>
      <rPr>
        <sz val="9"/>
        <color theme="1"/>
        <rFont val="맑은 고딕"/>
        <family val="2"/>
      </rPr>
      <t>않으면</t>
    </r>
    <r>
      <rPr>
        <sz val="9"/>
        <color theme="1"/>
        <rFont val="Calibri"/>
        <family val="2"/>
      </rPr>
      <t xml:space="preserve"> </t>
    </r>
    <r>
      <rPr>
        <sz val="9"/>
        <color theme="1"/>
        <rFont val="맑은 고딕"/>
        <family val="2"/>
      </rPr>
      <t>기본언어인</t>
    </r>
    <r>
      <rPr>
        <sz val="9"/>
        <color theme="1"/>
        <rFont val="Calibri"/>
        <family val="2"/>
      </rPr>
      <t xml:space="preserve"> </t>
    </r>
    <r>
      <rPr>
        <sz val="9"/>
        <color theme="1"/>
        <rFont val="맑은 고딕"/>
        <family val="2"/>
      </rPr>
      <t>영어로</t>
    </r>
    <r>
      <rPr>
        <sz val="9"/>
        <color theme="1"/>
        <rFont val="Calibri"/>
        <family val="2"/>
      </rPr>
      <t xml:space="preserve"> </t>
    </r>
    <r>
      <rPr>
        <sz val="9"/>
        <color theme="1"/>
        <rFont val="맑은 고딕"/>
        <family val="2"/>
      </rPr>
      <t>표시됩니다</t>
    </r>
    <r>
      <rPr>
        <sz val="9"/>
        <color theme="1"/>
        <rFont val="Calibri"/>
        <family val="2"/>
      </rPr>
      <t>(TranslatedLanguages sheet</t>
    </r>
    <r>
      <rPr>
        <sz val="9"/>
        <color theme="1"/>
        <rFont val="맑은 고딕"/>
        <family val="2"/>
      </rPr>
      <t>는</t>
    </r>
    <r>
      <rPr>
        <sz val="9"/>
        <color theme="1"/>
        <rFont val="Calibri"/>
        <family val="2"/>
      </rPr>
      <t xml:space="preserve"> </t>
    </r>
    <r>
      <rPr>
        <sz val="9"/>
        <color theme="1"/>
        <rFont val="맑은 고딕"/>
        <family val="2"/>
      </rPr>
      <t>숨겨져</t>
    </r>
    <r>
      <rPr>
        <sz val="9"/>
        <color theme="1"/>
        <rFont val="Calibri"/>
        <family val="2"/>
      </rPr>
      <t xml:space="preserve"> </t>
    </r>
    <r>
      <rPr>
        <sz val="9"/>
        <color theme="1"/>
        <rFont val="맑은 고딕"/>
        <family val="2"/>
      </rPr>
      <t>있음</t>
    </r>
    <r>
      <rPr>
        <sz val="9"/>
        <color theme="1"/>
        <rFont val="Calibri"/>
        <family val="2"/>
      </rPr>
      <t>,Sheet</t>
    </r>
    <r>
      <rPr>
        <sz val="9"/>
        <color theme="1"/>
        <rFont val="맑은 고딕"/>
        <family val="2"/>
      </rPr>
      <t>메뉴에서</t>
    </r>
    <r>
      <rPr>
        <sz val="9"/>
        <color theme="1"/>
        <rFont val="Calibri"/>
        <family val="2"/>
      </rPr>
      <t xml:space="preserve"> </t>
    </r>
    <r>
      <rPr>
        <sz val="9"/>
        <color theme="1"/>
        <rFont val="맑은 고딕"/>
        <family val="2"/>
      </rPr>
      <t>숨기기</t>
    </r>
    <r>
      <rPr>
        <sz val="9"/>
        <color theme="1"/>
        <rFont val="Calibri"/>
        <family val="2"/>
      </rPr>
      <t xml:space="preserve"> </t>
    </r>
    <r>
      <rPr>
        <sz val="9"/>
        <color theme="1"/>
        <rFont val="맑은 고딕"/>
        <family val="2"/>
      </rPr>
      <t>취소하면</t>
    </r>
    <r>
      <rPr>
        <sz val="9"/>
        <color theme="1"/>
        <rFont val="Calibri"/>
        <family val="2"/>
      </rPr>
      <t xml:space="preserve"> </t>
    </r>
    <r>
      <rPr>
        <sz val="9"/>
        <color theme="1"/>
        <rFont val="맑은 고딕"/>
        <family val="2"/>
      </rPr>
      <t>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있음</t>
    </r>
    <r>
      <rPr>
        <sz val="9"/>
        <color theme="1"/>
        <rFont val="Calibri"/>
        <family val="2"/>
      </rPr>
      <t>)</t>
    </r>
  </si>
  <si>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시작일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시작일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빠릅니다</t>
    </r>
    <r>
      <rPr>
        <sz val="9"/>
        <color theme="1"/>
        <rFont val="Calibri"/>
        <family val="2"/>
      </rPr>
      <t>.\n\n</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t>
    </r>
    <r>
      <rPr>
        <sz val="9"/>
        <color theme="1"/>
        <rFont val="Calibri"/>
        <family val="2"/>
      </rPr>
      <t>({3})</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완료일</t>
    </r>
    <r>
      <rPr>
        <sz val="9"/>
        <color theme="1"/>
        <rFont val="Calibri"/>
        <family val="2"/>
      </rPr>
      <t>({4})</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늦습니다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</si>
  <si>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다음</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.\n - </t>
    </r>
    <r>
      <rPr>
        <sz val="9"/>
        <color theme="1"/>
        <rFont val="맑은 고딕"/>
        <family val="2"/>
      </rPr>
      <t>파일이</t>
    </r>
    <r>
      <rPr>
        <sz val="9"/>
        <color theme="1"/>
        <rFont val="Calibri"/>
        <family val="2"/>
      </rPr>
      <t xml:space="preserve"> </t>
    </r>
    <r>
      <rPr>
        <sz val="9"/>
        <color theme="1"/>
        <rFont val="맑은 고딕"/>
        <family val="2"/>
      </rPr>
      <t>비정상적인</t>
    </r>
    <r>
      <rPr>
        <sz val="9"/>
        <color theme="1"/>
        <rFont val="Calibri"/>
        <family val="2"/>
      </rPr>
      <t xml:space="preserve"> </t>
    </r>
    <r>
      <rPr>
        <sz val="9"/>
        <color theme="1"/>
        <rFont val="맑은 고딕"/>
        <family val="2"/>
      </rPr>
      <t>경우</t>
    </r>
    <r>
      <rPr>
        <sz val="9"/>
        <color theme="1"/>
        <rFont val="Calibri"/>
        <family val="2"/>
      </rPr>
      <t>(</t>
    </r>
    <r>
      <rPr>
        <sz val="9"/>
        <color theme="1"/>
        <rFont val="맑은 고딕"/>
        <family val="2"/>
      </rPr>
      <t>엑셀파일이</t>
    </r>
    <r>
      <rPr>
        <sz val="9"/>
        <color theme="1"/>
        <rFont val="Calibri"/>
        <family val="2"/>
      </rPr>
      <t xml:space="preserve"> </t>
    </r>
    <r>
      <rPr>
        <sz val="9"/>
        <color theme="1"/>
        <rFont val="맑은 고딕"/>
        <family val="2"/>
      </rPr>
      <t>손상된</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등</t>
    </r>
    <r>
      <rPr>
        <sz val="9"/>
        <color theme="1"/>
        <rFont val="Calibri"/>
        <family val="2"/>
      </rPr>
      <t xml:space="preserve">)\n - </t>
    </r>
    <r>
      <rPr>
        <sz val="9"/>
        <color theme="1"/>
        <rFont val="맑은 고딕"/>
        <family val="2"/>
      </rPr>
      <t>자료</t>
    </r>
    <r>
      <rPr>
        <sz val="9"/>
        <color theme="1"/>
        <rFont val="Calibri"/>
        <family val="2"/>
      </rPr>
      <t xml:space="preserve"> </t>
    </r>
    <r>
      <rPr>
        <sz val="9"/>
        <color theme="1"/>
        <rFont val="맑은 고딕"/>
        <family val="2"/>
      </rPr>
      <t>포맷이</t>
    </r>
    <r>
      <rPr>
        <sz val="9"/>
        <color theme="1"/>
        <rFont val="Calibri"/>
        <family val="2"/>
      </rPr>
      <t xml:space="preserve"> </t>
    </r>
    <r>
      <rPr>
        <sz val="9"/>
        <color theme="1"/>
        <rFont val="맑은 고딕"/>
        <family val="2"/>
      </rPr>
      <t>틀린</t>
    </r>
    <r>
      <rPr>
        <sz val="9"/>
        <color theme="1"/>
        <rFont val="Calibri"/>
        <family val="2"/>
      </rPr>
      <t xml:space="preserve"> </t>
    </r>
    <r>
      <rPr>
        <sz val="9"/>
        <color theme="1"/>
        <rFont val="맑은 고딕"/>
        <family val="2"/>
      </rPr>
      <t>경우</t>
    </r>
    <r>
      <rPr>
        <sz val="9"/>
        <color theme="1"/>
        <rFont val="Calibri"/>
        <family val="2"/>
      </rPr>
      <t>(1</t>
    </r>
    <r>
      <rPr>
        <sz val="9"/>
        <color theme="1"/>
        <rFont val="맑은 고딕"/>
        <family val="2"/>
      </rPr>
      <t>행에</t>
    </r>
    <r>
      <rPr>
        <sz val="9"/>
        <color theme="1"/>
        <rFont val="Calibri"/>
        <family val="2"/>
      </rPr>
      <t xml:space="preserve"> </t>
    </r>
    <r>
      <rPr>
        <sz val="9"/>
        <color theme="1"/>
        <rFont val="맑은 고딕"/>
        <family val="2"/>
      </rPr>
      <t>제목</t>
    </r>
    <r>
      <rPr>
        <sz val="9"/>
        <color theme="1"/>
        <rFont val="Calibri"/>
        <family val="2"/>
      </rPr>
      <t>, 2</t>
    </r>
    <r>
      <rPr>
        <sz val="9"/>
        <color theme="1"/>
        <rFont val="맑은 고딕"/>
        <family val="2"/>
      </rPr>
      <t>행부터</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들어가</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포맷</t>
    </r>
    <r>
      <rPr>
        <sz val="9"/>
        <color theme="1"/>
        <rFont val="Calibri"/>
        <family val="2"/>
      </rPr>
      <t xml:space="preserve"> </t>
    </r>
    <r>
      <rPr>
        <sz val="9"/>
        <color theme="1"/>
        <rFont val="맑은 고딕"/>
        <family val="2"/>
      </rPr>
      <t>또는</t>
    </r>
    <r>
      <rPr>
        <sz val="9"/>
        <color theme="1"/>
        <rFont val="Calibri"/>
        <family val="2"/>
      </rPr>
      <t xml:space="preserve"> XLGantt </t>
    </r>
    <r>
      <rPr>
        <sz val="9"/>
        <color theme="1"/>
        <rFont val="맑은 고딕"/>
        <family val="2"/>
      </rPr>
      <t>파일만</t>
    </r>
    <r>
      <rPr>
        <sz val="9"/>
        <color theme="1"/>
        <rFont val="Calibri"/>
        <family val="2"/>
      </rPr>
      <t xml:space="preserve"> </t>
    </r>
    <r>
      <rPr>
        <sz val="9"/>
        <color theme="1"/>
        <rFont val="맑은 고딕"/>
        <family val="2"/>
      </rPr>
      <t>허용</t>
    </r>
    <r>
      <rPr>
        <sz val="9"/>
        <color theme="1"/>
        <rFont val="Calibri"/>
        <family val="2"/>
      </rPr>
      <t xml:space="preserve">)\n - </t>
    </r>
    <r>
      <rPr>
        <sz val="9"/>
        <color theme="1"/>
        <rFont val="맑은 고딕"/>
        <family val="2"/>
      </rPr>
      <t>이미</t>
    </r>
    <r>
      <rPr>
        <sz val="9"/>
        <color theme="1"/>
        <rFont val="Calibri"/>
        <family val="2"/>
      </rPr>
      <t xml:space="preserve"> </t>
    </r>
    <r>
      <rPr>
        <sz val="9"/>
        <color theme="1"/>
        <rFont val="맑은 고딕"/>
        <family val="2"/>
      </rPr>
      <t>열려있는</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또</t>
    </r>
    <r>
      <rPr>
        <sz val="9"/>
        <color theme="1"/>
        <rFont val="Calibri"/>
        <family val="2"/>
      </rPr>
      <t xml:space="preserve"> </t>
    </r>
    <r>
      <rPr>
        <sz val="9"/>
        <color theme="1"/>
        <rFont val="맑은 고딕"/>
        <family val="2"/>
      </rPr>
      <t>열다가</t>
    </r>
    <r>
      <rPr>
        <sz val="9"/>
        <color theme="1"/>
        <rFont val="Calibri"/>
        <family val="2"/>
      </rPr>
      <t xml:space="preserve"> </t>
    </r>
    <r>
      <rPr>
        <sz val="9"/>
        <color theme="1"/>
        <rFont val="맑은 고딕"/>
        <family val="2"/>
      </rPr>
      <t>취소하는</t>
    </r>
    <r>
      <rPr>
        <sz val="9"/>
        <color theme="1"/>
        <rFont val="Calibri"/>
        <family val="2"/>
      </rPr>
      <t xml:space="preserve"> </t>
    </r>
    <r>
      <rPr>
        <sz val="9"/>
        <color theme="1"/>
        <rFont val="맑은 고딕"/>
        <family val="2"/>
      </rPr>
      <t>경우</t>
    </r>
    <r>
      <rPr>
        <sz val="9"/>
        <color theme="1"/>
        <rFont val="Calibri"/>
        <family val="2"/>
      </rPr>
      <t xml:space="preserve">\n\n </t>
    </r>
    <r>
      <rPr>
        <sz val="9"/>
        <color theme="1"/>
        <rFont val="맑은 고딕"/>
        <family val="2"/>
      </rPr>
      <t>자세한</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확인하시기</t>
    </r>
    <r>
      <rPr>
        <sz val="9"/>
        <color theme="1"/>
        <rFont val="Calibri"/>
        <family val="2"/>
      </rPr>
      <t xml:space="preserve"> </t>
    </r>
    <r>
      <rPr>
        <sz val="9"/>
        <color theme="1"/>
        <rFont val="맑은 고딕"/>
        <family val="2"/>
      </rPr>
      <t>바랍니다</t>
    </r>
    <r>
      <rPr>
        <sz val="9"/>
        <color theme="1"/>
        <rFont val="Calibri"/>
        <family val="2"/>
      </rPr>
      <t>.</t>
    </r>
  </si>
  <si>
    <r>
      <t xml:space="preserve">* </t>
    </r>
    <r>
      <rPr>
        <sz val="9"/>
        <color theme="1"/>
        <rFont val="맑은 고딕"/>
        <family val="2"/>
      </rPr>
      <t>가져올</t>
    </r>
    <r>
      <rPr>
        <sz val="9"/>
        <color theme="1"/>
        <rFont val="Calibri"/>
        <family val="2"/>
      </rPr>
      <t xml:space="preserve"> </t>
    </r>
    <r>
      <rPr>
        <sz val="9"/>
        <color theme="1"/>
        <rFont val="맑은 고딕"/>
        <family val="2"/>
      </rPr>
      <t>파일이</t>
    </r>
    <r>
      <rPr>
        <sz val="9"/>
        <color theme="1"/>
        <rFont val="Calibri"/>
        <family val="2"/>
      </rPr>
      <t xml:space="preserve"> 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경우만</t>
    </r>
    <r>
      <rPr>
        <sz val="9"/>
        <color theme="1"/>
        <rFont val="Calibri"/>
        <family val="2"/>
      </rPr>
      <t xml:space="preserve"> </t>
    </r>
    <r>
      <rPr>
        <sz val="9"/>
        <color theme="1"/>
        <rFont val="맑은 고딕"/>
        <family val="2"/>
      </rPr>
      <t xml:space="preserve">가능_x000D_
</t>
    </r>
    <r>
      <rPr>
        <sz val="9"/>
        <color theme="1"/>
        <rFont val="Calibri"/>
        <family val="2"/>
      </rPr>
      <t>\n* XLGantt</t>
    </r>
    <r>
      <rPr>
        <sz val="9"/>
        <color theme="1"/>
        <rFont val="맑은 고딕"/>
        <family val="2"/>
      </rPr>
      <t>의</t>
    </r>
    <r>
      <rPr>
        <sz val="9"/>
        <color theme="1"/>
        <rFont val="Calibri"/>
        <family val="2"/>
      </rPr>
      <t xml:space="preserve"> </t>
    </r>
    <r>
      <rPr>
        <sz val="9"/>
        <color theme="1"/>
        <rFont val="맑은 고딕"/>
        <family val="2"/>
      </rPr>
      <t>버전이</t>
    </r>
    <r>
      <rPr>
        <sz val="9"/>
        <color theme="1"/>
        <rFont val="Calibri"/>
        <family val="2"/>
      </rPr>
      <t xml:space="preserve"> 0.9.7 </t>
    </r>
    <r>
      <rPr>
        <sz val="9"/>
        <color theme="1"/>
        <rFont val="맑은 고딕"/>
        <family val="2"/>
      </rPr>
      <t>이상인</t>
    </r>
    <r>
      <rPr>
        <sz val="9"/>
        <color theme="1"/>
        <rFont val="Calibri"/>
        <family val="2"/>
      </rPr>
      <t xml:space="preserve"> </t>
    </r>
    <r>
      <rPr>
        <sz val="9"/>
        <color theme="1"/>
        <rFont val="맑은 고딕"/>
        <family val="2"/>
      </rPr>
      <t>경우만</t>
    </r>
    <r>
      <rPr>
        <sz val="9"/>
        <color theme="1"/>
        <rFont val="Calibri"/>
        <family val="2"/>
      </rPr>
      <t xml:space="preserve"> </t>
    </r>
    <r>
      <rPr>
        <sz val="9"/>
        <color theme="1"/>
        <rFont val="맑은 고딕"/>
        <family val="2"/>
      </rPr>
      <t>가능</t>
    </r>
    <r>
      <rPr>
        <sz val="9"/>
        <color theme="1"/>
        <rFont val="Calibri"/>
        <family val="2"/>
      </rPr>
      <t xml:space="preserve">\n* </t>
    </r>
    <r>
      <rPr>
        <sz val="9"/>
        <color theme="1"/>
        <rFont val="맑은 고딕"/>
        <family val="2"/>
      </rPr>
      <t>자료의</t>
    </r>
    <r>
      <rPr>
        <sz val="9"/>
        <color theme="1"/>
        <rFont val="Calibri"/>
        <family val="2"/>
      </rPr>
      <t xml:space="preserve"> </t>
    </r>
    <r>
      <rPr>
        <sz val="9"/>
        <color theme="1"/>
        <rFont val="맑은 고딕"/>
        <family val="2"/>
      </rPr>
      <t>갯수는</t>
    </r>
    <r>
      <rPr>
        <sz val="9"/>
        <color theme="1"/>
        <rFont val="Calibri"/>
        <family val="2"/>
      </rPr>
      <t xml:space="preserve"> 10,000</t>
    </r>
    <r>
      <rPr>
        <sz val="9"/>
        <color theme="1"/>
        <rFont val="맑은 고딕"/>
        <family val="2"/>
      </rPr>
      <t>개</t>
    </r>
    <r>
      <rPr>
        <sz val="9"/>
        <color theme="1"/>
        <rFont val="Calibri"/>
        <family val="2"/>
      </rPr>
      <t xml:space="preserve"> </t>
    </r>
    <r>
      <rPr>
        <sz val="9"/>
        <color theme="1"/>
        <rFont val="맑은 고딕"/>
        <family val="2"/>
      </rPr>
      <t>이하까지만</t>
    </r>
    <r>
      <rPr>
        <sz val="9"/>
        <color theme="1"/>
        <rFont val="Calibri"/>
        <family val="2"/>
      </rPr>
      <t xml:space="preserve"> </t>
    </r>
    <r>
      <rPr>
        <sz val="9"/>
        <color theme="1"/>
        <rFont val="맑은 고딕"/>
        <family val="2"/>
      </rPr>
      <t xml:space="preserve">처리됨_x000D_
</t>
    </r>
    <r>
      <rPr>
        <sz val="9"/>
        <color theme="1"/>
        <rFont val="Calibri"/>
        <family val="2"/>
      </rPr>
      <t xml:space="preserve">\n* </t>
    </r>
    <r>
      <rPr>
        <sz val="9"/>
        <color theme="1"/>
        <rFont val="맑은 고딕"/>
        <family val="2"/>
      </rPr>
      <t>여러개의</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동시처리</t>
    </r>
    <r>
      <rPr>
        <sz val="9"/>
        <color theme="1"/>
        <rFont val="Calibri"/>
        <family val="2"/>
      </rPr>
      <t xml:space="preserve"> </t>
    </r>
    <r>
      <rPr>
        <sz val="9"/>
        <color theme="1"/>
        <rFont val="맑은 고딕"/>
        <family val="2"/>
      </rPr>
      <t xml:space="preserve">가능_x000D_
</t>
    </r>
  </si>
  <si>
    <r>
      <rPr>
        <sz val="9"/>
        <color theme="1"/>
        <rFont val="맑은 고딕"/>
        <family val="2"/>
      </rPr>
      <t>프로젝트</t>
    </r>
    <r>
      <rPr>
        <sz val="9"/>
        <color theme="1"/>
        <rFont val="Calibri"/>
        <family val="2"/>
      </rPr>
      <t xml:space="preserve"> </t>
    </r>
    <r>
      <rPr>
        <sz val="9"/>
        <color theme="1"/>
        <rFont val="맑은 고딕"/>
        <family val="2"/>
      </rPr>
      <t>기간이</t>
    </r>
    <r>
      <rPr>
        <sz val="9"/>
        <color theme="1"/>
        <rFont val="Calibri"/>
        <family val="2"/>
      </rPr>
      <t xml:space="preserve"> </t>
    </r>
    <r>
      <rPr>
        <sz val="9"/>
        <color theme="1"/>
        <rFont val="맑은 고딕"/>
        <family val="2"/>
      </rPr>
      <t>너무</t>
    </r>
    <r>
      <rPr>
        <sz val="9"/>
        <color theme="1"/>
        <rFont val="Calibri"/>
        <family val="2"/>
      </rPr>
      <t xml:space="preserve"> </t>
    </r>
    <r>
      <rPr>
        <sz val="9"/>
        <color theme="1"/>
        <rFont val="맑은 고딕"/>
        <family val="2"/>
      </rPr>
      <t>깁니다</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시작일자는</t>
    </r>
    <r>
      <rPr>
        <sz val="9"/>
        <color theme="1"/>
        <rFont val="Calibri"/>
        <family val="2"/>
      </rPr>
      <t xml:space="preserve"> {1}</t>
    </r>
    <r>
      <rPr>
        <sz val="9"/>
        <color theme="1"/>
        <rFont val="맑은 고딕"/>
        <family val="2"/>
      </rPr>
      <t>이고</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완료일자는</t>
    </r>
    <r>
      <rPr>
        <sz val="9"/>
        <color theme="1"/>
        <rFont val="Calibri"/>
        <family val="2"/>
      </rPr>
      <t xml:space="preserve"> {2}</t>
    </r>
    <r>
      <rPr>
        <sz val="9"/>
        <color theme="1"/>
        <rFont val="맑은 고딕"/>
        <family val="2"/>
      </rPr>
      <t>이므로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기간은</t>
    </r>
    <r>
      <rPr>
        <sz val="9"/>
        <color theme="1"/>
        <rFont val="Calibri"/>
        <family val="2"/>
      </rPr>
      <t xml:space="preserve"> {3}</t>
    </r>
    <r>
      <rPr>
        <sz val="9"/>
        <color theme="1"/>
        <rFont val="맑은 고딕"/>
        <family val="2"/>
      </rPr>
      <t>일입니다</t>
    </r>
    <r>
      <rPr>
        <sz val="9"/>
        <color theme="1"/>
        <rFont val="Calibri"/>
        <family val="2"/>
      </rPr>
      <t>. XLGantt</t>
    </r>
    <r>
      <rPr>
        <sz val="9"/>
        <color theme="1"/>
        <rFont val="맑은 고딕"/>
        <family val="2"/>
      </rPr>
      <t>에서</t>
    </r>
    <r>
      <rPr>
        <sz val="9"/>
        <color theme="1"/>
        <rFont val="Calibri"/>
        <family val="2"/>
      </rPr>
      <t xml:space="preserve"> </t>
    </r>
    <r>
      <rPr>
        <sz val="9"/>
        <color theme="1"/>
        <rFont val="맑은 고딕"/>
        <family val="2"/>
      </rPr>
      <t>허용되는</t>
    </r>
    <r>
      <rPr>
        <sz val="9"/>
        <color theme="1"/>
        <rFont val="Calibri"/>
        <family val="2"/>
      </rPr>
      <t xml:space="preserve"> </t>
    </r>
    <r>
      <rPr>
        <sz val="9"/>
        <color theme="1"/>
        <rFont val="맑은 고딕"/>
        <family val="2"/>
      </rPr>
      <t>최대일수는</t>
    </r>
    <r>
      <rPr>
        <sz val="9"/>
        <color theme="1"/>
        <rFont val="Calibri"/>
        <family val="2"/>
      </rPr>
      <t xml:space="preserve"> {4}</t>
    </r>
    <r>
      <rPr>
        <sz val="9"/>
        <color theme="1"/>
        <rFont val="맑은 고딕"/>
        <family val="2"/>
      </rPr>
      <t>일입니다</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XLGantt</t>
    </r>
    <r>
      <rPr>
        <sz val="9"/>
        <color theme="1"/>
        <rFont val="맑은 고딕"/>
        <family val="2"/>
      </rPr>
      <t>에서</t>
    </r>
    <r>
      <rPr>
        <sz val="9"/>
        <color theme="1"/>
        <rFont val="Calibri"/>
        <family val="2"/>
      </rPr>
      <t xml:space="preserve"> </t>
    </r>
    <r>
      <rPr>
        <sz val="9"/>
        <color theme="1"/>
        <rFont val="맑은 고딕"/>
        <family val="2"/>
      </rPr>
      <t>허용하는</t>
    </r>
    <r>
      <rPr>
        <sz val="9"/>
        <color theme="1"/>
        <rFont val="Calibri"/>
        <family val="2"/>
      </rPr>
      <t xml:space="preserve"> </t>
    </r>
    <r>
      <rPr>
        <sz val="9"/>
        <color theme="1"/>
        <rFont val="맑은 고딕"/>
        <family val="2"/>
      </rPr>
      <t>범위내로</t>
    </r>
    <r>
      <rPr>
        <sz val="9"/>
        <color theme="1"/>
        <rFont val="Calibri"/>
        <family val="2"/>
      </rPr>
      <t xml:space="preserve"> </t>
    </r>
    <r>
      <rPr>
        <sz val="9"/>
        <color theme="1"/>
        <rFont val="맑은 고딕"/>
        <family val="2"/>
      </rPr>
      <t>줄이십시오</t>
    </r>
    <r>
      <rPr>
        <sz val="9"/>
        <color theme="1"/>
        <rFont val="Calibri"/>
        <family val="2"/>
      </rPr>
      <t>.</t>
    </r>
  </si>
  <si>
    <r>
      <t xml:space="preserve"> Source</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Target</t>
    </r>
    <r>
      <rPr>
        <sz val="9"/>
        <color theme="1"/>
        <rFont val="맑은 고딕"/>
        <family val="2"/>
      </rPr>
      <t>필드</t>
    </r>
    <r>
      <rPr>
        <sz val="9"/>
        <color theme="1"/>
        <rFont val="Calibri"/>
        <family val="2"/>
      </rPr>
      <t xml:space="preserve"> </t>
    </r>
    <r>
      <rPr>
        <sz val="9"/>
        <color theme="1"/>
        <rFont val="맑은 고딕"/>
        <family val="2"/>
      </rPr>
      <t>명</t>
    </r>
  </si>
  <si>
    <r>
      <t xml:space="preserve"> </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
    </r>
    <r>
      <rPr>
        <sz val="9"/>
        <color theme="1"/>
        <rFont val="맑은 고딕"/>
        <family val="2"/>
      </rPr>
      <t>값</t>
    </r>
    <r>
      <rPr>
        <sz val="9"/>
        <color theme="1"/>
        <rFont val="Calibri"/>
        <family val="2"/>
      </rPr>
      <t xml:space="preserve"> </t>
    </r>
    <r>
      <rPr>
        <sz val="9"/>
        <color theme="1"/>
        <rFont val="맑은 고딕"/>
        <family val="2"/>
      </rPr>
      <t>예시</t>
    </r>
  </si>
  <si>
    <r>
      <t xml:space="preserve"> </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
    </r>
    <r>
      <rPr>
        <sz val="9"/>
        <color theme="1"/>
        <rFont val="맑은 고딕"/>
        <family val="2"/>
      </rPr>
      <t>필드</t>
    </r>
    <r>
      <rPr>
        <sz val="9"/>
        <color theme="1"/>
        <rFont val="Calibri"/>
        <family val="2"/>
      </rPr>
      <t xml:space="preserve"> </t>
    </r>
    <r>
      <rPr>
        <sz val="9"/>
        <color theme="1"/>
        <rFont val="맑은 고딕"/>
        <family val="2"/>
      </rPr>
      <t>값</t>
    </r>
  </si>
  <si>
    <r>
      <t xml:space="preserve"> Mapping</t>
    </r>
    <r>
      <rPr>
        <sz val="9"/>
        <color theme="1"/>
        <rFont val="맑은 고딕"/>
        <family val="2"/>
      </rPr>
      <t>된</t>
    </r>
    <r>
      <rPr>
        <sz val="9"/>
        <color theme="1"/>
        <rFont val="Calibri"/>
        <family val="2"/>
      </rPr>
      <t xml:space="preserve"> </t>
    </r>
    <r>
      <rPr>
        <sz val="9"/>
        <color theme="1"/>
        <rFont val="맑은 고딕"/>
        <family val="2"/>
      </rPr>
      <t>상태</t>
    </r>
  </si>
  <si>
    <r>
      <t xml:space="preserve"> </t>
    </r>
    <r>
      <rPr>
        <sz val="9"/>
        <color theme="1"/>
        <rFont val="맑은 고딕"/>
        <family val="2"/>
      </rPr>
      <t>프로젝트</t>
    </r>
    <r>
      <rPr>
        <sz val="9"/>
        <color theme="1"/>
        <rFont val="Calibri"/>
        <family val="2"/>
      </rPr>
      <t xml:space="preserve"> </t>
    </r>
    <r>
      <rPr>
        <sz val="9"/>
        <color theme="1"/>
        <rFont val="맑은 고딕"/>
        <family val="2"/>
      </rPr>
      <t>휴무일</t>
    </r>
    <r>
      <rPr>
        <sz val="9"/>
        <color theme="1"/>
        <rFont val="Calibri"/>
        <family val="2"/>
      </rPr>
      <t xml:space="preserve"> Calendar </t>
    </r>
    <r>
      <rPr>
        <sz val="9"/>
        <color theme="1"/>
        <rFont val="맑은 고딕"/>
        <family val="2"/>
      </rPr>
      <t>설정</t>
    </r>
  </si>
  <si>
    <r>
      <rPr>
        <sz val="9"/>
        <color theme="1"/>
        <rFont val="맑은 고딕"/>
        <family val="2"/>
      </rPr>
      <t>실적진척율은</t>
    </r>
    <r>
      <rPr>
        <sz val="9"/>
        <color theme="1"/>
        <rFont val="Calibri"/>
        <family val="2"/>
      </rPr>
      <t xml:space="preserve"> 0~100% </t>
    </r>
    <r>
      <rPr>
        <sz val="9"/>
        <color theme="1"/>
        <rFont val="맑은 고딕"/>
        <family val="2"/>
      </rPr>
      <t>범위만</t>
    </r>
    <r>
      <rPr>
        <sz val="9"/>
        <color theme="1"/>
        <rFont val="Calibri"/>
        <family val="2"/>
      </rPr>
      <t xml:space="preserve"> </t>
    </r>
    <r>
      <rPr>
        <sz val="9"/>
        <color theme="1"/>
        <rFont val="맑은 고딕"/>
        <family val="2"/>
      </rPr>
      <t>입력가능합니다</t>
    </r>
    <r>
      <rPr>
        <sz val="9"/>
        <color theme="1"/>
        <rFont val="Calibri"/>
        <family val="2"/>
      </rPr>
      <t>.</t>
    </r>
  </si>
  <si>
    <r>
      <rPr>
        <sz val="9"/>
        <color theme="1"/>
        <rFont val="맑은 고딕"/>
        <family val="2"/>
      </rPr>
      <t>개요수준</t>
    </r>
    <r>
      <rPr>
        <sz val="9"/>
        <color theme="1"/>
        <rFont val="Calibri"/>
        <family val="2"/>
      </rPr>
      <t>(</t>
    </r>
    <r>
      <rPr>
        <sz val="9"/>
        <color theme="1"/>
        <rFont val="맑은 고딕"/>
        <family val="2"/>
      </rPr>
      <t>작업</t>
    </r>
    <r>
      <rPr>
        <sz val="9"/>
        <color theme="1"/>
        <rFont val="Calibri"/>
        <family val="2"/>
      </rPr>
      <t>Level)</t>
    </r>
    <r>
      <rPr>
        <sz val="9"/>
        <color theme="1"/>
        <rFont val="맑은 고딕"/>
        <family val="2"/>
      </rPr>
      <t>필드입니다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예를</t>
    </r>
    <r>
      <rPr>
        <sz val="9"/>
        <color theme="1"/>
        <rFont val="Calibri"/>
        <family val="2"/>
      </rPr>
      <t xml:space="preserve"> </t>
    </r>
    <r>
      <rPr>
        <sz val="9"/>
        <color theme="1"/>
        <rFont val="맑은 고딕"/>
        <family val="2"/>
      </rPr>
      <t>들어</t>
    </r>
    <r>
      <rPr>
        <sz val="9"/>
        <color theme="1"/>
        <rFont val="Calibri"/>
        <family val="2"/>
      </rPr>
      <t xml:space="preserve"> 2 Level</t>
    </r>
    <r>
      <rPr>
        <sz val="9"/>
        <color theme="1"/>
        <rFont val="맑은 고딕"/>
        <family val="2"/>
      </rPr>
      <t>의</t>
    </r>
    <r>
      <rPr>
        <sz val="9"/>
        <color theme="1"/>
        <rFont val="Calibri"/>
        <family val="2"/>
      </rPr>
      <t xml:space="preserve"> </t>
    </r>
    <r>
      <rPr>
        <sz val="9"/>
        <color theme="1"/>
        <rFont val="맑은 고딕"/>
        <family val="2"/>
      </rPr>
      <t>작업이면</t>
    </r>
    <r>
      <rPr>
        <sz val="9"/>
        <color theme="1"/>
        <rFont val="Calibri"/>
        <family val="2"/>
      </rPr>
      <t xml:space="preserve"> </t>
    </r>
    <r>
      <rPr>
        <sz val="9"/>
        <color theme="1"/>
        <rFont val="맑은 고딕"/>
        <family val="2"/>
      </rPr>
      <t>숫자</t>
    </r>
    <r>
      <rPr>
        <sz val="9"/>
        <color theme="1"/>
        <rFont val="Calibri"/>
        <family val="2"/>
      </rPr>
      <t xml:space="preserve"> 2</t>
    </r>
    <r>
      <rPr>
        <sz val="9"/>
        <color theme="1"/>
        <rFont val="맑은 고딕"/>
        <family val="2"/>
      </rPr>
      <t>로</t>
    </r>
    <r>
      <rPr>
        <sz val="9"/>
        <color theme="1"/>
        <rFont val="Calibri"/>
        <family val="2"/>
      </rPr>
      <t xml:space="preserve"> </t>
    </r>
    <r>
      <rPr>
        <sz val="9"/>
        <color theme="1"/>
        <rFont val="맑은 고딕"/>
        <family val="2"/>
      </rPr>
      <t>표시됩니다</t>
    </r>
    <r>
      <rPr>
        <sz val="9"/>
        <color theme="1"/>
        <rFont val="Calibri"/>
        <family val="2"/>
      </rPr>
      <t xml:space="preserve">. </t>
    </r>
    <r>
      <rPr>
        <sz val="9"/>
        <color theme="1"/>
        <rFont val="맑은 고딕"/>
        <family val="2"/>
      </rPr>
      <t>개요수준대신</t>
    </r>
    <r>
      <rPr>
        <sz val="9"/>
        <color theme="1"/>
        <rFont val="Calibri"/>
        <family val="2"/>
      </rPr>
      <t xml:space="preserve"> WBS</t>
    </r>
    <r>
      <rPr>
        <sz val="9"/>
        <color theme="1"/>
        <rFont val="맑은 고딕"/>
        <family val="2"/>
      </rPr>
      <t>필드</t>
    </r>
    <r>
      <rPr>
        <sz val="9"/>
        <color theme="1"/>
        <rFont val="Calibri"/>
        <family val="2"/>
      </rPr>
      <t xml:space="preserve">(1.3.2 </t>
    </r>
    <r>
      <rPr>
        <sz val="9"/>
        <color theme="1"/>
        <rFont val="맑은 고딕"/>
        <family val="2"/>
      </rPr>
      <t>등의</t>
    </r>
    <r>
      <rPr>
        <sz val="9"/>
        <color theme="1"/>
        <rFont val="Calibri"/>
        <family val="2"/>
      </rPr>
      <t xml:space="preserve"> </t>
    </r>
    <r>
      <rPr>
        <sz val="9"/>
        <color theme="1"/>
        <rFont val="맑은 고딕"/>
        <family val="2"/>
      </rPr>
      <t>형식으로</t>
    </r>
    <r>
      <rPr>
        <sz val="9"/>
        <color theme="1"/>
        <rFont val="Calibri"/>
        <family val="2"/>
      </rPr>
      <t xml:space="preserve"> </t>
    </r>
    <r>
      <rPr>
        <sz val="9"/>
        <color theme="1"/>
        <rFont val="맑은 고딕"/>
        <family val="2"/>
      </rPr>
      <t>표시</t>
    </r>
    <r>
      <rPr>
        <sz val="9"/>
        <color theme="1"/>
        <rFont val="Calibri"/>
        <family val="2"/>
      </rPr>
      <t>)</t>
    </r>
    <r>
      <rPr>
        <sz val="9"/>
        <color theme="1"/>
        <rFont val="맑은 고딕"/>
        <family val="2"/>
      </rPr>
      <t>를</t>
    </r>
    <r>
      <rPr>
        <sz val="9"/>
        <color theme="1"/>
        <rFont val="Calibri"/>
        <family val="2"/>
      </rPr>
      <t xml:space="preserve"> </t>
    </r>
    <r>
      <rPr>
        <sz val="9"/>
        <color theme="1"/>
        <rFont val="맑은 고딕"/>
        <family val="2"/>
      </rPr>
      <t>사용하기도</t>
    </r>
    <r>
      <rPr>
        <sz val="9"/>
        <color theme="1"/>
        <rFont val="Calibri"/>
        <family val="2"/>
      </rPr>
      <t xml:space="preserve"> </t>
    </r>
    <r>
      <rPr>
        <sz val="9"/>
        <color theme="1"/>
        <rFont val="맑은 고딕"/>
        <family val="2"/>
      </rPr>
      <t>합니다</t>
    </r>
    <r>
      <rPr>
        <sz val="9"/>
        <color theme="1"/>
        <rFont val="Calibri"/>
        <family val="2"/>
      </rPr>
      <t>.</t>
    </r>
  </si>
  <si>
    <r>
      <t xml:space="preserve">WBS(Work Breakdown Structure) </t>
    </r>
    <r>
      <rPr>
        <sz val="9"/>
        <color theme="1"/>
        <rFont val="맑은 고딕"/>
        <family val="2"/>
      </rPr>
      <t>필드입니다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1.3.2 </t>
    </r>
    <r>
      <rPr>
        <sz val="9"/>
        <color theme="1"/>
        <rFont val="맑은 고딕"/>
        <family val="2"/>
      </rPr>
      <t>등의</t>
    </r>
    <r>
      <rPr>
        <sz val="9"/>
        <color theme="1"/>
        <rFont val="Calibri"/>
        <family val="2"/>
      </rPr>
      <t xml:space="preserve"> </t>
    </r>
    <r>
      <rPr>
        <sz val="9"/>
        <color theme="1"/>
        <rFont val="맑은 고딕"/>
        <family val="2"/>
      </rPr>
      <t>형식으로</t>
    </r>
    <r>
      <rPr>
        <sz val="9"/>
        <color theme="1"/>
        <rFont val="Calibri"/>
        <family val="2"/>
      </rPr>
      <t xml:space="preserve"> </t>
    </r>
    <r>
      <rPr>
        <sz val="9"/>
        <color theme="1"/>
        <rFont val="맑은 고딕"/>
        <family val="2"/>
      </rPr>
      <t>표시됩니다</t>
    </r>
    <r>
      <rPr>
        <sz val="9"/>
        <color theme="1"/>
        <rFont val="Calibri"/>
        <family val="2"/>
      </rPr>
      <t>. WBS</t>
    </r>
    <r>
      <rPr>
        <sz val="9"/>
        <color theme="1"/>
        <rFont val="맑은 고딕"/>
        <family val="2"/>
      </rPr>
      <t>대신</t>
    </r>
    <r>
      <rPr>
        <sz val="9"/>
        <color theme="1"/>
        <rFont val="Calibri"/>
        <family val="2"/>
      </rPr>
      <t xml:space="preserve"> </t>
    </r>
    <r>
      <rPr>
        <sz val="9"/>
        <color theme="1"/>
        <rFont val="맑은 고딕"/>
        <family val="2"/>
      </rPr>
      <t>개요수준</t>
    </r>
    <r>
      <rPr>
        <sz val="9"/>
        <color theme="1"/>
        <rFont val="Calibri"/>
        <family val="2"/>
      </rPr>
      <t>(</t>
    </r>
    <r>
      <rPr>
        <sz val="9"/>
        <color theme="1"/>
        <rFont val="맑은 고딕"/>
        <family val="2"/>
      </rPr>
      <t>작업</t>
    </r>
    <r>
      <rPr>
        <sz val="9"/>
        <color theme="1"/>
        <rFont val="Calibri"/>
        <family val="2"/>
      </rPr>
      <t>Level)</t>
    </r>
    <r>
      <rPr>
        <sz val="9"/>
        <color theme="1"/>
        <rFont val="맑은 고딕"/>
        <family val="2"/>
      </rPr>
      <t>필드를</t>
    </r>
    <r>
      <rPr>
        <sz val="9"/>
        <color theme="1"/>
        <rFont val="Calibri"/>
        <family val="2"/>
      </rPr>
      <t xml:space="preserve"> </t>
    </r>
    <r>
      <rPr>
        <sz val="9"/>
        <color theme="1"/>
        <rFont val="맑은 고딕"/>
        <family val="2"/>
      </rPr>
      <t>사용하기도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예를</t>
    </r>
    <r>
      <rPr>
        <sz val="9"/>
        <color theme="1"/>
        <rFont val="Calibri"/>
        <family val="2"/>
      </rPr>
      <t xml:space="preserve"> </t>
    </r>
    <r>
      <rPr>
        <sz val="9"/>
        <color theme="1"/>
        <rFont val="맑은 고딕"/>
        <family val="2"/>
      </rPr>
      <t>들어</t>
    </r>
    <r>
      <rPr>
        <sz val="9"/>
        <color theme="1"/>
        <rFont val="Calibri"/>
        <family val="2"/>
      </rPr>
      <t xml:space="preserve"> 2 Level</t>
    </r>
    <r>
      <rPr>
        <sz val="9"/>
        <color theme="1"/>
        <rFont val="맑은 고딕"/>
        <family val="2"/>
      </rPr>
      <t>의</t>
    </r>
    <r>
      <rPr>
        <sz val="9"/>
        <color theme="1"/>
        <rFont val="Calibri"/>
        <family val="2"/>
      </rPr>
      <t xml:space="preserve"> </t>
    </r>
    <r>
      <rPr>
        <sz val="9"/>
        <color theme="1"/>
        <rFont val="맑은 고딕"/>
        <family val="2"/>
      </rPr>
      <t>작업이면</t>
    </r>
    <r>
      <rPr>
        <sz val="9"/>
        <color theme="1"/>
        <rFont val="Calibri"/>
        <family val="2"/>
      </rPr>
      <t xml:space="preserve"> </t>
    </r>
    <r>
      <rPr>
        <sz val="9"/>
        <color theme="1"/>
        <rFont val="맑은 고딕"/>
        <family val="2"/>
      </rPr>
      <t>숫자</t>
    </r>
    <r>
      <rPr>
        <sz val="9"/>
        <color theme="1"/>
        <rFont val="Calibri"/>
        <family val="2"/>
      </rPr>
      <t xml:space="preserve"> 2</t>
    </r>
    <r>
      <rPr>
        <sz val="9"/>
        <color theme="1"/>
        <rFont val="맑은 고딕"/>
        <family val="2"/>
      </rPr>
      <t>로</t>
    </r>
    <r>
      <rPr>
        <sz val="9"/>
        <color theme="1"/>
        <rFont val="Calibri"/>
        <family val="2"/>
      </rPr>
      <t xml:space="preserve"> </t>
    </r>
    <r>
      <rPr>
        <sz val="9"/>
        <color theme="1"/>
        <rFont val="맑은 고딕"/>
        <family val="2"/>
      </rPr>
      <t>표시됩니다</t>
    </r>
    <r>
      <rPr>
        <sz val="9"/>
        <color theme="1"/>
        <rFont val="Calibri"/>
        <family val="2"/>
      </rPr>
      <t>.</t>
    </r>
  </si>
  <si>
    <r>
      <rPr>
        <sz val="9"/>
        <color theme="1"/>
        <rFont val="맑은 고딕"/>
        <family val="2"/>
      </rPr>
      <t>실적</t>
    </r>
    <r>
      <rPr>
        <sz val="9"/>
        <color theme="1"/>
        <rFont val="Calibri"/>
        <family val="2"/>
      </rPr>
      <t xml:space="preserve"> </t>
    </r>
    <r>
      <rPr>
        <sz val="9"/>
        <color theme="1"/>
        <rFont val="맑은 고딕"/>
        <family val="2"/>
      </rPr>
      <t>진척율</t>
    </r>
    <r>
      <rPr>
        <sz val="9"/>
        <color theme="1"/>
        <rFont val="Calibri"/>
        <family val="2"/>
      </rPr>
      <t>(B)</t>
    </r>
  </si>
  <si>
    <r>
      <rPr>
        <sz val="9"/>
        <color theme="1"/>
        <rFont val="맑은 고딕"/>
        <family val="2"/>
      </rPr>
      <t>실적</t>
    </r>
    <r>
      <rPr>
        <sz val="9"/>
        <color theme="1"/>
        <rFont val="Calibri"/>
        <family val="2"/>
      </rPr>
      <t>(C/A)</t>
    </r>
  </si>
  <si>
    <r>
      <t>* "</t>
    </r>
    <r>
      <rPr>
        <sz val="9"/>
        <color theme="1"/>
        <rFont val="맑은 고딕"/>
        <family val="2"/>
      </rPr>
      <t>스케줄업데이트</t>
    </r>
    <r>
      <rPr>
        <sz val="9"/>
        <color theme="1"/>
        <rFont val="Calibri"/>
        <family val="2"/>
      </rPr>
      <t xml:space="preserve">" </t>
    </r>
    <r>
      <rPr>
        <sz val="9"/>
        <color theme="1"/>
        <rFont val="맑은 고딕"/>
        <family val="2"/>
      </rPr>
      <t>버튼</t>
    </r>
    <r>
      <rPr>
        <sz val="9"/>
        <color theme="1"/>
        <rFont val="Calibri"/>
        <family val="2"/>
      </rPr>
      <t xml:space="preserve"> </t>
    </r>
    <r>
      <rPr>
        <sz val="9"/>
        <color theme="1"/>
        <rFont val="맑은 고딕"/>
        <family val="2"/>
      </rPr>
      <t>클릭</t>
    </r>
    <r>
      <rPr>
        <sz val="9"/>
        <color theme="1"/>
        <rFont val="Calibri"/>
        <family val="2"/>
      </rPr>
      <t xml:space="preserve"> </t>
    </r>
    <r>
      <rPr>
        <sz val="9"/>
        <color theme="1"/>
        <rFont val="맑은 고딕"/>
        <family val="2"/>
      </rPr>
      <t>시</t>
    </r>
    <r>
      <rPr>
        <sz val="9"/>
        <color theme="1"/>
        <rFont val="Calibri"/>
        <family val="2"/>
      </rPr>
      <t xml:space="preserve"> </t>
    </r>
    <r>
      <rPr>
        <sz val="9"/>
        <color theme="1"/>
        <rFont val="맑은 고딕"/>
        <family val="2"/>
      </rPr>
      <t>아래</t>
    </r>
    <r>
      <rPr>
        <sz val="9"/>
        <color theme="1"/>
        <rFont val="Calibri"/>
        <family val="2"/>
      </rPr>
      <t xml:space="preserve"> </t>
    </r>
    <r>
      <rPr>
        <sz val="9"/>
        <color theme="1"/>
        <rFont val="맑은 고딕"/>
        <family val="2"/>
      </rPr>
      <t>항목이</t>
    </r>
    <r>
      <rPr>
        <sz val="9"/>
        <color theme="1"/>
        <rFont val="Calibri"/>
        <family val="2"/>
      </rPr>
      <t xml:space="preserve"> </t>
    </r>
    <r>
      <rPr>
        <sz val="9"/>
        <color theme="1"/>
        <rFont val="맑은 고딕"/>
        <family val="2"/>
      </rPr>
      <t>자동계산됩니다</t>
    </r>
    <r>
      <rPr>
        <sz val="9"/>
        <color theme="1"/>
        <rFont val="Calibri"/>
        <family val="2"/>
      </rPr>
      <t>.</t>
    </r>
  </si>
  <si>
    <r>
      <t xml:space="preserve">* </t>
    </r>
    <r>
      <rPr>
        <sz val="9"/>
        <color theme="1"/>
        <rFont val="맑은 고딕"/>
        <family val="2"/>
      </rPr>
      <t>언어를</t>
    </r>
    <r>
      <rPr>
        <sz val="9"/>
        <color theme="1"/>
        <rFont val="Calibri"/>
        <family val="2"/>
      </rPr>
      <t xml:space="preserve"> </t>
    </r>
    <r>
      <rPr>
        <sz val="9"/>
        <color theme="1"/>
        <rFont val="맑은 고딕"/>
        <family val="2"/>
      </rPr>
      <t>선택하세요</t>
    </r>
  </si>
  <si>
    <r>
      <t xml:space="preserve">* XLGantt </t>
    </r>
    <r>
      <rPr>
        <sz val="9"/>
        <color theme="1"/>
        <rFont val="맑은 고딕"/>
        <family val="2"/>
      </rPr>
      <t>파일이</t>
    </r>
    <r>
      <rPr>
        <sz val="9"/>
        <color theme="1"/>
        <rFont val="Calibri"/>
        <family val="2"/>
      </rPr>
      <t xml:space="preserve"> </t>
    </r>
    <r>
      <rPr>
        <sz val="9"/>
        <color theme="1"/>
        <rFont val="맑은 고딕"/>
        <family val="2"/>
      </rPr>
      <t>아닌</t>
    </r>
    <r>
      <rPr>
        <sz val="9"/>
        <color theme="1"/>
        <rFont val="Calibri"/>
        <family val="2"/>
      </rPr>
      <t xml:space="preserve"> Excel</t>
    </r>
    <r>
      <rPr>
        <sz val="9"/>
        <color theme="1"/>
        <rFont val="맑은 고딕"/>
        <family val="2"/>
      </rPr>
      <t>파일</t>
    </r>
    <r>
      <rPr>
        <sz val="9"/>
        <color theme="1"/>
        <rFont val="Calibri"/>
        <family val="2"/>
      </rPr>
      <t>(1</t>
    </r>
    <r>
      <rPr>
        <sz val="9"/>
        <color theme="1"/>
        <rFont val="맑은 고딕"/>
        <family val="2"/>
      </rPr>
      <t>행은</t>
    </r>
    <r>
      <rPr>
        <sz val="9"/>
        <color theme="1"/>
        <rFont val="Calibri"/>
        <family val="2"/>
      </rPr>
      <t xml:space="preserve"> </t>
    </r>
    <r>
      <rPr>
        <sz val="9"/>
        <color theme="1"/>
        <rFont val="맑은 고딕"/>
        <family val="2"/>
      </rPr>
      <t>제목</t>
    </r>
    <r>
      <rPr>
        <sz val="9"/>
        <color theme="1"/>
        <rFont val="Calibri"/>
        <family val="2"/>
      </rPr>
      <t>, 2</t>
    </r>
    <r>
      <rPr>
        <sz val="9"/>
        <color theme="1"/>
        <rFont val="맑은 고딕"/>
        <family val="2"/>
      </rPr>
      <t>행부터</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파일</t>
    </r>
    <r>
      <rPr>
        <sz val="9"/>
        <color theme="1"/>
        <rFont val="Calibri"/>
        <family val="2"/>
      </rPr>
      <t xml:space="preserve">)\n* </t>
    </r>
    <r>
      <rPr>
        <sz val="9"/>
        <color theme="1"/>
        <rFont val="맑은 고딕"/>
        <family val="2"/>
      </rPr>
      <t>자료갯수</t>
    </r>
    <r>
      <rPr>
        <sz val="9"/>
        <color theme="1"/>
        <rFont val="Calibri"/>
        <family val="2"/>
      </rPr>
      <t xml:space="preserve"> </t>
    </r>
    <r>
      <rPr>
        <sz val="9"/>
        <color theme="1"/>
        <rFont val="맑은 고딕"/>
        <family val="2"/>
      </rPr>
      <t>제한</t>
    </r>
    <r>
      <rPr>
        <sz val="9"/>
        <color theme="1"/>
        <rFont val="Calibri"/>
        <family val="2"/>
      </rPr>
      <t xml:space="preserve"> </t>
    </r>
    <r>
      <rPr>
        <sz val="9"/>
        <color theme="1"/>
        <rFont val="맑은 고딕"/>
        <family val="2"/>
      </rPr>
      <t>없음</t>
    </r>
    <r>
      <rPr>
        <sz val="9"/>
        <color theme="1"/>
        <rFont val="Calibri"/>
        <family val="2"/>
      </rPr>
      <t xml:space="preserve">\n* </t>
    </r>
    <r>
      <rPr>
        <sz val="9"/>
        <color theme="1"/>
        <rFont val="맑은 고딕"/>
        <family val="2"/>
      </rPr>
      <t>한번에</t>
    </r>
    <r>
      <rPr>
        <sz val="9"/>
        <color theme="1"/>
        <rFont val="Calibri"/>
        <family val="2"/>
      </rPr>
      <t xml:space="preserve"> </t>
    </r>
    <r>
      <rPr>
        <sz val="9"/>
        <color theme="1"/>
        <rFont val="맑은 고딕"/>
        <family val="2"/>
      </rPr>
      <t>한개의</t>
    </r>
    <r>
      <rPr>
        <sz val="9"/>
        <color theme="1"/>
        <rFont val="Calibri"/>
        <family val="2"/>
      </rPr>
      <t xml:space="preserve"> </t>
    </r>
    <r>
      <rPr>
        <sz val="9"/>
        <color theme="1"/>
        <rFont val="맑은 고딕"/>
        <family val="2"/>
      </rPr>
      <t>파일만</t>
    </r>
    <r>
      <rPr>
        <sz val="9"/>
        <color theme="1"/>
        <rFont val="Calibri"/>
        <family val="2"/>
      </rPr>
      <t xml:space="preserve"> </t>
    </r>
    <r>
      <rPr>
        <sz val="9"/>
        <color theme="1"/>
        <rFont val="맑은 고딕"/>
        <family val="2"/>
      </rPr>
      <t>처리됨</t>
    </r>
  </si>
  <si>
    <r>
      <t xml:space="preserve">* </t>
    </r>
    <r>
      <rPr>
        <sz val="9"/>
        <color theme="1"/>
        <rFont val="맑은 고딕"/>
        <family val="2"/>
      </rPr>
      <t>주별로</t>
    </r>
    <r>
      <rPr>
        <sz val="9"/>
        <color theme="1"/>
        <rFont val="Calibri"/>
        <family val="2"/>
      </rPr>
      <t xml:space="preserve"> </t>
    </r>
    <r>
      <rPr>
        <sz val="9"/>
        <color theme="1"/>
        <rFont val="맑은 고딕"/>
        <family val="2"/>
      </rPr>
      <t>프로젝트의</t>
    </r>
    <r>
      <rPr>
        <sz val="9"/>
        <color theme="1"/>
        <rFont val="Calibri"/>
        <family val="2"/>
      </rPr>
      <t xml:space="preserve"> </t>
    </r>
    <r>
      <rPr>
        <sz val="9"/>
        <color theme="1"/>
        <rFont val="맑은 고딕"/>
        <family val="2"/>
      </rPr>
      <t>계획진적율을</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</si>
  <si>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담당별로</t>
    </r>
    <r>
      <rPr>
        <sz val="9"/>
        <color theme="1"/>
        <rFont val="Calibri"/>
        <family val="2"/>
      </rPr>
      <t xml:space="preserve"> </t>
    </r>
    <r>
      <rPr>
        <sz val="9"/>
        <color theme="1"/>
        <rFont val="맑은 고딕"/>
        <family val="2"/>
      </rPr>
      <t>투입된</t>
    </r>
    <r>
      <rPr>
        <sz val="9"/>
        <color theme="1"/>
        <rFont val="Calibri"/>
        <family val="2"/>
      </rPr>
      <t xml:space="preserve"> Task</t>
    </r>
    <r>
      <rPr>
        <sz val="9"/>
        <color theme="1"/>
        <rFont val="맑은 고딕"/>
        <family val="2"/>
      </rPr>
      <t>와</t>
    </r>
    <r>
      <rPr>
        <sz val="9"/>
        <color theme="1"/>
        <rFont val="Calibri"/>
        <family val="2"/>
      </rPr>
      <t xml:space="preserve"> </t>
    </r>
    <r>
      <rPr>
        <sz val="9"/>
        <color theme="1"/>
        <rFont val="맑은 고딕"/>
        <family val="2"/>
      </rPr>
      <t>총작업량</t>
    </r>
    <r>
      <rPr>
        <sz val="9"/>
        <color theme="1"/>
        <rFont val="Calibri"/>
        <family val="2"/>
      </rPr>
      <t xml:space="preserve">, </t>
    </r>
    <r>
      <rPr>
        <sz val="9"/>
        <color theme="1"/>
        <rFont val="맑은 고딕"/>
        <family val="2"/>
      </rPr>
      <t>계획작업량</t>
    </r>
    <r>
      <rPr>
        <sz val="9"/>
        <color theme="1"/>
        <rFont val="Calibri"/>
        <family val="2"/>
      </rPr>
      <t xml:space="preserve">, </t>
    </r>
    <r>
      <rPr>
        <sz val="9"/>
        <color theme="1"/>
        <rFont val="맑은 고딕"/>
        <family val="2"/>
      </rPr>
      <t>진척작업을</t>
    </r>
    <r>
      <rPr>
        <sz val="9"/>
        <color theme="1"/>
        <rFont val="Calibri"/>
        <family val="2"/>
      </rPr>
      <t xml:space="preserve"> Man-day</t>
    </r>
    <r>
      <rPr>
        <sz val="9"/>
        <color theme="1"/>
        <rFont val="맑은 고딕"/>
        <family val="2"/>
      </rPr>
      <t>로</t>
    </r>
    <r>
      <rPr>
        <sz val="9"/>
        <color theme="1"/>
        <rFont val="Calibri"/>
        <family val="2"/>
      </rPr>
      <t xml:space="preserve"> </t>
    </r>
    <r>
      <rPr>
        <sz val="9"/>
        <color theme="1"/>
        <rFont val="맑은 고딕"/>
        <family val="2"/>
      </rPr>
      <t>보여주고</t>
    </r>
    <r>
      <rPr>
        <sz val="9"/>
        <color theme="1"/>
        <rFont val="Calibri"/>
        <family val="2"/>
      </rPr>
      <t xml:space="preserve">, </t>
    </r>
    <r>
      <rPr>
        <sz val="9"/>
        <color theme="1"/>
        <rFont val="맑은 고딕"/>
        <family val="2"/>
      </rPr>
      <t>계획</t>
    </r>
    <r>
      <rPr>
        <sz val="9"/>
        <color theme="1"/>
        <rFont val="Calibri"/>
        <family val="2"/>
      </rPr>
      <t>/</t>
    </r>
    <r>
      <rPr>
        <sz val="9"/>
        <color theme="1"/>
        <rFont val="맑은 고딕"/>
        <family val="2"/>
      </rPr>
      <t>실적</t>
    </r>
    <r>
      <rPr>
        <sz val="9"/>
        <color theme="1"/>
        <rFont val="Calibri"/>
        <family val="2"/>
      </rPr>
      <t xml:space="preserve"> </t>
    </r>
    <r>
      <rPr>
        <sz val="9"/>
        <color theme="1"/>
        <rFont val="맑은 고딕"/>
        <family val="2"/>
      </rPr>
      <t>진행율을</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</si>
  <si>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담당별</t>
    </r>
    <r>
      <rPr>
        <sz val="9"/>
        <color theme="1"/>
        <rFont val="Calibri"/>
        <family val="2"/>
      </rPr>
      <t xml:space="preserve"> Workload</t>
    </r>
    <r>
      <rPr>
        <sz val="9"/>
        <color theme="1"/>
        <rFont val="맑은 고딕"/>
        <family val="2"/>
      </rPr>
      <t>를</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</si>
  <si>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주별</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월별</t>
    </r>
    <r>
      <rPr>
        <sz val="9"/>
        <color theme="1"/>
        <rFont val="Calibri"/>
        <family val="2"/>
      </rPr>
      <t xml:space="preserve"> Workload</t>
    </r>
    <r>
      <rPr>
        <sz val="9"/>
        <color theme="1"/>
        <rFont val="맑은 고딕"/>
        <family val="2"/>
      </rPr>
      <t>를</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</si>
  <si>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프로젝트</t>
    </r>
    <r>
      <rPr>
        <sz val="9"/>
        <color theme="1"/>
        <rFont val="Calibri"/>
        <family val="2"/>
      </rPr>
      <t xml:space="preserve"> </t>
    </r>
    <r>
      <rPr>
        <sz val="9"/>
        <color theme="1"/>
        <rFont val="맑은 고딕"/>
        <family val="2"/>
      </rPr>
      <t>작업량과</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보여줍니다</t>
    </r>
    <r>
      <rPr>
        <sz val="9"/>
        <color theme="1"/>
        <rFont val="Calibri"/>
        <family val="2"/>
      </rPr>
      <t>.</t>
    </r>
  </si>
  <si>
    <r>
      <t>* "</t>
    </r>
    <r>
      <rPr>
        <sz val="9"/>
        <color theme="1"/>
        <rFont val="맑은 고딕"/>
        <family val="2"/>
      </rPr>
      <t>계획진척율</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갱신됨</t>
    </r>
  </si>
  <si>
    <r>
      <t>* "</t>
    </r>
    <r>
      <rPr>
        <sz val="9"/>
        <color theme="1"/>
        <rFont val="맑은 고딕"/>
        <family val="2"/>
      </rPr>
      <t>담당별진행율</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</si>
  <si>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 "Workload(</t>
    </r>
    <r>
      <rPr>
        <sz val="9"/>
        <color theme="1"/>
        <rFont val="맑은 고딕"/>
        <family val="2"/>
      </rPr>
      <t>담당별</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</si>
  <si>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 "Workload(</t>
    </r>
    <r>
      <rPr>
        <sz val="9"/>
        <color theme="1"/>
        <rFont val="맑은 고딕"/>
        <family val="2"/>
      </rPr>
      <t>주별</t>
    </r>
    <r>
      <rPr>
        <sz val="9"/>
        <color theme="1"/>
        <rFont val="Calibri"/>
        <family val="2"/>
      </rPr>
      <t xml:space="preserve">)" </t>
    </r>
    <r>
      <rPr>
        <sz val="9"/>
        <color theme="1"/>
        <rFont val="맑은 고딕"/>
        <family val="2"/>
      </rPr>
      <t>또는</t>
    </r>
    <r>
      <rPr>
        <sz val="9"/>
        <color theme="1"/>
        <rFont val="Calibri"/>
        <family val="2"/>
      </rPr>
      <t xml:space="preserve"> "Workload(</t>
    </r>
    <r>
      <rPr>
        <sz val="9"/>
        <color theme="1"/>
        <rFont val="맑은 고딕"/>
        <family val="2"/>
      </rPr>
      <t>월별</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</si>
  <si>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t>
    </r>
    <r>
      <rPr>
        <sz val="9"/>
        <color theme="1"/>
        <rFont val="맑은 고딕"/>
        <family val="2"/>
      </rPr>
      <t>담당자미지정</t>
    </r>
    <r>
      <rPr>
        <sz val="9"/>
        <color theme="1"/>
        <rFont val="Calibri"/>
        <family val="2"/>
      </rPr>
      <t>]</t>
    </r>
  </si>
  <si>
    <r>
      <t>Outlook</t>
    </r>
    <r>
      <rPr>
        <sz val="9"/>
        <color theme="1"/>
        <rFont val="맑은 고딕"/>
        <family val="2"/>
      </rPr>
      <t>일정이</t>
    </r>
    <r>
      <rPr>
        <sz val="9"/>
        <color theme="1"/>
        <rFont val="Calibri"/>
        <family val="2"/>
      </rPr>
      <t xml:space="preserve"> {}</t>
    </r>
    <r>
      <rPr>
        <sz val="9"/>
        <color theme="1"/>
        <rFont val="맑은 고딕"/>
        <family val="2"/>
      </rPr>
      <t>건</t>
    </r>
    <r>
      <rPr>
        <sz val="9"/>
        <color theme="1"/>
        <rFont val="Calibri"/>
        <family val="2"/>
      </rPr>
      <t xml:space="preserve"> </t>
    </r>
    <r>
      <rPr>
        <sz val="9"/>
        <color theme="1"/>
        <rFont val="맑은 고딕"/>
        <family val="2"/>
      </rPr>
      <t>등록되었습니다</t>
    </r>
    <r>
      <rPr>
        <sz val="9"/>
        <color theme="1"/>
        <rFont val="Calibri"/>
        <family val="2"/>
      </rPr>
      <t>.</t>
    </r>
  </si>
  <si>
    <r>
      <t>Outlook</t>
    </r>
    <r>
      <rPr>
        <sz val="9"/>
        <color theme="1"/>
        <rFont val="맑은 고딕"/>
        <family val="2"/>
      </rPr>
      <t>작업이</t>
    </r>
    <r>
      <rPr>
        <sz val="9"/>
        <color theme="1"/>
        <rFont val="Calibri"/>
        <family val="2"/>
      </rPr>
      <t xml:space="preserve"> {}</t>
    </r>
    <r>
      <rPr>
        <sz val="9"/>
        <color theme="1"/>
        <rFont val="맑은 고딕"/>
        <family val="2"/>
      </rPr>
      <t>건</t>
    </r>
    <r>
      <rPr>
        <sz val="9"/>
        <color theme="1"/>
        <rFont val="Calibri"/>
        <family val="2"/>
      </rPr>
      <t xml:space="preserve"> </t>
    </r>
    <r>
      <rPr>
        <sz val="9"/>
        <color theme="1"/>
        <rFont val="맑은 고딕"/>
        <family val="2"/>
      </rPr>
      <t>등록되었습니다</t>
    </r>
    <r>
      <rPr>
        <sz val="9"/>
        <color theme="1"/>
        <rFont val="Calibri"/>
        <family val="2"/>
      </rPr>
      <t>.</t>
    </r>
  </si>
  <si>
    <r>
      <t xml:space="preserve">{} </t>
    </r>
    <r>
      <rPr>
        <sz val="9"/>
        <color theme="1"/>
        <rFont val="맑은 고딕"/>
        <family val="2"/>
      </rPr>
      <t>파일이</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</si>
  <si>
    <r>
      <rPr>
        <sz val="9"/>
        <color theme="1"/>
        <rFont val="맑은 고딕"/>
        <family val="2"/>
      </rPr>
      <t>누적</t>
    </r>
    <r>
      <rPr>
        <sz val="9"/>
        <color theme="1"/>
        <rFont val="Calibri"/>
        <family val="2"/>
      </rPr>
      <t>\nMan-Day</t>
    </r>
  </si>
  <si>
    <r>
      <rPr>
        <sz val="9"/>
        <color theme="1"/>
        <rFont val="맑은 고딕"/>
        <family val="2"/>
      </rPr>
      <t>실적진척율에</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</si>
  <si>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현재날짜까지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진척율</t>
    </r>
    <r>
      <rPr>
        <sz val="9"/>
        <color theme="1"/>
        <rFont val="Calibri"/>
        <family val="2"/>
      </rPr>
      <t>, WBS</t>
    </r>
    <r>
      <rPr>
        <sz val="9"/>
        <color theme="1"/>
        <rFont val="맑은 고딕"/>
        <family val="2"/>
      </rPr>
      <t>의</t>
    </r>
    <r>
      <rPr>
        <sz val="9"/>
        <color theme="1"/>
        <rFont val="Calibri"/>
        <family val="2"/>
      </rPr>
      <t xml:space="preserve"> "</t>
    </r>
    <r>
      <rPr>
        <sz val="9"/>
        <color theme="1"/>
        <rFont val="맑은 고딕"/>
        <family val="2"/>
      </rPr>
      <t>실적진척율</t>
    </r>
    <r>
      <rPr>
        <sz val="9"/>
        <color theme="1"/>
        <rFont val="Calibri"/>
        <family val="2"/>
      </rPr>
      <t>"</t>
    </r>
    <r>
      <rPr>
        <sz val="9"/>
        <color theme="1"/>
        <rFont val="맑은 고딕"/>
        <family val="2"/>
      </rPr>
      <t>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합계</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표시함</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</si>
  <si>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실제완료일</t>
    </r>
    <r>
      <rPr>
        <sz val="9"/>
        <color theme="1"/>
        <rFont val="Calibri"/>
        <family val="2"/>
      </rPr>
      <t>(</t>
    </r>
    <r>
      <rPr>
        <sz val="9"/>
        <color theme="1"/>
        <rFont val="맑은 고딕"/>
        <family val="2"/>
      </rPr>
      <t>또는</t>
    </r>
    <r>
      <rPr>
        <sz val="9"/>
        <color theme="1"/>
        <rFont val="Calibri"/>
        <family val="2"/>
      </rPr>
      <t xml:space="preserve"> </t>
    </r>
    <r>
      <rPr>
        <sz val="9"/>
        <color theme="1"/>
        <rFont val="맑은 고딕"/>
        <family val="2"/>
      </rPr>
      <t>실제종료일</t>
    </r>
    <r>
      <rPr>
        <sz val="9"/>
        <color theme="1"/>
        <rFont val="Calibri"/>
        <family val="2"/>
      </rPr>
      <t>)</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</si>
  <si>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실제완료일의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</si>
  <si>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실제완료일자에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</si>
  <si>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실제진척율</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진척된</t>
    </r>
    <r>
      <rPr>
        <sz val="9"/>
        <color theme="1"/>
        <rFont val="Calibri"/>
        <family val="2"/>
      </rPr>
      <t xml:space="preserve"> </t>
    </r>
    <r>
      <rPr>
        <sz val="9"/>
        <color theme="1"/>
        <rFont val="맑은 고딕"/>
        <family val="2"/>
      </rPr>
      <t>작업량을</t>
    </r>
    <r>
      <rPr>
        <sz val="9"/>
        <color theme="1"/>
        <rFont val="Calibri"/>
        <family val="2"/>
      </rPr>
      <t xml:space="preserve"> %</t>
    </r>
    <r>
      <rPr>
        <sz val="9"/>
        <color theme="1"/>
        <rFont val="맑은 고딕"/>
        <family val="2"/>
      </rPr>
      <t>로</t>
    </r>
    <r>
      <rPr>
        <sz val="9"/>
        <color theme="1"/>
        <rFont val="Calibri"/>
        <family val="2"/>
      </rPr>
      <t xml:space="preserve"> </t>
    </r>
    <r>
      <rPr>
        <sz val="9"/>
        <color theme="1"/>
        <rFont val="맑은 고딕"/>
        <family val="2"/>
      </rPr>
      <t>표현합니다</t>
    </r>
    <r>
      <rPr>
        <sz val="9"/>
        <color theme="1"/>
        <rFont val="Calibri"/>
        <family val="2"/>
      </rPr>
      <t>.</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</si>
  <si>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실제시작일을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</si>
  <si>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실제시작일의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</si>
  <si>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실제시작일자에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</si>
  <si>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실제</t>
    </r>
    <r>
      <rPr>
        <sz val="9"/>
        <color theme="1"/>
        <rFont val="Calibri"/>
        <family val="2"/>
      </rPr>
      <t xml:space="preserve"> </t>
    </r>
    <r>
      <rPr>
        <sz val="9"/>
        <color theme="1"/>
        <rFont val="맑은 고딕"/>
        <family val="2"/>
      </rPr>
      <t>총작업량</t>
    </r>
    <r>
      <rPr>
        <sz val="9"/>
        <color theme="1"/>
        <rFont val="Calibri"/>
        <family val="2"/>
      </rPr>
      <t>\nMan-day</t>
    </r>
  </si>
  <si>
    <r>
      <rPr>
        <sz val="9"/>
        <color theme="1"/>
        <rFont val="맑은 고딕"/>
        <family val="2"/>
      </rPr>
      <t>실제</t>
    </r>
    <r>
      <rPr>
        <sz val="9"/>
        <color theme="1"/>
        <rFont val="Calibri"/>
        <family val="2"/>
      </rPr>
      <t>\n</t>
    </r>
    <r>
      <rPr>
        <sz val="9"/>
        <color theme="1"/>
        <rFont val="맑은 고딕"/>
        <family val="2"/>
      </rPr>
      <t>총작업량</t>
    </r>
  </si>
  <si>
    <r>
      <rPr>
        <sz val="9"/>
        <color theme="1"/>
        <rFont val="맑은 고딕"/>
        <family val="2"/>
      </rPr>
      <t>실제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</si>
  <si>
    <r>
      <rPr>
        <sz val="9"/>
        <color theme="1"/>
        <rFont val="맑은 고딕"/>
        <family val="2"/>
      </rPr>
      <t>일정변경</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투입된</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표시함</t>
    </r>
  </si>
  <si>
    <r>
      <rPr>
        <sz val="9"/>
        <color theme="1"/>
        <rFont val="맑은 고딕"/>
        <family val="2"/>
      </rPr>
      <t>일정변경관리</t>
    </r>
    <r>
      <rPr>
        <sz val="9"/>
        <color theme="1"/>
        <rFont val="Calibri"/>
        <family val="2"/>
      </rPr>
      <t xml:space="preserve"> </t>
    </r>
    <r>
      <rPr>
        <sz val="9"/>
        <color theme="1"/>
        <rFont val="맑은 고딕"/>
        <family val="2"/>
      </rPr>
      <t>하지</t>
    </r>
    <r>
      <rPr>
        <sz val="9"/>
        <color theme="1"/>
        <rFont val="Calibri"/>
        <family val="2"/>
      </rPr>
      <t xml:space="preserve"> </t>
    </r>
    <r>
      <rPr>
        <sz val="9"/>
        <color theme="1"/>
        <rFont val="맑은 고딕"/>
        <family val="2"/>
      </rPr>
      <t>않을</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표시함</t>
    </r>
    <r>
      <rPr>
        <sz val="9"/>
        <color theme="1"/>
        <rFont val="Calibri"/>
        <family val="2"/>
      </rPr>
      <t>(</t>
    </r>
    <r>
      <rPr>
        <sz val="9"/>
        <color theme="1"/>
        <rFont val="맑은 고딕"/>
        <family val="2"/>
      </rPr>
      <t>총기간</t>
    </r>
    <r>
      <rPr>
        <sz val="9"/>
        <color theme="1"/>
        <rFont val="Calibri"/>
        <family val="2"/>
      </rPr>
      <t xml:space="preserve"> x </t>
    </r>
    <r>
      <rPr>
        <sz val="9"/>
        <color theme="1"/>
        <rFont val="맑은 고딕"/>
        <family val="2"/>
      </rPr>
      <t>총실적진행율</t>
    </r>
    <r>
      <rPr>
        <sz val="9"/>
        <color theme="1"/>
        <rFont val="Calibri"/>
        <family val="2"/>
      </rPr>
      <t>)</t>
    </r>
  </si>
  <si>
    <r>
      <rPr>
        <sz val="9"/>
        <color theme="1"/>
        <rFont val="맑은 고딕"/>
        <family val="2"/>
      </rPr>
      <t>추가</t>
    </r>
    <r>
      <rPr>
        <sz val="9"/>
        <color theme="1"/>
        <rFont val="Calibri"/>
        <family val="2"/>
      </rPr>
      <t xml:space="preserve"> &gt;&gt;</t>
    </r>
  </si>
  <si>
    <r>
      <rPr>
        <sz val="9"/>
        <color theme="1"/>
        <rFont val="맑은 고딕"/>
        <family val="2"/>
      </rPr>
      <t>언어</t>
    </r>
    <r>
      <rPr>
        <sz val="9"/>
        <color theme="1"/>
        <rFont val="Calibri"/>
        <family val="2"/>
      </rPr>
      <t xml:space="preserve"> </t>
    </r>
    <r>
      <rPr>
        <sz val="9"/>
        <color theme="1"/>
        <rFont val="맑은 고딕"/>
        <family val="2"/>
      </rPr>
      <t>추가</t>
    </r>
  </si>
  <si>
    <r>
      <t>MS Outlook</t>
    </r>
    <r>
      <rPr>
        <sz val="9"/>
        <color theme="1"/>
        <rFont val="맑은 고딕"/>
        <family val="2"/>
      </rPr>
      <t>일정</t>
    </r>
    <r>
      <rPr>
        <sz val="9"/>
        <color theme="1"/>
        <rFont val="Calibri"/>
        <family val="2"/>
      </rPr>
      <t xml:space="preserve"> </t>
    </r>
    <r>
      <rPr>
        <sz val="9"/>
        <color theme="1"/>
        <rFont val="맑은 고딕"/>
        <family val="2"/>
      </rPr>
      <t>등록</t>
    </r>
  </si>
  <si>
    <r>
      <t>MS Outlook</t>
    </r>
    <r>
      <rPr>
        <sz val="9"/>
        <color theme="1"/>
        <rFont val="맑은 고딕"/>
        <family val="2"/>
      </rPr>
      <t>작업</t>
    </r>
    <r>
      <rPr>
        <sz val="9"/>
        <color theme="1"/>
        <rFont val="Calibri"/>
        <family val="2"/>
      </rPr>
      <t xml:space="preserve"> </t>
    </r>
    <r>
      <rPr>
        <sz val="9"/>
        <color theme="1"/>
        <rFont val="맑은 고딕"/>
        <family val="2"/>
      </rPr>
      <t>등록</t>
    </r>
  </si>
  <si>
    <r>
      <rPr>
        <sz val="9"/>
        <color theme="1"/>
        <rFont val="맑은 고딕"/>
        <family val="2"/>
      </rPr>
      <t>필터를</t>
    </r>
    <r>
      <rPr>
        <sz val="9"/>
        <color theme="1"/>
        <rFont val="Calibri"/>
        <family val="2"/>
      </rPr>
      <t xml:space="preserve"> </t>
    </r>
    <r>
      <rPr>
        <sz val="9"/>
        <color theme="1"/>
        <rFont val="맑은 고딕"/>
        <family val="2"/>
      </rPr>
      <t>해제하고</t>
    </r>
    <r>
      <rPr>
        <sz val="9"/>
        <color theme="1"/>
        <rFont val="Calibri"/>
        <family val="2"/>
      </rPr>
      <t xml:space="preserve"> </t>
    </r>
    <r>
      <rPr>
        <sz val="9"/>
        <color theme="1"/>
        <rFont val="맑은 고딕"/>
        <family val="2"/>
      </rPr>
      <t>작업을</t>
    </r>
    <r>
      <rPr>
        <sz val="9"/>
        <color theme="1"/>
        <rFont val="Calibri"/>
        <family val="2"/>
      </rPr>
      <t xml:space="preserve"> </t>
    </r>
    <r>
      <rPr>
        <sz val="9"/>
        <color theme="1"/>
        <rFont val="맑은 고딕"/>
        <family val="2"/>
      </rPr>
      <t>진행합니다</t>
    </r>
    <r>
      <rPr>
        <sz val="9"/>
        <color theme="1"/>
        <rFont val="Calibri"/>
        <family val="2"/>
      </rPr>
      <t>.</t>
    </r>
  </si>
  <si>
    <r>
      <rPr>
        <sz val="9"/>
        <color theme="1"/>
        <rFont val="맑은 고딕"/>
        <family val="2"/>
      </rPr>
      <t>전체</t>
    </r>
    <r>
      <rPr>
        <sz val="9"/>
        <color theme="1"/>
        <rFont val="Calibri"/>
        <family val="2"/>
      </rPr>
      <t xml:space="preserve"> </t>
    </r>
    <r>
      <rPr>
        <sz val="9"/>
        <color theme="1"/>
        <rFont val="맑은 고딕"/>
        <family val="2"/>
      </rPr>
      <t>조회</t>
    </r>
    <r>
      <rPr>
        <sz val="9"/>
        <color theme="1"/>
        <rFont val="Calibri"/>
        <family val="2"/>
      </rPr>
      <t>(</t>
    </r>
    <r>
      <rPr>
        <sz val="9"/>
        <color theme="1"/>
        <rFont val="맑은 고딕"/>
        <family val="2"/>
      </rPr>
      <t>필터</t>
    </r>
    <r>
      <rPr>
        <sz val="9"/>
        <color theme="1"/>
        <rFont val="Calibri"/>
        <family val="2"/>
      </rPr>
      <t xml:space="preserve"> </t>
    </r>
    <r>
      <rPr>
        <sz val="9"/>
        <color theme="1"/>
        <rFont val="맑은 고딕"/>
        <family val="2"/>
      </rPr>
      <t>해제</t>
    </r>
    <r>
      <rPr>
        <sz val="9"/>
        <color theme="1"/>
        <rFont val="Calibri"/>
        <family val="2"/>
      </rPr>
      <t>)</t>
    </r>
  </si>
  <si>
    <r>
      <rPr>
        <sz val="9"/>
        <color theme="1"/>
        <rFont val="맑은 고딕"/>
        <family val="2"/>
      </rPr>
      <t>최신버전</t>
    </r>
    <r>
      <rPr>
        <sz val="9"/>
        <color theme="1"/>
        <rFont val="Calibri"/>
        <family val="2"/>
      </rPr>
      <t xml:space="preserve"> </t>
    </r>
    <r>
      <rPr>
        <sz val="9"/>
        <color theme="1"/>
        <rFont val="맑은 고딕"/>
        <family val="2"/>
      </rPr>
      <t>확인</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잠시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다시</t>
    </r>
    <r>
      <rPr>
        <sz val="9"/>
        <color theme="1"/>
        <rFont val="Calibri"/>
        <family val="2"/>
      </rPr>
      <t xml:space="preserve"> </t>
    </r>
    <r>
      <rPr>
        <sz val="9"/>
        <color theme="1"/>
        <rFont val="맑은 고딕"/>
        <family val="2"/>
      </rPr>
      <t>시도하세요</t>
    </r>
    <r>
      <rPr>
        <sz val="9"/>
        <color theme="1"/>
        <rFont val="Calibri"/>
        <family val="2"/>
      </rPr>
      <t>.\n</t>
    </r>
    <r>
      <rPr>
        <sz val="9"/>
        <color theme="1"/>
        <rFont val="맑은 고딕"/>
        <family val="2"/>
      </rPr>
      <t>에러메시지</t>
    </r>
    <r>
      <rPr>
        <sz val="9"/>
        <color theme="1"/>
        <rFont val="Calibri"/>
        <family val="2"/>
      </rPr>
      <t xml:space="preserve"> : {}</t>
    </r>
  </si>
  <si>
    <r>
      <rPr>
        <sz val="9"/>
        <color theme="1"/>
        <rFont val="맑은 고딕"/>
        <family val="2"/>
      </rPr>
      <t>서식</t>
    </r>
    <r>
      <rPr>
        <sz val="9"/>
        <color theme="1"/>
        <rFont val="Calibri"/>
        <family val="2"/>
      </rPr>
      <t xml:space="preserve">check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발생하였습니다</t>
    </r>
    <r>
      <rPr>
        <sz val="9"/>
        <color theme="1"/>
        <rFont val="Calibri"/>
        <family val="2"/>
      </rPr>
      <t>. XLGantt</t>
    </r>
    <r>
      <rPr>
        <sz val="9"/>
        <color theme="1"/>
        <rFont val="맑은 고딕"/>
        <family val="2"/>
      </rPr>
      <t>를</t>
    </r>
    <r>
      <rPr>
        <sz val="9"/>
        <color theme="1"/>
        <rFont val="Calibri"/>
        <family val="2"/>
      </rPr>
      <t xml:space="preserve"> </t>
    </r>
    <r>
      <rPr>
        <sz val="9"/>
        <color theme="1"/>
        <rFont val="맑은 고딕"/>
        <family val="2"/>
      </rPr>
      <t>종료하고</t>
    </r>
    <r>
      <rPr>
        <sz val="9"/>
        <color theme="1"/>
        <rFont val="Calibri"/>
        <family val="2"/>
      </rPr>
      <t xml:space="preserve"> </t>
    </r>
    <r>
      <rPr>
        <sz val="9"/>
        <color theme="1"/>
        <rFont val="맑은 고딕"/>
        <family val="2"/>
      </rPr>
      <t>다시</t>
    </r>
    <r>
      <rPr>
        <sz val="9"/>
        <color theme="1"/>
        <rFont val="Calibri"/>
        <family val="2"/>
      </rPr>
      <t xml:space="preserve"> </t>
    </r>
    <r>
      <rPr>
        <sz val="9"/>
        <color theme="1"/>
        <rFont val="맑은 고딕"/>
        <family val="2"/>
      </rPr>
      <t>시작하십시오</t>
    </r>
    <r>
      <rPr>
        <sz val="9"/>
        <color theme="1"/>
        <rFont val="Calibri"/>
        <family val="2"/>
      </rPr>
      <t>.</t>
    </r>
  </si>
  <si>
    <r>
      <rPr>
        <sz val="9"/>
        <color theme="1"/>
        <rFont val="맑은 고딕"/>
        <family val="2"/>
      </rPr>
      <t>처리</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확인하십시오</t>
    </r>
    <r>
      <rPr>
        <sz val="9"/>
        <color theme="1"/>
        <rFont val="Calibri"/>
        <family val="2"/>
      </rPr>
      <t>.</t>
    </r>
  </si>
  <si>
    <r>
      <rPr>
        <sz val="9"/>
        <color theme="1"/>
        <rFont val="맑은 고딕"/>
        <family val="2"/>
      </rPr>
      <t>추가</t>
    </r>
    <r>
      <rPr>
        <sz val="9"/>
        <color theme="1"/>
        <rFont val="Calibri"/>
        <family val="2"/>
      </rPr>
      <t xml:space="preserve"> </t>
    </r>
    <r>
      <rPr>
        <sz val="9"/>
        <color theme="1"/>
        <rFont val="맑은 고딕"/>
        <family val="2"/>
      </rPr>
      <t>가능한</t>
    </r>
    <r>
      <rPr>
        <sz val="9"/>
        <color theme="1"/>
        <rFont val="Calibri"/>
        <family val="2"/>
      </rPr>
      <t xml:space="preserve"> </t>
    </r>
    <r>
      <rPr>
        <sz val="9"/>
        <color theme="1"/>
        <rFont val="맑은 고딕"/>
        <family val="2"/>
      </rPr>
      <t>언어</t>
    </r>
  </si>
  <si>
    <r>
      <t>Bar chart</t>
    </r>
    <r>
      <rPr>
        <sz val="9"/>
        <color theme="1"/>
        <rFont val="맑은 고딕"/>
        <family val="2"/>
      </rPr>
      <t>의</t>
    </r>
    <r>
      <rPr>
        <sz val="9"/>
        <color theme="1"/>
        <rFont val="Calibri"/>
        <family val="2"/>
      </rPr>
      <t xml:space="preserve"> </t>
    </r>
    <r>
      <rPr>
        <sz val="9"/>
        <color theme="1"/>
        <rFont val="맑은 고딕"/>
        <family val="2"/>
      </rPr>
      <t>텍스트</t>
    </r>
    <r>
      <rPr>
        <sz val="9"/>
        <color theme="1"/>
        <rFont val="Calibri"/>
        <family val="2"/>
      </rPr>
      <t xml:space="preserve"> </t>
    </r>
    <r>
      <rPr>
        <sz val="9"/>
        <color theme="1"/>
        <rFont val="맑은 고딕"/>
        <family val="2"/>
      </rPr>
      <t>표시</t>
    </r>
    <r>
      <rPr>
        <sz val="9"/>
        <color theme="1"/>
        <rFont val="Calibri"/>
        <family val="2"/>
      </rPr>
      <t xml:space="preserve"> </t>
    </r>
    <r>
      <rPr>
        <sz val="9"/>
        <color theme="1"/>
        <rFont val="맑은 고딕"/>
        <family val="2"/>
      </rPr>
      <t>위치</t>
    </r>
  </si>
  <si>
    <r>
      <rPr>
        <sz val="9"/>
        <color theme="1"/>
        <rFont val="맑은 고딕"/>
        <family val="2"/>
      </rPr>
      <t>다음</t>
    </r>
    <r>
      <rPr>
        <sz val="9"/>
        <color theme="1"/>
        <rFont val="Calibri"/>
        <family val="2"/>
      </rPr>
      <t xml:space="preserve"> </t>
    </r>
    <r>
      <rPr>
        <sz val="9"/>
        <color theme="1"/>
        <rFont val="맑은 고딕"/>
        <family val="2"/>
      </rPr>
      <t>작업은</t>
    </r>
    <r>
      <rPr>
        <sz val="9"/>
        <color theme="1"/>
        <rFont val="Calibri"/>
        <family val="2"/>
      </rPr>
      <t xml:space="preserve"> </t>
    </r>
    <r>
      <rPr>
        <sz val="9"/>
        <color theme="1"/>
        <rFont val="맑은 고딕"/>
        <family val="2"/>
      </rPr>
      <t>이미</t>
    </r>
    <r>
      <rPr>
        <sz val="9"/>
        <color theme="1"/>
        <rFont val="Calibri"/>
        <family val="2"/>
      </rPr>
      <t xml:space="preserve"> </t>
    </r>
    <r>
      <rPr>
        <sz val="9"/>
        <color theme="1"/>
        <rFont val="맑은 고딕"/>
        <family val="2"/>
      </rPr>
      <t>등록되어</t>
    </r>
    <r>
      <rPr>
        <sz val="9"/>
        <color theme="1"/>
        <rFont val="Calibri"/>
        <family val="2"/>
      </rPr>
      <t xml:space="preserve"> </t>
    </r>
    <r>
      <rPr>
        <sz val="9"/>
        <color theme="1"/>
        <rFont val="맑은 고딕"/>
        <family val="2"/>
      </rPr>
      <t>있으므로</t>
    </r>
    <r>
      <rPr>
        <sz val="9"/>
        <color theme="1"/>
        <rFont val="Calibri"/>
        <family val="2"/>
      </rPr>
      <t xml:space="preserve"> </t>
    </r>
    <r>
      <rPr>
        <sz val="9"/>
        <color theme="1"/>
        <rFont val="맑은 고딕"/>
        <family val="2"/>
      </rPr>
      <t>등록하지</t>
    </r>
    <r>
      <rPr>
        <sz val="9"/>
        <color theme="1"/>
        <rFont val="Calibri"/>
        <family val="2"/>
      </rPr>
      <t xml:space="preserve"> </t>
    </r>
    <r>
      <rPr>
        <sz val="9"/>
        <color theme="1"/>
        <rFont val="맑은 고딕"/>
        <family val="2"/>
      </rPr>
      <t>않습니다</t>
    </r>
    <r>
      <rPr>
        <sz val="9"/>
        <color theme="1"/>
        <rFont val="Calibri"/>
        <family val="2"/>
      </rPr>
      <t>.\n\n</t>
    </r>
    <r>
      <rPr>
        <sz val="9"/>
        <color theme="1"/>
        <rFont val="맑은 고딕"/>
        <family val="2"/>
      </rPr>
      <t>작업명</t>
    </r>
    <r>
      <rPr>
        <sz val="9"/>
        <color theme="1"/>
        <rFont val="Calibri"/>
        <family val="2"/>
      </rPr>
      <t xml:space="preserve"> : {1} \n</t>
    </r>
    <r>
      <rPr>
        <sz val="9"/>
        <color theme="1"/>
        <rFont val="맑은 고딕"/>
        <family val="2"/>
      </rPr>
      <t>기한</t>
    </r>
    <r>
      <rPr>
        <sz val="9"/>
        <color theme="1"/>
        <rFont val="Calibri"/>
        <family val="2"/>
      </rPr>
      <t xml:space="preserve"> : {2}</t>
    </r>
  </si>
  <si>
    <r>
      <rPr>
        <sz val="9"/>
        <color theme="1"/>
        <rFont val="맑은 고딕"/>
        <family val="2"/>
      </rPr>
      <t>다음</t>
    </r>
    <r>
      <rPr>
        <sz val="9"/>
        <color theme="1"/>
        <rFont val="Calibri"/>
        <family val="2"/>
      </rPr>
      <t xml:space="preserve"> </t>
    </r>
    <r>
      <rPr>
        <sz val="9"/>
        <color theme="1"/>
        <rFont val="맑은 고딕"/>
        <family val="2"/>
      </rPr>
      <t>작업은</t>
    </r>
    <r>
      <rPr>
        <sz val="9"/>
        <color theme="1"/>
        <rFont val="Calibri"/>
        <family val="2"/>
      </rPr>
      <t xml:space="preserve"> </t>
    </r>
    <r>
      <rPr>
        <sz val="9"/>
        <color theme="1"/>
        <rFont val="맑은 고딕"/>
        <family val="2"/>
      </rPr>
      <t>이미</t>
    </r>
    <r>
      <rPr>
        <sz val="9"/>
        <color theme="1"/>
        <rFont val="Calibri"/>
        <family val="2"/>
      </rPr>
      <t xml:space="preserve"> </t>
    </r>
    <r>
      <rPr>
        <sz val="9"/>
        <color theme="1"/>
        <rFont val="맑은 고딕"/>
        <family val="2"/>
      </rPr>
      <t>등록되어</t>
    </r>
    <r>
      <rPr>
        <sz val="9"/>
        <color theme="1"/>
        <rFont val="Calibri"/>
        <family val="2"/>
      </rPr>
      <t xml:space="preserve"> </t>
    </r>
    <r>
      <rPr>
        <sz val="9"/>
        <color theme="1"/>
        <rFont val="맑은 고딕"/>
        <family val="2"/>
      </rPr>
      <t>있으므로</t>
    </r>
    <r>
      <rPr>
        <sz val="9"/>
        <color theme="1"/>
        <rFont val="Calibri"/>
        <family val="2"/>
      </rPr>
      <t xml:space="preserve"> </t>
    </r>
    <r>
      <rPr>
        <sz val="9"/>
        <color theme="1"/>
        <rFont val="맑은 고딕"/>
        <family val="2"/>
      </rPr>
      <t>등록하지</t>
    </r>
    <r>
      <rPr>
        <sz val="9"/>
        <color theme="1"/>
        <rFont val="Calibri"/>
        <family val="2"/>
      </rPr>
      <t xml:space="preserve"> </t>
    </r>
    <r>
      <rPr>
        <sz val="9"/>
        <color theme="1"/>
        <rFont val="맑은 고딕"/>
        <family val="2"/>
      </rPr>
      <t>않습니다</t>
    </r>
    <r>
      <rPr>
        <sz val="9"/>
        <color theme="1"/>
        <rFont val="Calibri"/>
        <family val="2"/>
      </rPr>
      <t>.\n\n</t>
    </r>
    <r>
      <rPr>
        <sz val="9"/>
        <color theme="1"/>
        <rFont val="맑은 고딕"/>
        <family val="2"/>
      </rPr>
      <t>작업명</t>
    </r>
    <r>
      <rPr>
        <sz val="9"/>
        <color theme="1"/>
        <rFont val="Calibri"/>
        <family val="2"/>
      </rPr>
      <t xml:space="preserve"> : {1} \n</t>
    </r>
    <r>
      <rPr>
        <sz val="9"/>
        <color theme="1"/>
        <rFont val="맑은 고딕"/>
        <family val="2"/>
      </rPr>
      <t>시작일</t>
    </r>
    <r>
      <rPr>
        <sz val="9"/>
        <color theme="1"/>
        <rFont val="Calibri"/>
        <family val="2"/>
      </rPr>
      <t xml:space="preserve"> : {2}</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</si>
  <si>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</si>
  <si>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기준일자는</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시작일보다</t>
    </r>
    <r>
      <rPr>
        <sz val="9"/>
        <color theme="1"/>
        <rFont val="Calibri"/>
        <family val="2"/>
      </rPr>
      <t xml:space="preserve"> </t>
    </r>
    <r>
      <rPr>
        <sz val="9"/>
        <color theme="1"/>
        <rFont val="맑은 고딕"/>
        <family val="2"/>
      </rPr>
      <t>크거나</t>
    </r>
    <r>
      <rPr>
        <sz val="9"/>
        <color theme="1"/>
        <rFont val="Calibri"/>
        <family val="2"/>
      </rPr>
      <t xml:space="preserve"> </t>
    </r>
    <r>
      <rPr>
        <sz val="9"/>
        <color theme="1"/>
        <rFont val="맑은 고딕"/>
        <family val="2"/>
      </rPr>
      <t>같아야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</si>
  <si>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기준일자는</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작거나</t>
    </r>
    <r>
      <rPr>
        <sz val="9"/>
        <color theme="1"/>
        <rFont val="Calibri"/>
        <family val="2"/>
      </rPr>
      <t xml:space="preserve"> </t>
    </r>
    <r>
      <rPr>
        <sz val="9"/>
        <color theme="1"/>
        <rFont val="맑은 고딕"/>
        <family val="2"/>
      </rPr>
      <t>같아야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</si>
  <si>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프로그램</t>
    </r>
    <r>
      <rPr>
        <sz val="9"/>
        <color theme="1"/>
        <rFont val="Calibri"/>
        <family val="2"/>
      </rPr>
      <t xml:space="preserve"> </t>
    </r>
    <r>
      <rPr>
        <sz val="9"/>
        <color theme="1"/>
        <rFont val="맑은 고딕"/>
        <family val="2"/>
      </rPr>
      <t>시작</t>
    </r>
    <r>
      <rPr>
        <sz val="9"/>
        <color theme="1"/>
        <rFont val="Calibri"/>
        <family val="2"/>
      </rPr>
      <t xml:space="preserve"> </t>
    </r>
    <r>
      <rPr>
        <sz val="9"/>
        <color theme="1"/>
        <rFont val="맑은 고딕"/>
        <family val="2"/>
      </rPr>
      <t>시</t>
    </r>
    <r>
      <rPr>
        <sz val="9"/>
        <color theme="1"/>
        <rFont val="Calibri"/>
        <family val="2"/>
      </rPr>
      <t xml:space="preserve"> </t>
    </r>
    <r>
      <rPr>
        <sz val="9"/>
        <color theme="1"/>
        <rFont val="맑은 고딕"/>
        <family val="2"/>
      </rPr>
      <t>최신버전</t>
    </r>
    <r>
      <rPr>
        <sz val="9"/>
        <color theme="1"/>
        <rFont val="Calibri"/>
        <family val="2"/>
      </rPr>
      <t xml:space="preserve"> </t>
    </r>
    <r>
      <rPr>
        <sz val="9"/>
        <color theme="1"/>
        <rFont val="맑은 고딕"/>
        <family val="2"/>
      </rPr>
      <t>확인</t>
    </r>
  </si>
  <si>
    <r>
      <rPr>
        <sz val="9"/>
        <color theme="1"/>
        <rFont val="맑은 고딕"/>
        <family val="2"/>
      </rPr>
      <t>산출물</t>
    </r>
    <r>
      <rPr>
        <sz val="9"/>
        <color theme="1"/>
        <rFont val="Calibri"/>
        <family val="2"/>
      </rPr>
      <t xml:space="preserve"> </t>
    </r>
    <r>
      <rPr>
        <sz val="9"/>
        <color theme="1"/>
        <rFont val="맑은 고딕"/>
        <family val="2"/>
      </rPr>
      <t>관리를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체크하세요</t>
    </r>
  </si>
  <si>
    <r>
      <rPr>
        <sz val="9"/>
        <color theme="1"/>
        <rFont val="맑은 고딕"/>
        <family val="2"/>
      </rPr>
      <t>가져올</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종류</t>
    </r>
    <r>
      <rPr>
        <sz val="9"/>
        <color theme="1"/>
        <rFont val="Calibri"/>
        <family val="2"/>
      </rPr>
      <t xml:space="preserve"> </t>
    </r>
    <r>
      <rPr>
        <sz val="9"/>
        <color theme="1"/>
        <rFont val="맑은 고딕"/>
        <family val="2"/>
      </rPr>
      <t>선택</t>
    </r>
  </si>
  <si>
    <r>
      <t>XLGantt</t>
    </r>
    <r>
      <rPr>
        <sz val="9"/>
        <color theme="1"/>
        <rFont val="맑은 고딕"/>
        <family val="2"/>
      </rPr>
      <t>에서</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언어</t>
    </r>
    <r>
      <rPr>
        <sz val="9"/>
        <color theme="1"/>
        <rFont val="Calibri"/>
        <family val="2"/>
      </rPr>
      <t xml:space="preserve"> </t>
    </r>
    <r>
      <rPr>
        <sz val="9"/>
        <color theme="1"/>
        <rFont val="맑은 고딕"/>
        <family val="2"/>
      </rPr>
      <t>선택</t>
    </r>
  </si>
  <si>
    <r>
      <t>XLGantt</t>
    </r>
    <r>
      <rPr>
        <sz val="9"/>
        <color theme="1"/>
        <rFont val="맑은 고딕"/>
        <family val="2"/>
      </rPr>
      <t>에서</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</si>
  <si>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언어를</t>
    </r>
    <r>
      <rPr>
        <sz val="9"/>
        <color theme="1"/>
        <rFont val="Calibri"/>
        <family val="2"/>
      </rPr>
      <t xml:space="preserve"> </t>
    </r>
    <r>
      <rPr>
        <sz val="9"/>
        <color theme="1"/>
        <rFont val="맑은 고딕"/>
        <family val="2"/>
      </rPr>
      <t>선택하세요</t>
    </r>
  </si>
  <si>
    <r>
      <rPr>
        <sz val="9"/>
        <color theme="1"/>
        <rFont val="맑은 고딕"/>
        <family val="2"/>
      </rPr>
      <t>가져오기</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</si>
  <si>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컴퓨터</t>
    </r>
    <r>
      <rPr>
        <sz val="9"/>
        <color theme="1"/>
        <rFont val="Calibri"/>
        <family val="2"/>
      </rPr>
      <t xml:space="preserve"> O/S</t>
    </r>
    <r>
      <rPr>
        <sz val="9"/>
        <color theme="1"/>
        <rFont val="맑은 고딕"/>
        <family val="2"/>
      </rPr>
      <t>와</t>
    </r>
    <r>
      <rPr>
        <sz val="9"/>
        <color theme="1"/>
        <rFont val="Calibri"/>
        <family val="2"/>
      </rPr>
      <t xml:space="preserve"> </t>
    </r>
    <r>
      <rPr>
        <sz val="9"/>
        <color theme="1"/>
        <rFont val="맑은 고딕"/>
        <family val="2"/>
      </rPr>
      <t>관계없이</t>
    </r>
    <r>
      <rPr>
        <sz val="9"/>
        <color theme="1"/>
        <rFont val="Calibri"/>
        <family val="2"/>
      </rPr>
      <t xml:space="preserve"> </t>
    </r>
    <r>
      <rPr>
        <sz val="9"/>
        <color theme="1"/>
        <rFont val="맑은 고딕"/>
        <family val="2"/>
      </rPr>
      <t>직접</t>
    </r>
    <r>
      <rPr>
        <sz val="9"/>
        <color theme="1"/>
        <rFont val="Calibri"/>
        <family val="2"/>
      </rPr>
      <t xml:space="preserve"> </t>
    </r>
    <r>
      <rPr>
        <sz val="9"/>
        <color theme="1"/>
        <rFont val="맑은 고딕"/>
        <family val="2"/>
      </rPr>
      <t>선택</t>
    </r>
  </si>
  <si>
    <r>
      <rPr>
        <sz val="9"/>
        <color theme="1"/>
        <rFont val="맑은 고딕"/>
        <family val="2"/>
      </rPr>
      <t>산출물</t>
    </r>
    <r>
      <rPr>
        <sz val="9"/>
        <color theme="1"/>
        <rFont val="Calibri"/>
        <family val="2"/>
      </rPr>
      <t xml:space="preserve"> </t>
    </r>
    <r>
      <rPr>
        <sz val="9"/>
        <color theme="1"/>
        <rFont val="맑은 고딕"/>
        <family val="2"/>
      </rPr>
      <t>종류를</t>
    </r>
    <r>
      <rPr>
        <sz val="9"/>
        <color theme="1"/>
        <rFont val="Calibri"/>
        <family val="2"/>
      </rPr>
      <t xml:space="preserve"> </t>
    </r>
    <r>
      <rPr>
        <sz val="9"/>
        <color theme="1"/>
        <rFont val="맑은 고딕"/>
        <family val="2"/>
      </rPr>
      <t>선택하세요</t>
    </r>
  </si>
  <si>
    <r>
      <rPr>
        <sz val="9"/>
        <color theme="1"/>
        <rFont val="맑은 고딕"/>
        <family val="2"/>
      </rPr>
      <t>현재</t>
    </r>
    <r>
      <rPr>
        <sz val="9"/>
        <color theme="1"/>
        <rFont val="Calibri"/>
        <family val="2"/>
      </rPr>
      <t xml:space="preserve"> </t>
    </r>
    <r>
      <rPr>
        <sz val="9"/>
        <color theme="1"/>
        <rFont val="맑은 고딕"/>
        <family val="2"/>
      </rPr>
      <t>사용중인</t>
    </r>
    <r>
      <rPr>
        <sz val="9"/>
        <color theme="1"/>
        <rFont val="Calibri"/>
        <family val="2"/>
      </rPr>
      <t xml:space="preserve"> </t>
    </r>
    <r>
      <rPr>
        <sz val="9"/>
        <color theme="1"/>
        <rFont val="맑은 고딕"/>
        <family val="2"/>
      </rPr>
      <t>버전</t>
    </r>
  </si>
  <si>
    <r>
      <rPr>
        <sz val="9"/>
        <color theme="1"/>
        <rFont val="맑은 고딕"/>
        <family val="2"/>
      </rPr>
      <t>일</t>
    </r>
    <r>
      <rPr>
        <sz val="9"/>
        <color theme="1"/>
        <rFont val="Calibri"/>
        <family val="2"/>
      </rPr>
      <t xml:space="preserve"> (</t>
    </r>
    <r>
      <rPr>
        <sz val="9"/>
        <color theme="1"/>
        <rFont val="맑은 고딕"/>
        <family val="2"/>
      </rPr>
      <t>월평균</t>
    </r>
    <r>
      <rPr>
        <sz val="9"/>
        <color theme="1"/>
        <rFont val="Calibri"/>
        <family val="2"/>
      </rPr>
      <t xml:space="preserve"> </t>
    </r>
    <r>
      <rPr>
        <sz val="9"/>
        <color theme="1"/>
        <rFont val="맑은 고딕"/>
        <family val="2"/>
      </rPr>
      <t>근무일수</t>
    </r>
    <r>
      <rPr>
        <sz val="9"/>
        <color theme="1"/>
        <rFont val="Calibri"/>
        <family val="2"/>
      </rPr>
      <t>)</t>
    </r>
  </si>
  <si>
    <r>
      <rPr>
        <sz val="9"/>
        <color theme="1"/>
        <rFont val="맑은 고딕"/>
        <family val="2"/>
      </rPr>
      <t>휴무일로</t>
    </r>
    <r>
      <rPr>
        <sz val="9"/>
        <color theme="1"/>
        <rFont val="Calibri"/>
        <family val="2"/>
      </rPr>
      <t xml:space="preserve"> </t>
    </r>
    <r>
      <rPr>
        <sz val="9"/>
        <color theme="1"/>
        <rFont val="맑은 고딕"/>
        <family val="2"/>
      </rPr>
      <t>계산되는</t>
    </r>
    <r>
      <rPr>
        <sz val="9"/>
        <color theme="1"/>
        <rFont val="Calibri"/>
        <family val="2"/>
      </rPr>
      <t xml:space="preserve"> </t>
    </r>
    <r>
      <rPr>
        <sz val="9"/>
        <color theme="1"/>
        <rFont val="맑은 고딕"/>
        <family val="2"/>
      </rPr>
      <t>날</t>
    </r>
  </si>
  <si>
    <r>
      <rPr>
        <sz val="9"/>
        <color theme="1"/>
        <rFont val="맑은 고딕"/>
        <family val="2"/>
      </rPr>
      <t>산출물</t>
    </r>
    <r>
      <rPr>
        <sz val="9"/>
        <color theme="1"/>
        <rFont val="Calibri"/>
        <family val="2"/>
      </rPr>
      <t xml:space="preserve"> </t>
    </r>
    <r>
      <rPr>
        <sz val="9"/>
        <color theme="1"/>
        <rFont val="맑은 고딕"/>
        <family val="2"/>
      </rPr>
      <t>필드입니다</t>
    </r>
    <r>
      <rPr>
        <sz val="9"/>
        <color theme="1"/>
        <rFont val="Calibri"/>
        <family val="2"/>
      </rPr>
      <t>.</t>
    </r>
  </si>
  <si>
    <r>
      <rPr>
        <sz val="9"/>
        <color theme="1"/>
        <rFont val="맑은 고딕"/>
        <family val="2"/>
      </rPr>
      <t>산출물</t>
    </r>
    <r>
      <rPr>
        <sz val="9"/>
        <color theme="1"/>
        <rFont val="Calibri"/>
        <family val="2"/>
      </rPr>
      <t xml:space="preserve"> </t>
    </r>
    <r>
      <rPr>
        <sz val="9"/>
        <color theme="1"/>
        <rFont val="맑은 고딕"/>
        <family val="2"/>
      </rPr>
      <t>종류가</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</si>
  <si>
    <r>
      <rPr>
        <sz val="9"/>
        <color theme="1"/>
        <rFont val="맑은 고딕"/>
        <family val="2"/>
      </rPr>
      <t>실적진척율</t>
    </r>
    <r>
      <rPr>
        <sz val="9"/>
        <color theme="1"/>
        <rFont val="Calibri"/>
        <family val="2"/>
      </rPr>
      <t xml:space="preserve"> </t>
    </r>
    <r>
      <rPr>
        <sz val="9"/>
        <color theme="1"/>
        <rFont val="맑은 고딕"/>
        <family val="2"/>
      </rPr>
      <t>표시</t>
    </r>
  </si>
  <si>
    <r>
      <rPr>
        <sz val="9"/>
        <color theme="1"/>
        <rFont val="맑은 고딕"/>
        <family val="2"/>
      </rPr>
      <t>날짜</t>
    </r>
    <r>
      <rPr>
        <sz val="9"/>
        <color theme="1"/>
        <rFont val="Calibri"/>
        <family val="2"/>
      </rPr>
      <t xml:space="preserve"> </t>
    </r>
    <r>
      <rPr>
        <sz val="9"/>
        <color theme="1"/>
        <rFont val="맑은 고딕"/>
        <family val="2"/>
      </rPr>
      <t>표시</t>
    </r>
  </si>
  <si>
    <r>
      <rPr>
        <sz val="9"/>
        <color theme="1"/>
        <rFont val="맑은 고딕"/>
        <family val="2"/>
      </rPr>
      <t>완료된</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폰트색상</t>
    </r>
    <r>
      <rPr>
        <sz val="9"/>
        <color theme="1"/>
        <rFont val="Calibri"/>
        <family val="2"/>
      </rPr>
      <t xml:space="preserve"> </t>
    </r>
    <r>
      <rPr>
        <sz val="9"/>
        <color theme="1"/>
        <rFont val="맑은 고딕"/>
        <family val="2"/>
      </rPr>
      <t>회색표시</t>
    </r>
  </si>
  <si>
    <r>
      <rPr>
        <sz val="9"/>
        <color theme="1"/>
        <rFont val="맑은 고딕"/>
        <family val="2"/>
      </rPr>
      <t>작업그룹의</t>
    </r>
    <r>
      <rPr>
        <sz val="9"/>
        <color theme="1"/>
        <rFont val="Calibri"/>
        <family val="2"/>
      </rPr>
      <t xml:space="preserve"> </t>
    </r>
    <r>
      <rPr>
        <sz val="9"/>
        <color theme="1"/>
        <rFont val="맑은 고딕"/>
        <family val="2"/>
      </rPr>
      <t>배경색</t>
    </r>
    <r>
      <rPr>
        <sz val="9"/>
        <color theme="1"/>
        <rFont val="Calibri"/>
        <family val="2"/>
      </rPr>
      <t xml:space="preserve"> </t>
    </r>
    <r>
      <rPr>
        <sz val="9"/>
        <color theme="1"/>
        <rFont val="맑은 고딕"/>
        <family val="2"/>
      </rPr>
      <t>회색표시</t>
    </r>
  </si>
  <si>
    <r>
      <rPr>
        <sz val="9"/>
        <color theme="1"/>
        <rFont val="맑은 고딕"/>
        <family val="2"/>
      </rPr>
      <t>계획진척율</t>
    </r>
    <r>
      <rPr>
        <sz val="9"/>
        <color theme="1"/>
        <rFont val="Calibri"/>
        <family val="2"/>
      </rPr>
      <t xml:space="preserve"> </t>
    </r>
    <r>
      <rPr>
        <sz val="9"/>
        <color theme="1"/>
        <rFont val="맑은 고딕"/>
        <family val="2"/>
      </rPr>
      <t>표시</t>
    </r>
  </si>
  <si>
    <r>
      <rPr>
        <sz val="9"/>
        <color theme="1"/>
        <rFont val="맑은 고딕"/>
        <family val="2"/>
      </rPr>
      <t>담당</t>
    </r>
    <r>
      <rPr>
        <sz val="9"/>
        <color theme="1"/>
        <rFont val="Calibri"/>
        <family val="2"/>
      </rPr>
      <t xml:space="preserve"> </t>
    </r>
    <r>
      <rPr>
        <sz val="9"/>
        <color theme="1"/>
        <rFont val="맑은 고딕"/>
        <family val="2"/>
      </rPr>
      <t>표시</t>
    </r>
  </si>
  <si>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</si>
  <si>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같은</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</si>
  <si>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프로젝트</t>
    </r>
    <r>
      <rPr>
        <sz val="9"/>
        <color theme="1"/>
        <rFont val="Calibri"/>
        <family val="2"/>
      </rPr>
      <t xml:space="preserve"> </t>
    </r>
    <r>
      <rPr>
        <sz val="9"/>
        <color theme="1"/>
        <rFont val="맑은 고딕"/>
        <family val="2"/>
      </rPr>
      <t>전체의</t>
    </r>
    <r>
      <rPr>
        <sz val="9"/>
        <color theme="1"/>
        <rFont val="Calibri"/>
        <family val="2"/>
      </rPr>
      <t xml:space="preserve"> </t>
    </r>
    <r>
      <rPr>
        <sz val="9"/>
        <color theme="1"/>
        <rFont val="맑은 고딕"/>
        <family val="2"/>
      </rPr>
      <t>작업량을</t>
    </r>
    <r>
      <rPr>
        <sz val="9"/>
        <color theme="1"/>
        <rFont val="Calibri"/>
        <family val="2"/>
      </rPr>
      <t xml:space="preserve"> Man/Day</t>
    </r>
    <r>
      <rPr>
        <sz val="9"/>
        <color theme="1"/>
        <rFont val="맑은 고딕"/>
        <family val="2"/>
      </rPr>
      <t>로</t>
    </r>
    <r>
      <rPr>
        <sz val="9"/>
        <color theme="1"/>
        <rFont val="Calibri"/>
        <family val="2"/>
      </rPr>
      <t xml:space="preserve"> </t>
    </r>
    <r>
      <rPr>
        <sz val="9"/>
        <color theme="1"/>
        <rFont val="맑은 고딕"/>
        <family val="2"/>
      </rPr>
      <t>표시한다</t>
    </r>
    <r>
      <rPr>
        <sz val="9"/>
        <color theme="1"/>
        <rFont val="Calibri"/>
        <family val="2"/>
      </rPr>
      <t xml:space="preserve">. </t>
    </r>
    <r>
      <rPr>
        <sz val="9"/>
        <color theme="1"/>
        <rFont val="맑은 고딕"/>
        <family val="2"/>
      </rPr>
      <t>가중치를</t>
    </r>
    <r>
      <rPr>
        <sz val="9"/>
        <color theme="1"/>
        <rFont val="Calibri"/>
        <family val="2"/>
      </rPr>
      <t xml:space="preserve"> </t>
    </r>
    <r>
      <rPr>
        <sz val="9"/>
        <color theme="1"/>
        <rFont val="맑은 고딕"/>
        <family val="2"/>
      </rPr>
      <t>적용한</t>
    </r>
    <r>
      <rPr>
        <sz val="9"/>
        <color theme="1"/>
        <rFont val="Calibri"/>
        <family val="2"/>
      </rPr>
      <t xml:space="preserve"> </t>
    </r>
    <r>
      <rPr>
        <sz val="9"/>
        <color theme="1"/>
        <rFont val="맑은 고딕"/>
        <family val="2"/>
      </rPr>
      <t>값이다</t>
    </r>
    <r>
      <rPr>
        <sz val="9"/>
        <color theme="1"/>
        <rFont val="Calibri"/>
        <family val="2"/>
      </rPr>
      <t>.</t>
    </r>
  </si>
  <si>
    <r>
      <t>Level</t>
    </r>
    <r>
      <rPr>
        <sz val="9"/>
        <color theme="1"/>
        <rFont val="맑은 고딕"/>
        <family val="2"/>
      </rPr>
      <t>별로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</si>
  <si>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프로그램</t>
    </r>
    <r>
      <rPr>
        <sz val="9"/>
        <color theme="1"/>
        <rFont val="Calibri"/>
        <family val="2"/>
      </rPr>
      <t xml:space="preserve"> </t>
    </r>
    <r>
      <rPr>
        <sz val="9"/>
        <color theme="1"/>
        <rFont val="맑은 고딕"/>
        <family val="2"/>
      </rPr>
      <t>최신버전</t>
    </r>
    <r>
      <rPr>
        <sz val="9"/>
        <color theme="1"/>
        <rFont val="Calibri"/>
        <family val="2"/>
      </rPr>
      <t xml:space="preserve"> </t>
    </r>
    <r>
      <rPr>
        <sz val="9"/>
        <color theme="1"/>
        <rFont val="맑은 고딕"/>
        <family val="2"/>
      </rPr>
      <t>다운로드</t>
    </r>
  </si>
  <si>
    <r>
      <t xml:space="preserve">Gantt chart </t>
    </r>
    <r>
      <rPr>
        <sz val="9"/>
        <color theme="1"/>
        <rFont val="맑은 고딕"/>
        <family val="2"/>
      </rPr>
      <t>그리기</t>
    </r>
    <r>
      <rPr>
        <sz val="9"/>
        <color theme="1"/>
        <rFont val="Calibri"/>
        <family val="2"/>
      </rPr>
      <t xml:space="preserve"> </t>
    </r>
    <r>
      <rPr>
        <sz val="9"/>
        <color theme="1"/>
        <rFont val="맑은 고딕"/>
        <family val="2"/>
      </rPr>
      <t>작업</t>
    </r>
  </si>
  <si>
    <r>
      <rPr>
        <sz val="9"/>
        <color theme="1"/>
        <rFont val="맑은 고딕"/>
        <family val="2"/>
      </rPr>
      <t>진척율선</t>
    </r>
    <r>
      <rPr>
        <sz val="9"/>
        <color theme="1"/>
        <rFont val="Calibri"/>
        <family val="2"/>
      </rPr>
      <t xml:space="preserve"> </t>
    </r>
    <r>
      <rPr>
        <sz val="9"/>
        <color theme="1"/>
        <rFont val="맑은 고딕"/>
        <family val="2"/>
      </rPr>
      <t>그리기</t>
    </r>
  </si>
  <si>
    <r>
      <rPr>
        <sz val="9"/>
        <color theme="1"/>
        <rFont val="맑은 고딕"/>
        <family val="2"/>
      </rPr>
      <t>기간</t>
    </r>
    <r>
      <rPr>
        <sz val="9"/>
        <color theme="1"/>
        <rFont val="Calibri"/>
        <family val="2"/>
      </rPr>
      <t xml:space="preserve"> </t>
    </r>
    <r>
      <rPr>
        <sz val="9"/>
        <color theme="1"/>
        <rFont val="맑은 고딕"/>
        <family val="2"/>
      </rPr>
      <t>지정</t>
    </r>
  </si>
  <si>
    <r>
      <rPr>
        <sz val="9"/>
        <color theme="1"/>
        <rFont val="맑은 고딕"/>
        <family val="2"/>
      </rPr>
      <t>작업</t>
    </r>
    <r>
      <rPr>
        <sz val="9"/>
        <color theme="1"/>
        <rFont val="Calibri"/>
        <family val="2"/>
      </rPr>
      <t xml:space="preserve"> </t>
    </r>
    <r>
      <rPr>
        <sz val="9"/>
        <color theme="1"/>
        <rFont val="맑은 고딕"/>
        <family val="2"/>
      </rPr>
      <t>정보</t>
    </r>
  </si>
  <si>
    <r>
      <rPr>
        <sz val="9"/>
        <color theme="1"/>
        <rFont val="맑은 고딕"/>
        <family val="2"/>
      </rPr>
      <t>사용할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언어</t>
    </r>
  </si>
  <si>
    <r>
      <rPr>
        <sz val="9"/>
        <color theme="1"/>
        <rFont val="맑은 고딕"/>
        <family val="2"/>
      </rPr>
      <t>오류</t>
    </r>
    <r>
      <rPr>
        <sz val="9"/>
        <color theme="1"/>
        <rFont val="Calibri"/>
        <family val="2"/>
      </rPr>
      <t xml:space="preserve">! </t>
    </r>
    <r>
      <rPr>
        <sz val="9"/>
        <color theme="1"/>
        <rFont val="맑은 고딕"/>
        <family val="2"/>
      </rPr>
      <t>계산된</t>
    </r>
    <r>
      <rPr>
        <sz val="9"/>
        <color theme="1"/>
        <rFont val="Calibri"/>
        <family val="2"/>
      </rPr>
      <t xml:space="preserve"> Total Man-Day</t>
    </r>
    <r>
      <rPr>
        <sz val="9"/>
        <color theme="1"/>
        <rFont val="맑은 고딕"/>
        <family val="2"/>
      </rPr>
      <t>가</t>
    </r>
    <r>
      <rPr>
        <sz val="9"/>
        <color theme="1"/>
        <rFont val="Calibri"/>
        <family val="2"/>
      </rPr>
      <t xml:space="preserve"> {} sheet</t>
    </r>
    <r>
      <rPr>
        <sz val="9"/>
        <color theme="1"/>
        <rFont val="맑은 고딕"/>
        <family val="2"/>
      </rPr>
      <t>의</t>
    </r>
    <r>
      <rPr>
        <sz val="9"/>
        <color theme="1"/>
        <rFont val="Calibri"/>
        <family val="2"/>
      </rPr>
      <t xml:space="preserve"> Total Man-Day</t>
    </r>
    <r>
      <rPr>
        <sz val="9"/>
        <color theme="1"/>
        <rFont val="맑은 고딕"/>
        <family val="2"/>
      </rPr>
      <t>와</t>
    </r>
    <r>
      <rPr>
        <sz val="9"/>
        <color theme="1"/>
        <rFont val="Calibri"/>
        <family val="2"/>
      </rPr>
      <t xml:space="preserve"> </t>
    </r>
    <r>
      <rPr>
        <sz val="9"/>
        <color theme="1"/>
        <rFont val="맑은 고딕"/>
        <family val="2"/>
      </rPr>
      <t>다릅니다</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</si>
  <si>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다음</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.\n - </t>
    </r>
    <r>
      <rPr>
        <sz val="9"/>
        <color theme="1"/>
        <rFont val="맑은 고딕"/>
        <family val="2"/>
      </rPr>
      <t>파일이</t>
    </r>
    <r>
      <rPr>
        <sz val="9"/>
        <color theme="1"/>
        <rFont val="Calibri"/>
        <family val="2"/>
      </rPr>
      <t xml:space="preserve"> </t>
    </r>
    <r>
      <rPr>
        <sz val="9"/>
        <color theme="1"/>
        <rFont val="맑은 고딕"/>
        <family val="2"/>
      </rPr>
      <t>비정상적인</t>
    </r>
    <r>
      <rPr>
        <sz val="9"/>
        <color theme="1"/>
        <rFont val="Calibri"/>
        <family val="2"/>
      </rPr>
      <t xml:space="preserve"> </t>
    </r>
    <r>
      <rPr>
        <sz val="9"/>
        <color theme="1"/>
        <rFont val="맑은 고딕"/>
        <family val="2"/>
      </rPr>
      <t>경우</t>
    </r>
    <r>
      <rPr>
        <sz val="9"/>
        <color theme="1"/>
        <rFont val="Calibri"/>
        <family val="2"/>
      </rPr>
      <t>(XLGantt</t>
    </r>
    <r>
      <rPr>
        <sz val="9"/>
        <color theme="1"/>
        <rFont val="맑은 고딕"/>
        <family val="2"/>
      </rPr>
      <t>파일이</t>
    </r>
    <r>
      <rPr>
        <sz val="9"/>
        <color theme="1"/>
        <rFont val="Calibri"/>
        <family val="2"/>
      </rPr>
      <t xml:space="preserve"> </t>
    </r>
    <r>
      <rPr>
        <sz val="9"/>
        <color theme="1"/>
        <rFont val="맑은 고딕"/>
        <family val="2"/>
      </rPr>
      <t>손상된</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등</t>
    </r>
    <r>
      <rPr>
        <sz val="9"/>
        <color theme="1"/>
        <rFont val="Calibri"/>
        <family val="2"/>
      </rPr>
      <t xml:space="preserve">)\n - XLGantt </t>
    </r>
    <r>
      <rPr>
        <sz val="9"/>
        <color theme="1"/>
        <rFont val="맑은 고딕"/>
        <family val="2"/>
      </rPr>
      <t>파일이</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일반</t>
    </r>
    <r>
      <rPr>
        <sz val="9"/>
        <color theme="1"/>
        <rFont val="Calibri"/>
        <family val="2"/>
      </rPr>
      <t xml:space="preserve"> </t>
    </r>
    <r>
      <rPr>
        <sz val="9"/>
        <color theme="1"/>
        <rFont val="맑은 고딕"/>
        <family val="2"/>
      </rPr>
      <t>엑셀파일인</t>
    </r>
    <r>
      <rPr>
        <sz val="9"/>
        <color theme="1"/>
        <rFont val="Calibri"/>
        <family val="2"/>
      </rPr>
      <t xml:space="preserve"> </t>
    </r>
    <r>
      <rPr>
        <sz val="9"/>
        <color theme="1"/>
        <rFont val="맑은 고딕"/>
        <family val="2"/>
      </rPr>
      <t>경우</t>
    </r>
    <r>
      <rPr>
        <sz val="9"/>
        <color theme="1"/>
        <rFont val="Calibri"/>
        <family val="2"/>
      </rPr>
      <t xml:space="preserve">\n\n </t>
    </r>
    <r>
      <rPr>
        <sz val="9"/>
        <color theme="1"/>
        <rFont val="맑은 고딕"/>
        <family val="2"/>
      </rPr>
      <t>자세한</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확인하시기</t>
    </r>
    <r>
      <rPr>
        <sz val="9"/>
        <color theme="1"/>
        <rFont val="Calibri"/>
        <family val="2"/>
      </rPr>
      <t xml:space="preserve"> </t>
    </r>
    <r>
      <rPr>
        <sz val="9"/>
        <color theme="1"/>
        <rFont val="맑은 고딕"/>
        <family val="2"/>
      </rPr>
      <t>바랍니다</t>
    </r>
    <r>
      <rPr>
        <sz val="9"/>
        <color theme="1"/>
        <rFont val="Calibri"/>
        <family val="2"/>
      </rPr>
      <t>.</t>
    </r>
  </si>
  <si>
    <r>
      <rPr>
        <sz val="9"/>
        <color theme="1"/>
        <rFont val="맑은 고딕"/>
        <family val="2"/>
      </rPr>
      <t>오류</t>
    </r>
    <r>
      <rPr>
        <sz val="9"/>
        <color theme="1"/>
        <rFont val="Calibri"/>
        <family val="2"/>
      </rPr>
      <t xml:space="preserve">, </t>
    </r>
    <r>
      <rPr>
        <sz val="9"/>
        <color theme="1"/>
        <rFont val="맑은 고딕"/>
        <family val="2"/>
      </rPr>
      <t>지정할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없는</t>
    </r>
    <r>
      <rPr>
        <sz val="9"/>
        <color theme="1"/>
        <rFont val="Calibri"/>
        <family val="2"/>
      </rPr>
      <t xml:space="preserve"> </t>
    </r>
    <r>
      <rPr>
        <sz val="9"/>
        <color theme="1"/>
        <rFont val="맑은 고딕"/>
        <family val="2"/>
      </rPr>
      <t>필드가</t>
    </r>
    <r>
      <rPr>
        <sz val="9"/>
        <color theme="1"/>
        <rFont val="Calibri"/>
        <family val="2"/>
      </rPr>
      <t xml:space="preserve"> </t>
    </r>
    <r>
      <rPr>
        <sz val="9"/>
        <color theme="1"/>
        <rFont val="맑은 고딕"/>
        <family val="2"/>
      </rPr>
      <t>있습니다</t>
    </r>
  </si>
  <si>
    <r>
      <rPr>
        <sz val="9"/>
        <color theme="1"/>
        <rFont val="맑은 고딕"/>
        <family val="2"/>
      </rPr>
      <t>프로그램</t>
    </r>
    <r>
      <rPr>
        <sz val="9"/>
        <color theme="1"/>
        <rFont val="Calibri"/>
        <family val="2"/>
      </rPr>
      <t xml:space="preserve"> </t>
    </r>
    <r>
      <rPr>
        <sz val="9"/>
        <color theme="1"/>
        <rFont val="맑은 고딕"/>
        <family val="2"/>
      </rPr>
      <t>실행경로</t>
    </r>
  </si>
  <si>
    <r>
      <rPr>
        <sz val="9"/>
        <color theme="1"/>
        <rFont val="맑은 고딕"/>
        <family val="2"/>
      </rPr>
      <t>필터</t>
    </r>
    <r>
      <rPr>
        <sz val="9"/>
        <color theme="1"/>
        <rFont val="Calibri"/>
        <family val="2"/>
      </rPr>
      <t xml:space="preserve"> </t>
    </r>
    <r>
      <rPr>
        <sz val="9"/>
        <color theme="1"/>
        <rFont val="맑은 고딕"/>
        <family val="2"/>
      </rPr>
      <t>적용</t>
    </r>
  </si>
  <si>
    <r>
      <rPr>
        <sz val="9"/>
        <color theme="1"/>
        <rFont val="맑은 고딕"/>
        <family val="2"/>
      </rPr>
      <t>작업</t>
    </r>
    <r>
      <rPr>
        <sz val="9"/>
        <color theme="1"/>
        <rFont val="Calibri"/>
        <family val="2"/>
      </rPr>
      <t xml:space="preserve"> </t>
    </r>
    <r>
      <rPr>
        <sz val="9"/>
        <color theme="1"/>
        <rFont val="맑은 고딕"/>
        <family val="2"/>
      </rPr>
      <t>필터</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</si>
  <si>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완료일</t>
    </r>
    <r>
      <rPr>
        <sz val="9"/>
        <color theme="1"/>
        <rFont val="Calibri"/>
        <family val="2"/>
      </rPr>
      <t>(</t>
    </r>
    <r>
      <rPr>
        <sz val="9"/>
        <color theme="1"/>
        <rFont val="맑은 고딕"/>
        <family val="2"/>
      </rPr>
      <t>또는</t>
    </r>
    <r>
      <rPr>
        <sz val="9"/>
        <color theme="1"/>
        <rFont val="Calibri"/>
        <family val="2"/>
      </rPr>
      <t xml:space="preserve"> </t>
    </r>
    <r>
      <rPr>
        <sz val="9"/>
        <color theme="1"/>
        <rFont val="맑은 고딕"/>
        <family val="2"/>
      </rPr>
      <t>종료일</t>
    </r>
    <r>
      <rPr>
        <sz val="9"/>
        <color theme="1"/>
        <rFont val="Calibri"/>
        <family val="2"/>
      </rPr>
      <t>)</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</si>
  <si>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작업완료일의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</si>
  <si>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완료일자에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</si>
  <si>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한주의</t>
    </r>
    <r>
      <rPr>
        <sz val="9"/>
        <color theme="1"/>
        <rFont val="Calibri"/>
        <family val="2"/>
      </rPr>
      <t xml:space="preserve"> </t>
    </r>
    <r>
      <rPr>
        <sz val="9"/>
        <color theme="1"/>
        <rFont val="맑은 고딕"/>
        <family val="2"/>
      </rPr>
      <t>시작요일</t>
    </r>
  </si>
  <si>
    <r>
      <rPr>
        <sz val="9"/>
        <color theme="1"/>
        <rFont val="맑은 고딕"/>
        <family val="2"/>
      </rPr>
      <t>컴퓨터</t>
    </r>
    <r>
      <rPr>
        <sz val="9"/>
        <color theme="1"/>
        <rFont val="Calibri"/>
        <family val="2"/>
      </rPr>
      <t xml:space="preserve"> O/S</t>
    </r>
    <r>
      <rPr>
        <sz val="9"/>
        <color theme="1"/>
        <rFont val="맑은 고딕"/>
        <family val="2"/>
      </rPr>
      <t>의</t>
    </r>
    <r>
      <rPr>
        <sz val="9"/>
        <color theme="1"/>
        <rFont val="Calibri"/>
        <family val="2"/>
      </rPr>
      <t xml:space="preserve"> </t>
    </r>
    <r>
      <rPr>
        <sz val="9"/>
        <color theme="1"/>
        <rFont val="맑은 고딕"/>
        <family val="2"/>
      </rPr>
      <t>언어설정을</t>
    </r>
    <r>
      <rPr>
        <sz val="9"/>
        <color theme="1"/>
        <rFont val="Calibri"/>
        <family val="2"/>
      </rPr>
      <t xml:space="preserve"> </t>
    </r>
    <r>
      <rPr>
        <sz val="9"/>
        <color theme="1"/>
        <rFont val="맑은 고딕"/>
        <family val="2"/>
      </rPr>
      <t>따름</t>
    </r>
  </si>
  <si>
    <r>
      <t>Source</t>
    </r>
    <r>
      <rPr>
        <sz val="9"/>
        <color theme="1"/>
        <rFont val="맑은 고딕"/>
        <family val="2"/>
      </rPr>
      <t>파일</t>
    </r>
    <r>
      <rPr>
        <sz val="9"/>
        <color theme="1"/>
        <rFont val="Calibri"/>
        <family val="2"/>
      </rPr>
      <t>(</t>
    </r>
    <r>
      <rPr>
        <sz val="9"/>
        <color theme="1"/>
        <rFont val="맑은 고딕"/>
        <family val="2"/>
      </rPr>
      <t>가져올</t>
    </r>
    <r>
      <rPr>
        <sz val="9"/>
        <color theme="1"/>
        <rFont val="Calibri"/>
        <family val="2"/>
      </rPr>
      <t xml:space="preserve"> </t>
    </r>
    <r>
      <rPr>
        <sz val="9"/>
        <color theme="1"/>
        <rFont val="맑은 고딕"/>
        <family val="2"/>
      </rPr>
      <t>파일</t>
    </r>
    <r>
      <rPr>
        <sz val="9"/>
        <color theme="1"/>
        <rFont val="Calibri"/>
        <family val="2"/>
      </rPr>
      <t xml:space="preserve"> )</t>
    </r>
  </si>
  <si>
    <r>
      <rPr>
        <sz val="9"/>
        <color theme="1"/>
        <rFont val="맑은 고딕"/>
        <family val="2"/>
      </rPr>
      <t>시작날짜</t>
    </r>
    <r>
      <rPr>
        <sz val="9"/>
        <color theme="1"/>
        <rFont val="Calibri"/>
        <family val="2"/>
      </rPr>
      <t xml:space="preserve"> </t>
    </r>
    <r>
      <rPr>
        <sz val="9"/>
        <color theme="1"/>
        <rFont val="맑은 고딕"/>
        <family val="2"/>
      </rPr>
      <t>형식이</t>
    </r>
    <r>
      <rPr>
        <sz val="9"/>
        <color theme="1"/>
        <rFont val="Calibri"/>
        <family val="2"/>
      </rPr>
      <t xml:space="preserve"> </t>
    </r>
    <r>
      <rPr>
        <sz val="9"/>
        <color theme="1"/>
        <rFont val="맑은 고딕"/>
        <family val="2"/>
      </rPr>
      <t>잘못되었습니다</t>
    </r>
    <r>
      <rPr>
        <sz val="9"/>
        <color theme="1"/>
        <rFont val="Calibri"/>
        <family val="2"/>
      </rPr>
      <t>.</t>
    </r>
  </si>
  <si>
    <r>
      <t>Gantt chart</t>
    </r>
    <r>
      <rPr>
        <sz val="9"/>
        <color theme="1"/>
        <rFont val="맑은 고딕"/>
        <family val="2"/>
      </rPr>
      <t>표시</t>
    </r>
    <r>
      <rPr>
        <sz val="9"/>
        <color theme="1"/>
        <rFont val="Calibri"/>
        <family val="2"/>
      </rPr>
      <t xml:space="preserve"> </t>
    </r>
    <r>
      <rPr>
        <sz val="9"/>
        <color theme="1"/>
        <rFont val="맑은 고딕"/>
        <family val="2"/>
      </rPr>
      <t>방법</t>
    </r>
  </si>
  <si>
    <r>
      <t xml:space="preserve">Gantt Chart </t>
    </r>
    <r>
      <rPr>
        <sz val="9"/>
        <color theme="1"/>
        <rFont val="맑은 고딕"/>
        <family val="2"/>
      </rPr>
      <t>보기</t>
    </r>
    <r>
      <rPr>
        <sz val="9"/>
        <color theme="1"/>
        <rFont val="Calibri"/>
        <family val="2"/>
      </rPr>
      <t xml:space="preserve"> </t>
    </r>
    <r>
      <rPr>
        <sz val="9"/>
        <color theme="1"/>
        <rFont val="맑은 고딕"/>
        <family val="2"/>
      </rPr>
      <t>형식</t>
    </r>
  </si>
  <si>
    <r>
      <t xml:space="preserve">Gantt Chart </t>
    </r>
    <r>
      <rPr>
        <sz val="9"/>
        <color theme="1"/>
        <rFont val="맑은 고딕"/>
        <family val="2"/>
      </rPr>
      <t>축소</t>
    </r>
    <r>
      <rPr>
        <sz val="9"/>
        <color theme="1"/>
        <rFont val="Calibri"/>
        <family val="2"/>
      </rPr>
      <t>/</t>
    </r>
    <r>
      <rPr>
        <sz val="9"/>
        <color theme="1"/>
        <rFont val="맑은 고딕"/>
        <family val="2"/>
      </rPr>
      <t>확대</t>
    </r>
    <r>
      <rPr>
        <sz val="9"/>
        <color theme="1"/>
        <rFont val="Calibri"/>
        <family val="2"/>
      </rPr>
      <t xml:space="preserve"> </t>
    </r>
    <r>
      <rPr>
        <sz val="9"/>
        <color theme="1"/>
        <rFont val="맑은 고딕"/>
        <family val="2"/>
      </rPr>
      <t>비율</t>
    </r>
  </si>
  <si>
    <r>
      <rPr>
        <sz val="9"/>
        <color theme="1"/>
        <rFont val="맑은 고딕"/>
        <family val="2"/>
      </rPr>
      <t>가져오는</t>
    </r>
    <r>
      <rPr>
        <sz val="9"/>
        <color theme="1"/>
        <rFont val="Calibri"/>
        <family val="2"/>
      </rPr>
      <t xml:space="preserve"> </t>
    </r>
    <r>
      <rPr>
        <sz val="9"/>
        <color theme="1"/>
        <rFont val="맑은 고딕"/>
        <family val="2"/>
      </rPr>
      <t>파일</t>
    </r>
    <r>
      <rPr>
        <sz val="9"/>
        <color theme="1"/>
        <rFont val="Calibri"/>
        <family val="2"/>
      </rPr>
      <t>(</t>
    </r>
    <r>
      <rPr>
        <sz val="9"/>
        <color theme="1"/>
        <rFont val="맑은 고딕"/>
        <family val="2"/>
      </rPr>
      <t>소스파일</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언어와</t>
    </r>
    <r>
      <rPr>
        <sz val="9"/>
        <color theme="1"/>
        <rFont val="Calibri"/>
        <family val="2"/>
      </rPr>
      <t xml:space="preserve"> </t>
    </r>
    <r>
      <rPr>
        <sz val="9"/>
        <color theme="1"/>
        <rFont val="맑은 고딕"/>
        <family val="2"/>
      </rPr>
      <t>이</t>
    </r>
    <r>
      <rPr>
        <sz val="9"/>
        <color theme="1"/>
        <rFont val="Calibri"/>
        <family val="2"/>
      </rPr>
      <t xml:space="preserve"> </t>
    </r>
    <r>
      <rPr>
        <sz val="9"/>
        <color theme="1"/>
        <rFont val="맑은 고딕"/>
        <family val="2"/>
      </rPr>
      <t>파일</t>
    </r>
    <r>
      <rPr>
        <sz val="9"/>
        <color theme="1"/>
        <rFont val="Calibri"/>
        <family val="2"/>
      </rPr>
      <t>(</t>
    </r>
    <r>
      <rPr>
        <sz val="9"/>
        <color theme="1"/>
        <rFont val="맑은 고딕"/>
        <family val="2"/>
      </rPr>
      <t>타겟파일</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언어가</t>
    </r>
    <r>
      <rPr>
        <sz val="9"/>
        <color theme="1"/>
        <rFont val="Calibri"/>
        <family val="2"/>
      </rPr>
      <t xml:space="preserve"> </t>
    </r>
    <r>
      <rPr>
        <sz val="9"/>
        <color theme="1"/>
        <rFont val="맑은 고딕"/>
        <family val="2"/>
      </rPr>
      <t>다르면</t>
    </r>
    <r>
      <rPr>
        <sz val="9"/>
        <color theme="1"/>
        <rFont val="Calibri"/>
        <family val="2"/>
      </rPr>
      <t xml:space="preserve"> Import</t>
    </r>
    <r>
      <rPr>
        <sz val="9"/>
        <color theme="1"/>
        <rFont val="맑은 고딕"/>
        <family val="2"/>
      </rPr>
      <t>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</si>
  <si>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작업명으로</t>
    </r>
    <r>
      <rPr>
        <sz val="9"/>
        <color theme="1"/>
        <rFont val="Calibri"/>
        <family val="2"/>
      </rPr>
      <t xml:space="preserve"> </t>
    </r>
    <r>
      <rPr>
        <sz val="9"/>
        <color theme="1"/>
        <rFont val="맑은 고딕"/>
        <family val="2"/>
      </rPr>
      <t>하위</t>
    </r>
    <r>
      <rPr>
        <sz val="9"/>
        <color theme="1"/>
        <rFont val="Calibri"/>
        <family val="2"/>
      </rPr>
      <t xml:space="preserve"> </t>
    </r>
    <r>
      <rPr>
        <sz val="9"/>
        <color theme="1"/>
        <rFont val="맑은 고딕"/>
        <family val="2"/>
      </rPr>
      <t>경로</t>
    </r>
    <r>
      <rPr>
        <sz val="9"/>
        <color theme="1"/>
        <rFont val="Calibri"/>
        <family val="2"/>
      </rPr>
      <t xml:space="preserve"> </t>
    </r>
    <r>
      <rPr>
        <sz val="9"/>
        <color theme="1"/>
        <rFont val="맑은 고딕"/>
        <family val="2"/>
      </rPr>
      <t>자동지정을</t>
    </r>
    <r>
      <rPr>
        <sz val="9"/>
        <color theme="1"/>
        <rFont val="Calibri"/>
        <family val="2"/>
      </rPr>
      <t xml:space="preserve"> </t>
    </r>
    <r>
      <rPr>
        <sz val="9"/>
        <color theme="1"/>
        <rFont val="맑은 고딕"/>
        <family val="2"/>
      </rPr>
      <t>선택한</t>
    </r>
    <r>
      <rPr>
        <sz val="9"/>
        <color theme="1"/>
        <rFont val="Calibri"/>
        <family val="2"/>
      </rPr>
      <t xml:space="preserve"> </t>
    </r>
    <r>
      <rPr>
        <sz val="9"/>
        <color theme="1"/>
        <rFont val="맑은 고딕"/>
        <family val="2"/>
      </rPr>
      <t>경우에는</t>
    </r>
    <r>
      <rPr>
        <sz val="9"/>
        <color theme="1"/>
        <rFont val="Calibri"/>
        <family val="2"/>
      </rPr>
      <t xml:space="preserve"> </t>
    </r>
    <r>
      <rPr>
        <sz val="9"/>
        <color theme="1"/>
        <rFont val="맑은 고딕"/>
        <family val="2"/>
      </rPr>
      <t>상위의</t>
    </r>
    <r>
      <rPr>
        <sz val="9"/>
        <color theme="1"/>
        <rFont val="Calibri"/>
        <family val="2"/>
      </rPr>
      <t xml:space="preserve"> </t>
    </r>
    <r>
      <rPr>
        <sz val="9"/>
        <color theme="1"/>
        <rFont val="맑은 고딕"/>
        <family val="2"/>
      </rPr>
      <t>기본경로를</t>
    </r>
    <r>
      <rPr>
        <sz val="9"/>
        <color theme="1"/>
        <rFont val="Calibri"/>
        <family val="2"/>
      </rPr>
      <t xml:space="preserve"> </t>
    </r>
    <r>
      <rPr>
        <sz val="9"/>
        <color theme="1"/>
        <rFont val="맑은 고딕"/>
        <family val="2"/>
      </rPr>
      <t>설정해야</t>
    </r>
    <r>
      <rPr>
        <sz val="9"/>
        <color theme="1"/>
        <rFont val="Calibri"/>
        <family val="2"/>
      </rPr>
      <t xml:space="preserve"> </t>
    </r>
    <r>
      <rPr>
        <sz val="9"/>
        <color theme="1"/>
        <rFont val="맑은 고딕"/>
        <family val="2"/>
      </rPr>
      <t>합니다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</si>
  <si>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실제시작일만</t>
    </r>
    <r>
      <rPr>
        <sz val="9"/>
        <color theme="1"/>
        <rFont val="Calibri"/>
        <family val="2"/>
      </rPr>
      <t xml:space="preserve"> </t>
    </r>
    <r>
      <rPr>
        <sz val="9"/>
        <color theme="1"/>
        <rFont val="맑은 고딕"/>
        <family val="2"/>
      </rPr>
      <t>입력하고</t>
    </r>
    <r>
      <rPr>
        <sz val="9"/>
        <color theme="1"/>
        <rFont val="Calibri"/>
        <family val="2"/>
      </rPr>
      <t xml:space="preserve"> </t>
    </r>
    <r>
      <rPr>
        <sz val="9"/>
        <color theme="1"/>
        <rFont val="맑은 고딕"/>
        <family val="2"/>
      </rPr>
      <t>실제완료일을</t>
    </r>
    <r>
      <rPr>
        <sz val="9"/>
        <color theme="1"/>
        <rFont val="Calibri"/>
        <family val="2"/>
      </rPr>
      <t xml:space="preserve"> </t>
    </r>
    <r>
      <rPr>
        <sz val="9"/>
        <color theme="1"/>
        <rFont val="맑은 고딕"/>
        <family val="2"/>
      </rPr>
      <t>비워놓으면</t>
    </r>
    <r>
      <rPr>
        <sz val="9"/>
        <color theme="1"/>
        <rFont val="Calibri"/>
        <family val="2"/>
      </rPr>
      <t xml:space="preserve"> </t>
    </r>
    <r>
      <rPr>
        <sz val="9"/>
        <color theme="1"/>
        <rFont val="맑은 고딕"/>
        <family val="2"/>
      </rPr>
      <t>완료율을</t>
    </r>
    <r>
      <rPr>
        <sz val="9"/>
        <color theme="1"/>
        <rFont val="Calibri"/>
        <family val="2"/>
      </rPr>
      <t xml:space="preserve"> 100%</t>
    </r>
    <r>
      <rPr>
        <sz val="9"/>
        <color theme="1"/>
        <rFont val="맑은 고딕"/>
        <family val="2"/>
      </rPr>
      <t>로</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</si>
  <si>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일반</t>
    </r>
    <r>
      <rPr>
        <sz val="9"/>
        <color theme="1"/>
        <rFont val="Calibri"/>
        <family val="2"/>
      </rPr>
      <t xml:space="preserve"> Excel </t>
    </r>
    <r>
      <rPr>
        <sz val="9"/>
        <color theme="1"/>
        <rFont val="맑은 고딕"/>
        <family val="2"/>
      </rPr>
      <t>파일</t>
    </r>
  </si>
  <si>
    <r>
      <rPr>
        <sz val="9"/>
        <color theme="1"/>
        <rFont val="맑은 고딕"/>
        <family val="2"/>
      </rPr>
      <t>기존</t>
    </r>
    <r>
      <rPr>
        <sz val="9"/>
        <color theme="1"/>
        <rFont val="Calibri"/>
        <family val="2"/>
      </rPr>
      <t xml:space="preserve">Data </t>
    </r>
    <r>
      <rPr>
        <sz val="9"/>
        <color theme="1"/>
        <rFont val="맑은 고딕"/>
        <family val="2"/>
      </rPr>
      <t>지우고</t>
    </r>
    <r>
      <rPr>
        <sz val="9"/>
        <color theme="1"/>
        <rFont val="Calibri"/>
        <family val="2"/>
      </rPr>
      <t xml:space="preserve"> </t>
    </r>
    <r>
      <rPr>
        <sz val="9"/>
        <color theme="1"/>
        <rFont val="맑은 고딕"/>
        <family val="2"/>
      </rPr>
      <t>가져오기</t>
    </r>
  </si>
  <si>
    <r>
      <rPr>
        <sz val="9"/>
        <color theme="1"/>
        <rFont val="맑은 고딕"/>
        <family val="2"/>
      </rPr>
      <t>기존</t>
    </r>
    <r>
      <rPr>
        <sz val="9"/>
        <color theme="1"/>
        <rFont val="Calibri"/>
        <family val="2"/>
      </rPr>
      <t xml:space="preserve">Data </t>
    </r>
    <r>
      <rPr>
        <sz val="9"/>
        <color theme="1"/>
        <rFont val="맑은 고딕"/>
        <family val="2"/>
      </rPr>
      <t>아래에</t>
    </r>
    <r>
      <rPr>
        <sz val="9"/>
        <color theme="1"/>
        <rFont val="Calibri"/>
        <family val="2"/>
      </rPr>
      <t xml:space="preserve"> </t>
    </r>
    <r>
      <rPr>
        <sz val="9"/>
        <color theme="1"/>
        <rFont val="맑은 고딕"/>
        <family val="2"/>
      </rPr>
      <t>추가하기</t>
    </r>
  </si>
  <si>
    <r>
      <t>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가져오기</t>
    </r>
  </si>
  <si>
    <r>
      <rPr>
        <sz val="9"/>
        <color theme="1"/>
        <rFont val="맑은 고딕"/>
        <family val="2"/>
      </rPr>
      <t>이</t>
    </r>
    <r>
      <rPr>
        <sz val="9"/>
        <color theme="1"/>
        <rFont val="Calibri"/>
        <family val="2"/>
      </rPr>
      <t xml:space="preserve"> XLGantt</t>
    </r>
    <r>
      <rPr>
        <sz val="9"/>
        <color theme="1"/>
        <rFont val="맑은 고딕"/>
        <family val="2"/>
      </rPr>
      <t>파일에</t>
    </r>
    <r>
      <rPr>
        <sz val="9"/>
        <color theme="1"/>
        <rFont val="Calibri"/>
        <family val="2"/>
      </rPr>
      <t xml:space="preserve"> </t>
    </r>
    <r>
      <rPr>
        <sz val="9"/>
        <color theme="1"/>
        <rFont val="맑은 고딕"/>
        <family val="2"/>
      </rPr>
      <t>있는</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지우고</t>
    </r>
    <r>
      <rPr>
        <sz val="9"/>
        <color theme="1"/>
        <rFont val="Calibri"/>
        <family val="2"/>
      </rPr>
      <t xml:space="preserve"> </t>
    </r>
    <r>
      <rPr>
        <sz val="9"/>
        <color theme="1"/>
        <rFont val="맑은 고딕"/>
        <family val="2"/>
      </rPr>
      <t>새로운</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가져와서</t>
    </r>
    <r>
      <rPr>
        <sz val="9"/>
        <color theme="1"/>
        <rFont val="Calibri"/>
        <family val="2"/>
      </rPr>
      <t xml:space="preserve"> _x000D_
</t>
    </r>
    <r>
      <rPr>
        <sz val="9"/>
        <color theme="1"/>
        <rFont val="맑은 고딕"/>
        <family val="2"/>
      </rPr>
      <t>붙여</t>
    </r>
    <r>
      <rPr>
        <sz val="9"/>
        <color theme="1"/>
        <rFont val="Calibri"/>
        <family val="2"/>
      </rPr>
      <t xml:space="preserve"> </t>
    </r>
    <r>
      <rPr>
        <sz val="9"/>
        <color theme="1"/>
        <rFont val="맑은 고딕"/>
        <family val="2"/>
      </rPr>
      <t>넣기</t>
    </r>
  </si>
  <si>
    <r>
      <rPr>
        <sz val="9"/>
        <color theme="1"/>
        <rFont val="맑은 고딕"/>
        <family val="2"/>
      </rPr>
      <t>이</t>
    </r>
    <r>
      <rPr>
        <sz val="9"/>
        <color theme="1"/>
        <rFont val="Calibri"/>
        <family val="2"/>
      </rPr>
      <t xml:space="preserve"> XLGantt</t>
    </r>
    <r>
      <rPr>
        <sz val="9"/>
        <color theme="1"/>
        <rFont val="맑은 고딕"/>
        <family val="2"/>
      </rPr>
      <t>파일에</t>
    </r>
    <r>
      <rPr>
        <sz val="9"/>
        <color theme="1"/>
        <rFont val="Calibri"/>
        <family val="2"/>
      </rPr>
      <t xml:space="preserve"> </t>
    </r>
    <r>
      <rPr>
        <sz val="9"/>
        <color theme="1"/>
        <rFont val="맑은 고딕"/>
        <family val="2"/>
      </rPr>
      <t>있는</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그대로</t>
    </r>
    <r>
      <rPr>
        <sz val="9"/>
        <color theme="1"/>
        <rFont val="Calibri"/>
        <family val="2"/>
      </rPr>
      <t xml:space="preserve"> </t>
    </r>
    <r>
      <rPr>
        <sz val="9"/>
        <color theme="1"/>
        <rFont val="맑은 고딕"/>
        <family val="2"/>
      </rPr>
      <t>두고</t>
    </r>
    <r>
      <rPr>
        <sz val="9"/>
        <color theme="1"/>
        <rFont val="Calibri"/>
        <family val="2"/>
      </rPr>
      <t xml:space="preserve"> </t>
    </r>
    <r>
      <rPr>
        <sz val="9"/>
        <color theme="1"/>
        <rFont val="맑은 고딕"/>
        <family val="2"/>
      </rPr>
      <t>맨</t>
    </r>
    <r>
      <rPr>
        <sz val="9"/>
        <color theme="1"/>
        <rFont val="Calibri"/>
        <family val="2"/>
      </rPr>
      <t xml:space="preserve"> </t>
    </r>
    <r>
      <rPr>
        <sz val="9"/>
        <color theme="1"/>
        <rFont val="맑은 고딕"/>
        <family val="2"/>
      </rPr>
      <t>아래에</t>
    </r>
    <r>
      <rPr>
        <sz val="9"/>
        <color theme="1"/>
        <rFont val="Calibri"/>
        <family val="2"/>
      </rPr>
      <t xml:space="preserve"> </t>
    </r>
    <r>
      <rPr>
        <sz val="9"/>
        <color theme="1"/>
        <rFont val="맑은 고딕"/>
        <family val="2"/>
      </rPr>
      <t>새로운</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가져와서</t>
    </r>
    <r>
      <rPr>
        <sz val="9"/>
        <color theme="1"/>
        <rFont val="Calibri"/>
        <family val="2"/>
      </rPr>
      <t xml:space="preserve"> </t>
    </r>
    <r>
      <rPr>
        <sz val="9"/>
        <color theme="1"/>
        <rFont val="맑은 고딕"/>
        <family val="2"/>
      </rPr>
      <t>붙여</t>
    </r>
    <r>
      <rPr>
        <sz val="9"/>
        <color theme="1"/>
        <rFont val="Calibri"/>
        <family val="2"/>
      </rPr>
      <t xml:space="preserve"> </t>
    </r>
    <r>
      <rPr>
        <sz val="9"/>
        <color theme="1"/>
        <rFont val="맑은 고딕"/>
        <family val="2"/>
      </rPr>
      <t>넣기</t>
    </r>
  </si>
  <si>
    <r>
      <rPr>
        <sz val="9"/>
        <color theme="1"/>
        <rFont val="맑은 고딕"/>
        <family val="2"/>
      </rPr>
      <t>가져오기</t>
    </r>
    <r>
      <rPr>
        <sz val="9"/>
        <color theme="1"/>
        <rFont val="Calibri"/>
        <family val="2"/>
      </rPr>
      <t xml:space="preserve"> </t>
    </r>
    <r>
      <rPr>
        <sz val="9"/>
        <color theme="1"/>
        <rFont val="맑은 고딕"/>
        <family val="2"/>
      </rPr>
      <t>옵션</t>
    </r>
  </si>
  <si>
    <r>
      <rPr>
        <sz val="9"/>
        <color theme="1"/>
        <rFont val="맑은 고딕"/>
        <family val="2"/>
      </rPr>
      <t>가져오기</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정상적으로</t>
    </r>
    <r>
      <rPr>
        <sz val="9"/>
        <color theme="1"/>
        <rFont val="Calibri"/>
        <family val="2"/>
      </rPr>
      <t xml:space="preserve"> </t>
    </r>
    <r>
      <rPr>
        <sz val="9"/>
        <color theme="1"/>
        <rFont val="맑은 고딕"/>
        <family val="2"/>
      </rPr>
      <t>완료되었습니다</t>
    </r>
    <r>
      <rPr>
        <sz val="9"/>
        <color theme="1"/>
        <rFont val="Calibri"/>
        <family val="2"/>
      </rPr>
      <t>.\n</t>
    </r>
    <r>
      <rPr>
        <sz val="9"/>
        <color theme="1"/>
        <rFont val="맑은 고딕"/>
        <family val="2"/>
      </rPr>
      <t>가져온</t>
    </r>
    <r>
      <rPr>
        <sz val="9"/>
        <color theme="1"/>
        <rFont val="Calibri"/>
        <family val="2"/>
      </rPr>
      <t xml:space="preserve"> </t>
    </r>
    <r>
      <rPr>
        <sz val="9"/>
        <color theme="1"/>
        <rFont val="맑은 고딕"/>
        <family val="2"/>
      </rPr>
      <t>자료의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행수</t>
    </r>
    <r>
      <rPr>
        <sz val="9"/>
        <color theme="1"/>
        <rFont val="Calibri"/>
        <family val="2"/>
      </rPr>
      <t xml:space="preserve"> : </t>
    </r>
  </si>
  <si>
    <r>
      <rPr>
        <sz val="9"/>
        <color theme="1"/>
        <rFont val="맑은 고딕"/>
        <family val="2"/>
      </rPr>
      <t>기존</t>
    </r>
    <r>
      <rPr>
        <sz val="9"/>
        <color theme="1"/>
        <rFont val="Calibri"/>
        <family val="2"/>
      </rPr>
      <t>Data</t>
    </r>
    <r>
      <rPr>
        <sz val="9"/>
        <color theme="1"/>
        <rFont val="맑은 고딕"/>
        <family val="2"/>
      </rPr>
      <t>에</t>
    </r>
    <r>
      <rPr>
        <sz val="9"/>
        <color theme="1"/>
        <rFont val="Calibri"/>
        <family val="2"/>
      </rPr>
      <t xml:space="preserve"> </t>
    </r>
    <r>
      <rPr>
        <sz val="9"/>
        <color theme="1"/>
        <rFont val="맑은 고딕"/>
        <family val="2"/>
      </rPr>
      <t>추가하기</t>
    </r>
  </si>
  <si>
    <r>
      <rPr>
        <sz val="9"/>
        <color theme="1"/>
        <rFont val="맑은 고딕"/>
        <family val="2"/>
      </rPr>
      <t>파일</t>
    </r>
    <r>
      <rPr>
        <sz val="9"/>
        <color theme="1"/>
        <rFont val="Calibri"/>
        <family val="2"/>
      </rPr>
      <t xml:space="preserve"> </t>
    </r>
    <r>
      <rPr>
        <sz val="9"/>
        <color theme="1"/>
        <rFont val="맑은 고딕"/>
        <family val="2"/>
      </rPr>
      <t>가져오기</t>
    </r>
  </si>
  <si>
    <r>
      <rPr>
        <sz val="9"/>
        <color theme="1"/>
        <rFont val="맑은 고딕"/>
        <family val="2"/>
      </rPr>
      <t>자료를</t>
    </r>
    <r>
      <rPr>
        <sz val="9"/>
        <color theme="1"/>
        <rFont val="Calibri"/>
        <family val="2"/>
      </rPr>
      <t xml:space="preserve"> </t>
    </r>
    <r>
      <rPr>
        <sz val="9"/>
        <color theme="1"/>
        <rFont val="맑은 고딕"/>
        <family val="2"/>
      </rPr>
      <t>가져옵니다</t>
    </r>
    <r>
      <rPr>
        <sz val="9"/>
        <color theme="1"/>
        <rFont val="Calibri"/>
        <family val="2"/>
      </rPr>
      <t xml:space="preserve">. </t>
    </r>
    <r>
      <rPr>
        <sz val="9"/>
        <color theme="1"/>
        <rFont val="맑은 고딕"/>
        <family val="2"/>
      </rPr>
      <t>잠시만</t>
    </r>
    <r>
      <rPr>
        <sz val="9"/>
        <color theme="1"/>
        <rFont val="Calibri"/>
        <family val="2"/>
      </rPr>
      <t xml:space="preserve"> </t>
    </r>
    <r>
      <rPr>
        <sz val="9"/>
        <color theme="1"/>
        <rFont val="맑은 고딕"/>
        <family val="2"/>
      </rPr>
      <t>기다려주세요</t>
    </r>
    <r>
      <rPr>
        <sz val="9"/>
        <color theme="1"/>
        <rFont val="Calibri"/>
        <family val="2"/>
      </rPr>
      <t>...</t>
    </r>
  </si>
  <si>
    <r>
      <rPr>
        <sz val="9"/>
        <color theme="1"/>
        <rFont val="맑은 고딕"/>
        <family val="2"/>
      </rPr>
      <t>산출물명</t>
    </r>
    <r>
      <rPr>
        <sz val="9"/>
        <color theme="1"/>
        <rFont val="Calibri"/>
        <family val="2"/>
      </rPr>
      <t xml:space="preserve"> </t>
    </r>
    <r>
      <rPr>
        <sz val="9"/>
        <color theme="1"/>
        <rFont val="맑은 고딕"/>
        <family val="2"/>
      </rPr>
      <t>비었을때</t>
    </r>
    <r>
      <rPr>
        <sz val="9"/>
        <color theme="1"/>
        <rFont val="Calibri"/>
        <family val="2"/>
      </rPr>
      <t>\n</t>
    </r>
    <r>
      <rPr>
        <sz val="9"/>
        <color theme="1"/>
        <rFont val="맑은 고딕"/>
        <family val="2"/>
      </rPr>
      <t>선택목록에</t>
    </r>
    <r>
      <rPr>
        <sz val="9"/>
        <color theme="1"/>
        <rFont val="Calibri"/>
        <family val="2"/>
      </rPr>
      <t xml:space="preserve"> </t>
    </r>
    <r>
      <rPr>
        <sz val="9"/>
        <color theme="1"/>
        <rFont val="맑은 고딕"/>
        <family val="2"/>
      </rPr>
      <t>포함</t>
    </r>
    <r>
      <rPr>
        <sz val="9"/>
        <color theme="1"/>
        <rFont val="Calibri"/>
        <family val="2"/>
      </rPr>
      <t>\n</t>
    </r>
    <r>
      <rPr>
        <sz val="9"/>
        <color theme="1"/>
        <rFont val="맑은 고딕"/>
        <family val="2"/>
      </rPr>
      <t>여부</t>
    </r>
  </si>
  <si>
    <r>
      <rPr>
        <sz val="9"/>
        <color theme="1"/>
        <rFont val="맑은 고딕"/>
        <family val="2"/>
      </rPr>
      <t>작업레벨</t>
    </r>
    <r>
      <rPr>
        <sz val="9"/>
        <color theme="1"/>
        <rFont val="Calibri"/>
        <family val="2"/>
      </rPr>
      <t xml:space="preserve"> </t>
    </r>
    <r>
      <rPr>
        <sz val="9"/>
        <color theme="1"/>
        <rFont val="맑은 고딕"/>
        <family val="2"/>
      </rPr>
      <t>내림</t>
    </r>
  </si>
  <si>
    <r>
      <rPr>
        <sz val="9"/>
        <color theme="1"/>
        <rFont val="맑은 고딕"/>
        <family val="2"/>
      </rPr>
      <t>이미</t>
    </r>
    <r>
      <rPr>
        <sz val="9"/>
        <color theme="1"/>
        <rFont val="Calibri"/>
        <family val="2"/>
      </rPr>
      <t xml:space="preserve"> </t>
    </r>
    <r>
      <rPr>
        <sz val="9"/>
        <color theme="1"/>
        <rFont val="맑은 고딕"/>
        <family val="2"/>
      </rPr>
      <t>선택된</t>
    </r>
    <r>
      <rPr>
        <sz val="9"/>
        <color theme="1"/>
        <rFont val="Calibri"/>
        <family val="2"/>
      </rPr>
      <t xml:space="preserve"> </t>
    </r>
    <r>
      <rPr>
        <sz val="9"/>
        <color theme="1"/>
        <rFont val="맑은 고딕"/>
        <family val="2"/>
      </rPr>
      <t>언어입니다</t>
    </r>
    <r>
      <rPr>
        <sz val="9"/>
        <color theme="1"/>
        <rFont val="Calibri"/>
        <family val="2"/>
      </rPr>
      <t>.</t>
    </r>
  </si>
  <si>
    <r>
      <rPr>
        <sz val="9"/>
        <color theme="1"/>
        <rFont val="맑은 고딕"/>
        <family val="2"/>
      </rPr>
      <t>일정변경</t>
    </r>
    <r>
      <rPr>
        <sz val="9"/>
        <color theme="1"/>
        <rFont val="Calibri"/>
        <family val="2"/>
      </rPr>
      <t xml:space="preserve"> </t>
    </r>
    <r>
      <rPr>
        <sz val="9"/>
        <color theme="1"/>
        <rFont val="맑은 고딕"/>
        <family val="2"/>
      </rPr>
      <t>관리함</t>
    </r>
    <r>
      <rPr>
        <sz val="9"/>
        <color theme="1"/>
        <rFont val="Calibri"/>
        <family val="2"/>
      </rPr>
      <t>(</t>
    </r>
    <r>
      <rPr>
        <sz val="9"/>
        <color theme="1"/>
        <rFont val="맑은 고딕"/>
        <family val="2"/>
      </rPr>
      <t>시작일</t>
    </r>
    <r>
      <rPr>
        <sz val="9"/>
        <color theme="1"/>
        <rFont val="Calibri"/>
        <family val="2"/>
      </rPr>
      <t>/</t>
    </r>
    <r>
      <rPr>
        <sz val="9"/>
        <color theme="1"/>
        <rFont val="맑은 고딕"/>
        <family val="2"/>
      </rPr>
      <t>완료일</t>
    </r>
    <r>
      <rPr>
        <sz val="9"/>
        <color theme="1"/>
        <rFont val="Calibri"/>
        <family val="2"/>
      </rPr>
      <t xml:space="preserve">, </t>
    </r>
    <r>
      <rPr>
        <sz val="9"/>
        <color theme="1"/>
        <rFont val="맑은 고딕"/>
        <family val="2"/>
      </rPr>
      <t>실제시작일</t>
    </r>
    <r>
      <rPr>
        <sz val="9"/>
        <color theme="1"/>
        <rFont val="Calibri"/>
        <family val="2"/>
      </rPr>
      <t>/</t>
    </r>
    <r>
      <rPr>
        <sz val="9"/>
        <color theme="1"/>
        <rFont val="맑은 고딕"/>
        <family val="2"/>
      </rPr>
      <t>실제완료일</t>
    </r>
    <r>
      <rPr>
        <sz val="9"/>
        <color theme="1"/>
        <rFont val="Calibri"/>
        <family val="2"/>
      </rPr>
      <t xml:space="preserve"> </t>
    </r>
    <r>
      <rPr>
        <sz val="9"/>
        <color theme="1"/>
        <rFont val="맑은 고딕"/>
        <family val="2"/>
      </rPr>
      <t>사용</t>
    </r>
    <r>
      <rPr>
        <sz val="9"/>
        <color theme="1"/>
        <rFont val="Calibri"/>
        <family val="2"/>
      </rPr>
      <t>)</t>
    </r>
  </si>
  <si>
    <r>
      <t>yyyy</t>
    </r>
    <r>
      <rPr>
        <sz val="9"/>
        <color theme="1"/>
        <rFont val="맑은 고딕"/>
        <family val="2"/>
      </rPr>
      <t>년</t>
    </r>
    <r>
      <rPr>
        <sz val="9"/>
        <color theme="1"/>
        <rFont val="Calibri"/>
        <family val="2"/>
      </rPr>
      <t xml:space="preserve"> m</t>
    </r>
    <r>
      <rPr>
        <sz val="9"/>
        <color theme="1"/>
        <rFont val="맑은 고딕"/>
        <family val="2"/>
      </rPr>
      <t>월</t>
    </r>
  </si>
  <si>
    <r>
      <rPr>
        <sz val="9"/>
        <color theme="1"/>
        <rFont val="맑은 고딕"/>
        <family val="2"/>
      </rPr>
      <t>최신</t>
    </r>
    <r>
      <rPr>
        <sz val="9"/>
        <color theme="1"/>
        <rFont val="Calibri"/>
        <family val="2"/>
      </rPr>
      <t xml:space="preserve"> </t>
    </r>
    <r>
      <rPr>
        <sz val="9"/>
        <color theme="1"/>
        <rFont val="맑은 고딕"/>
        <family val="2"/>
      </rPr>
      <t>버전</t>
    </r>
  </si>
  <si>
    <r>
      <rPr>
        <sz val="9"/>
        <color theme="1"/>
        <rFont val="맑은 고딕"/>
        <family val="2"/>
      </rPr>
      <t>다음</t>
    </r>
    <r>
      <rPr>
        <sz val="9"/>
        <color theme="1"/>
        <rFont val="Calibri"/>
        <family val="2"/>
      </rPr>
      <t xml:space="preserve"> &gt;&gt;</t>
    </r>
  </si>
  <si>
    <r>
      <t>Calendar sheet</t>
    </r>
    <r>
      <rPr>
        <sz val="9"/>
        <color theme="1"/>
        <rFont val="맑은 고딕"/>
        <family val="2"/>
      </rPr>
      <t>에</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필요</t>
    </r>
    <r>
      <rPr>
        <sz val="9"/>
        <color theme="1"/>
        <rFont val="Calibri"/>
        <family val="2"/>
      </rPr>
      <t xml:space="preserve"> </t>
    </r>
    <r>
      <rPr>
        <sz val="9"/>
        <color theme="1"/>
        <rFont val="맑은 고딕"/>
        <family val="2"/>
      </rPr>
      <t>없음</t>
    </r>
  </si>
  <si>
    <r>
      <rPr>
        <sz val="9"/>
        <color theme="1"/>
        <rFont val="맑은 고딕"/>
        <family val="2"/>
      </rPr>
      <t>일정변경</t>
    </r>
    <r>
      <rPr>
        <sz val="9"/>
        <color theme="1"/>
        <rFont val="Calibri"/>
        <family val="2"/>
      </rPr>
      <t xml:space="preserve"> </t>
    </r>
    <r>
      <rPr>
        <sz val="9"/>
        <color theme="1"/>
        <rFont val="맑은 고딕"/>
        <family val="2"/>
      </rPr>
      <t>관리</t>
    </r>
    <r>
      <rPr>
        <sz val="9"/>
        <color theme="1"/>
        <rFont val="Calibri"/>
        <family val="2"/>
      </rPr>
      <t xml:space="preserve"> </t>
    </r>
    <r>
      <rPr>
        <sz val="9"/>
        <color theme="1"/>
        <rFont val="맑은 고딕"/>
        <family val="2"/>
      </rPr>
      <t>안함</t>
    </r>
    <r>
      <rPr>
        <sz val="9"/>
        <color theme="1"/>
        <rFont val="Calibri"/>
        <family val="2"/>
      </rPr>
      <t>(</t>
    </r>
    <r>
      <rPr>
        <sz val="9"/>
        <color theme="1"/>
        <rFont val="맑은 고딕"/>
        <family val="2"/>
      </rPr>
      <t>시작일</t>
    </r>
    <r>
      <rPr>
        <sz val="9"/>
        <color theme="1"/>
        <rFont val="Calibri"/>
        <family val="2"/>
      </rPr>
      <t>/</t>
    </r>
    <r>
      <rPr>
        <sz val="9"/>
        <color theme="1"/>
        <rFont val="맑은 고딕"/>
        <family val="2"/>
      </rPr>
      <t>완료일만</t>
    </r>
    <r>
      <rPr>
        <sz val="9"/>
        <color theme="1"/>
        <rFont val="Calibri"/>
        <family val="2"/>
      </rPr>
      <t xml:space="preserve"> </t>
    </r>
    <r>
      <rPr>
        <sz val="9"/>
        <color theme="1"/>
        <rFont val="맑은 고딕"/>
        <family val="2"/>
      </rPr>
      <t>사용</t>
    </r>
    <r>
      <rPr>
        <sz val="9"/>
        <color theme="1"/>
        <rFont val="Calibri"/>
        <family val="2"/>
      </rPr>
      <t>)</t>
    </r>
  </si>
  <si>
    <r>
      <rPr>
        <sz val="9"/>
        <color theme="1"/>
        <rFont val="맑은 고딕"/>
        <family val="2"/>
      </rPr>
      <t>지정하지</t>
    </r>
    <r>
      <rPr>
        <sz val="9"/>
        <color theme="1"/>
        <rFont val="Calibri"/>
        <family val="2"/>
      </rPr>
      <t xml:space="preserve"> </t>
    </r>
    <r>
      <rPr>
        <sz val="9"/>
        <color theme="1"/>
        <rFont val="맑은 고딕"/>
        <family val="2"/>
      </rPr>
      <t>않음</t>
    </r>
    <r>
      <rPr>
        <sz val="9"/>
        <color theme="1"/>
        <rFont val="Calibri"/>
        <family val="2"/>
      </rPr>
      <t>(</t>
    </r>
    <r>
      <rPr>
        <sz val="9"/>
        <color theme="1"/>
        <rFont val="맑은 고딕"/>
        <family val="2"/>
      </rPr>
      <t>표준캘린더</t>
    </r>
    <r>
      <rPr>
        <sz val="9"/>
        <color theme="1"/>
        <rFont val="Calibri"/>
        <family val="2"/>
      </rPr>
      <t>)</t>
    </r>
  </si>
  <si>
    <r>
      <t>1~2</t>
    </r>
    <r>
      <rPr>
        <sz val="9"/>
        <color theme="1"/>
        <rFont val="맑은 고딕"/>
        <family val="2"/>
      </rPr>
      <t>행</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한</t>
    </r>
    <r>
      <rPr>
        <sz val="9"/>
        <color theme="1"/>
        <rFont val="Calibri"/>
        <family val="2"/>
      </rPr>
      <t xml:space="preserve"> </t>
    </r>
    <r>
      <rPr>
        <sz val="9"/>
        <color theme="1"/>
        <rFont val="맑은 고딕"/>
        <family val="2"/>
      </rPr>
      <t>행이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작업하십시오</t>
    </r>
    <r>
      <rPr>
        <sz val="9"/>
        <color theme="1"/>
        <rFont val="Calibri"/>
        <family val="2"/>
      </rPr>
      <t>.</t>
    </r>
  </si>
  <si>
    <r>
      <t>"</t>
    </r>
    <r>
      <rPr>
        <sz val="9"/>
        <color theme="1"/>
        <rFont val="맑은 고딕"/>
        <family val="2"/>
      </rPr>
      <t>같은</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선택했으면</t>
    </r>
    <r>
      <rPr>
        <sz val="9"/>
        <color theme="1"/>
        <rFont val="Calibri"/>
        <family val="2"/>
      </rPr>
      <t xml:space="preserve"> WBS No. </t>
    </r>
    <r>
      <rPr>
        <sz val="9"/>
        <color theme="1"/>
        <rFont val="맑은 고딕"/>
        <family val="2"/>
      </rPr>
      <t>또는</t>
    </r>
    <r>
      <rPr>
        <sz val="9"/>
        <color theme="1"/>
        <rFont val="Calibri"/>
        <family val="2"/>
      </rPr>
      <t xml:space="preserve"> </t>
    </r>
    <r>
      <rPr>
        <sz val="9"/>
        <color theme="1"/>
        <rFont val="맑은 고딕"/>
        <family val="2"/>
      </rPr>
      <t>개요수준</t>
    </r>
    <r>
      <rPr>
        <sz val="9"/>
        <color theme="1"/>
        <rFont val="Calibri"/>
        <family val="2"/>
      </rPr>
      <t xml:space="preserve">(WBS Level) </t>
    </r>
    <r>
      <rPr>
        <sz val="9"/>
        <color theme="1"/>
        <rFont val="맑은 고딕"/>
        <family val="2"/>
      </rPr>
      <t>필드</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하나는</t>
    </r>
    <r>
      <rPr>
        <sz val="9"/>
        <color theme="1"/>
        <rFont val="Calibri"/>
        <family val="2"/>
      </rPr>
      <t xml:space="preserve"> </t>
    </r>
    <r>
      <rPr>
        <sz val="9"/>
        <color theme="1"/>
        <rFont val="맑은 고딕"/>
        <family val="2"/>
      </rPr>
      <t>선택되어야</t>
    </r>
    <r>
      <rPr>
        <sz val="9"/>
        <color theme="1"/>
        <rFont val="Calibri"/>
        <family val="2"/>
      </rPr>
      <t xml:space="preserve"> </t>
    </r>
    <r>
      <rPr>
        <sz val="9"/>
        <color theme="1"/>
        <rFont val="맑은 고딕"/>
        <family val="2"/>
      </rPr>
      <t>합니다</t>
    </r>
  </si>
  <si>
    <r>
      <rPr>
        <sz val="9"/>
        <color theme="1"/>
        <rFont val="맑은 고딕"/>
        <family val="2"/>
      </rPr>
      <t>산출물</t>
    </r>
    <r>
      <rPr>
        <sz val="9"/>
        <color theme="1"/>
        <rFont val="Calibri"/>
        <family val="2"/>
      </rPr>
      <t xml:space="preserve"> </t>
    </r>
    <r>
      <rPr>
        <sz val="9"/>
        <color theme="1"/>
        <rFont val="맑은 고딕"/>
        <family val="2"/>
      </rPr>
      <t>열기</t>
    </r>
  </si>
  <si>
    <r>
      <rPr>
        <sz val="9"/>
        <color theme="1"/>
        <rFont val="맑은 고딕"/>
        <family val="2"/>
      </rPr>
      <t>산출물</t>
    </r>
    <r>
      <rPr>
        <sz val="9"/>
        <color theme="1"/>
        <rFont val="Calibri"/>
        <family val="2"/>
      </rPr>
      <t xml:space="preserve"> </t>
    </r>
    <r>
      <rPr>
        <sz val="9"/>
        <color theme="1"/>
        <rFont val="맑은 고딕"/>
        <family val="2"/>
      </rPr>
      <t>폴더</t>
    </r>
    <r>
      <rPr>
        <sz val="9"/>
        <color theme="1"/>
        <rFont val="Calibri"/>
        <family val="2"/>
      </rPr>
      <t xml:space="preserve"> </t>
    </r>
    <r>
      <rPr>
        <sz val="9"/>
        <color theme="1"/>
        <rFont val="맑은 고딕"/>
        <family val="2"/>
      </rPr>
      <t>열기</t>
    </r>
  </si>
  <si>
    <r>
      <rPr>
        <sz val="9"/>
        <color theme="1"/>
        <rFont val="맑은 고딕"/>
        <family val="2"/>
      </rPr>
      <t>작업레벨</t>
    </r>
    <r>
      <rPr>
        <sz val="9"/>
        <color theme="1"/>
        <rFont val="Calibri"/>
        <family val="2"/>
      </rPr>
      <t xml:space="preserve"> </t>
    </r>
    <r>
      <rPr>
        <sz val="9"/>
        <color theme="1"/>
        <rFont val="맑은 고딕"/>
        <family val="2"/>
      </rPr>
      <t>올림</t>
    </r>
  </si>
  <si>
    <r>
      <rPr>
        <sz val="9"/>
        <color theme="1"/>
        <rFont val="맑은 고딕"/>
        <family val="2"/>
      </rPr>
      <t>퍼센트</t>
    </r>
    <r>
      <rPr>
        <sz val="9"/>
        <color theme="1"/>
        <rFont val="Calibri"/>
        <family val="2"/>
      </rPr>
      <t xml:space="preserve"> </t>
    </r>
    <r>
      <rPr>
        <sz val="9"/>
        <color theme="1"/>
        <rFont val="맑은 고딕"/>
        <family val="2"/>
      </rPr>
      <t>지정</t>
    </r>
  </si>
  <si>
    <r>
      <rPr>
        <sz val="9"/>
        <color theme="1"/>
        <rFont val="맑은 고딕"/>
        <family val="2"/>
      </rPr>
      <t>진척작업량</t>
    </r>
    <r>
      <rPr>
        <sz val="9"/>
        <color theme="1"/>
        <rFont val="Calibri"/>
        <family val="2"/>
      </rPr>
      <t>( C )\nMan-day</t>
    </r>
  </si>
  <si>
    <r>
      <rPr>
        <sz val="9"/>
        <color theme="1"/>
        <rFont val="맑은 고딕"/>
        <family val="2"/>
      </rPr>
      <t>계획일정대비</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</si>
  <si>
    <r>
      <rPr>
        <sz val="9"/>
        <color theme="1"/>
        <rFont val="맑은 고딕"/>
        <family val="2"/>
      </rPr>
      <t>일정변경관리</t>
    </r>
    <r>
      <rPr>
        <sz val="9"/>
        <color theme="1"/>
        <rFont val="Calibri"/>
        <family val="2"/>
      </rPr>
      <t xml:space="preserve"> </t>
    </r>
    <r>
      <rPr>
        <sz val="9"/>
        <color theme="1"/>
        <rFont val="맑은 고딕"/>
        <family val="2"/>
      </rPr>
      <t>할때</t>
    </r>
    <r>
      <rPr>
        <sz val="9"/>
        <color theme="1"/>
        <rFont val="Calibri"/>
        <family val="2"/>
      </rPr>
      <t xml:space="preserve"> </t>
    </r>
    <r>
      <rPr>
        <sz val="9"/>
        <color theme="1"/>
        <rFont val="맑은 고딕"/>
        <family val="2"/>
      </rPr>
      <t>계획일정대비</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r>
      <rPr>
        <sz val="9"/>
        <color theme="1"/>
        <rFont val="Calibri"/>
        <family val="2"/>
      </rPr>
      <t>(</t>
    </r>
    <r>
      <rPr>
        <sz val="9"/>
        <color theme="1"/>
        <rFont val="맑은 고딕"/>
        <family val="2"/>
      </rPr>
      <t>총기간</t>
    </r>
    <r>
      <rPr>
        <sz val="9"/>
        <color theme="1"/>
        <rFont val="Calibri"/>
        <family val="2"/>
      </rPr>
      <t xml:space="preserve"> x </t>
    </r>
    <r>
      <rPr>
        <sz val="9"/>
        <color theme="1"/>
        <rFont val="맑은 고딕"/>
        <family val="2"/>
      </rPr>
      <t>총실적진행율</t>
    </r>
    <r>
      <rPr>
        <sz val="9"/>
        <color theme="1"/>
        <rFont val="Calibri"/>
        <family val="2"/>
      </rPr>
      <t>)</t>
    </r>
  </si>
  <si>
    <r>
      <rPr>
        <sz val="9"/>
        <color theme="1"/>
        <rFont val="맑은 고딕"/>
        <family val="2"/>
      </rPr>
      <t>날짜</t>
    </r>
    <r>
      <rPr>
        <sz val="9"/>
        <color theme="1"/>
        <rFont val="Calibri"/>
        <family val="2"/>
      </rPr>
      <t xml:space="preserve"> </t>
    </r>
    <r>
      <rPr>
        <sz val="9"/>
        <color theme="1"/>
        <rFont val="맑은 고딕"/>
        <family val="2"/>
      </rPr>
      <t>선택</t>
    </r>
  </si>
  <si>
    <r>
      <rPr>
        <sz val="9"/>
        <color theme="1"/>
        <rFont val="맑은 고딕"/>
        <family val="2"/>
      </rPr>
      <t>현재날짜까지</t>
    </r>
    <r>
      <rPr>
        <sz val="9"/>
        <color theme="1"/>
        <rFont val="Calibri"/>
        <family val="2"/>
      </rPr>
      <t xml:space="preserve"> </t>
    </r>
    <r>
      <rPr>
        <sz val="9"/>
        <color theme="1"/>
        <rFont val="맑은 고딕"/>
        <family val="2"/>
      </rPr>
      <t>계획된</t>
    </r>
    <r>
      <rPr>
        <sz val="9"/>
        <color theme="1"/>
        <rFont val="Calibri"/>
        <family val="2"/>
      </rPr>
      <t xml:space="preserve"> </t>
    </r>
    <r>
      <rPr>
        <sz val="9"/>
        <color theme="1"/>
        <rFont val="맑은 고딕"/>
        <family val="2"/>
      </rPr>
      <t>진척율</t>
    </r>
    <r>
      <rPr>
        <sz val="9"/>
        <color theme="1"/>
        <rFont val="Calibri"/>
        <family val="2"/>
      </rPr>
      <t>, WBS</t>
    </r>
    <r>
      <rPr>
        <sz val="9"/>
        <color theme="1"/>
        <rFont val="맑은 고딕"/>
        <family val="2"/>
      </rPr>
      <t>의</t>
    </r>
    <r>
      <rPr>
        <sz val="9"/>
        <color theme="1"/>
        <rFont val="Calibri"/>
        <family val="2"/>
      </rPr>
      <t xml:space="preserve"> "</t>
    </r>
    <r>
      <rPr>
        <sz val="9"/>
        <color theme="1"/>
        <rFont val="맑은 고딕"/>
        <family val="2"/>
      </rPr>
      <t>계획진척율</t>
    </r>
    <r>
      <rPr>
        <sz val="9"/>
        <color theme="1"/>
        <rFont val="Calibri"/>
        <family val="2"/>
      </rPr>
      <t>"</t>
    </r>
    <r>
      <rPr>
        <sz val="9"/>
        <color theme="1"/>
        <rFont val="맑은 고딕"/>
        <family val="2"/>
      </rPr>
      <t>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합계</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표시함</t>
    </r>
  </si>
  <si>
    <r>
      <rPr>
        <sz val="9"/>
        <color theme="1"/>
        <rFont val="맑은 고딕"/>
        <family val="2"/>
      </rPr>
      <t>계획</t>
    </r>
    <r>
      <rPr>
        <sz val="9"/>
        <color theme="1"/>
        <rFont val="Calibri"/>
        <family val="2"/>
      </rPr>
      <t xml:space="preserve"> </t>
    </r>
    <r>
      <rPr>
        <sz val="9"/>
        <color theme="1"/>
        <rFont val="맑은 고딕"/>
        <family val="2"/>
      </rPr>
      <t>진척율</t>
    </r>
    <r>
      <rPr>
        <sz val="9"/>
        <color theme="1"/>
        <rFont val="Calibri"/>
        <family val="2"/>
      </rPr>
      <t>(A)</t>
    </r>
  </si>
  <si>
    <r>
      <rPr>
        <sz val="9"/>
        <color theme="1"/>
        <rFont val="맑은 고딕"/>
        <family val="2"/>
      </rPr>
      <t>계획</t>
    </r>
    <r>
      <rPr>
        <sz val="9"/>
        <color theme="1"/>
        <rFont val="Calibri"/>
        <family val="2"/>
      </rPr>
      <t>(B/A)</t>
    </r>
  </si>
  <si>
    <r>
      <rPr>
        <sz val="9"/>
        <color theme="1"/>
        <rFont val="맑은 고딕"/>
        <family val="2"/>
      </rPr>
      <t>계획진척율</t>
    </r>
    <r>
      <rPr>
        <sz val="9"/>
        <color theme="1"/>
        <rFont val="Calibri"/>
        <family val="2"/>
      </rPr>
      <t>(</t>
    </r>
    <r>
      <rPr>
        <sz val="9"/>
        <color theme="1"/>
        <rFont val="맑은 고딕"/>
        <family val="2"/>
      </rPr>
      <t>주별</t>
    </r>
    <r>
      <rPr>
        <sz val="9"/>
        <color theme="1"/>
        <rFont val="Calibri"/>
        <family val="2"/>
      </rPr>
      <t>)</t>
    </r>
  </si>
  <si>
    <r>
      <rPr>
        <sz val="9"/>
        <color theme="1"/>
        <rFont val="맑은 고딕"/>
        <family val="2"/>
      </rPr>
      <t>계획작업량</t>
    </r>
    <r>
      <rPr>
        <sz val="9"/>
        <color theme="1"/>
        <rFont val="Calibri"/>
        <family val="2"/>
      </rPr>
      <t>(B)\nMan-day</t>
    </r>
  </si>
  <si>
    <r>
      <rPr>
        <sz val="9"/>
        <color theme="1"/>
        <rFont val="맑은 고딕"/>
        <family val="2"/>
      </rPr>
      <t>계획</t>
    </r>
    <r>
      <rPr>
        <sz val="9"/>
        <color theme="1"/>
        <rFont val="Calibri"/>
        <family val="2"/>
      </rPr>
      <t xml:space="preserve"> </t>
    </r>
    <r>
      <rPr>
        <sz val="9"/>
        <color theme="1"/>
        <rFont val="맑은 고딕"/>
        <family val="2"/>
      </rPr>
      <t xml:space="preserve">작업량_x000D_
</t>
    </r>
    <r>
      <rPr>
        <sz val="9"/>
        <color theme="1"/>
        <rFont val="Calibri"/>
        <family val="2"/>
      </rPr>
      <t>(</t>
    </r>
    <r>
      <rPr>
        <sz val="9"/>
        <color theme="1"/>
        <rFont val="맑은 고딕"/>
        <family val="2"/>
      </rPr>
      <t>현재일까지</t>
    </r>
    <r>
      <rPr>
        <sz val="9"/>
        <color theme="1"/>
        <rFont val="Calibri"/>
        <family val="2"/>
      </rPr>
      <t xml:space="preserve">ManDay,_x000D_
</t>
    </r>
    <r>
      <rPr>
        <sz val="9"/>
        <color theme="1"/>
        <rFont val="맑은 고딕"/>
        <family val="2"/>
      </rPr>
      <t>가중치</t>
    </r>
    <r>
      <rPr>
        <sz val="9"/>
        <color theme="1"/>
        <rFont val="Calibri"/>
        <family val="2"/>
      </rPr>
      <t xml:space="preserve"> </t>
    </r>
    <r>
      <rPr>
        <sz val="9"/>
        <color theme="1"/>
        <rFont val="맑은 고딕"/>
        <family val="2"/>
      </rPr>
      <t>감안</t>
    </r>
    <r>
      <rPr>
        <sz val="9"/>
        <color theme="1"/>
        <rFont val="Calibri"/>
        <family val="2"/>
      </rPr>
      <t>)</t>
    </r>
  </si>
  <si>
    <r>
      <rPr>
        <sz val="9"/>
        <color theme="1"/>
        <rFont val="맑은 고딕"/>
        <family val="2"/>
      </rPr>
      <t>현재일까지</t>
    </r>
    <r>
      <rPr>
        <sz val="9"/>
        <color theme="1"/>
        <rFont val="Calibri"/>
        <family val="2"/>
      </rPr>
      <t xml:space="preserve"> </t>
    </r>
    <r>
      <rPr>
        <sz val="9"/>
        <color theme="1"/>
        <rFont val="맑은 고딕"/>
        <family val="2"/>
      </rPr>
      <t>계획된</t>
    </r>
    <r>
      <rPr>
        <sz val="9"/>
        <color theme="1"/>
        <rFont val="Calibri"/>
        <family val="2"/>
      </rPr>
      <t xml:space="preserve"> </t>
    </r>
    <r>
      <rPr>
        <sz val="9"/>
        <color theme="1"/>
        <rFont val="맑은 고딕"/>
        <family val="2"/>
      </rPr>
      <t>작업량</t>
    </r>
  </si>
  <si>
    <r>
      <rPr>
        <sz val="9"/>
        <color theme="1"/>
        <rFont val="맑은 고딕"/>
        <family val="2"/>
      </rPr>
      <t>해당작업의</t>
    </r>
    <r>
      <rPr>
        <sz val="9"/>
        <color theme="1"/>
        <rFont val="Calibri"/>
        <family val="2"/>
      </rPr>
      <t xml:space="preserve"> </t>
    </r>
    <r>
      <rPr>
        <sz val="9"/>
        <color theme="1"/>
        <rFont val="맑은 고딕"/>
        <family val="2"/>
      </rPr>
      <t>시작일부터</t>
    </r>
    <r>
      <rPr>
        <sz val="9"/>
        <color theme="1"/>
        <rFont val="Calibri"/>
        <family val="2"/>
      </rPr>
      <t xml:space="preserve"> </t>
    </r>
    <r>
      <rPr>
        <sz val="9"/>
        <color theme="1"/>
        <rFont val="맑은 고딕"/>
        <family val="2"/>
      </rPr>
      <t>현재일까지의</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의미함</t>
    </r>
    <r>
      <rPr>
        <sz val="9"/>
        <color theme="1"/>
        <rFont val="Calibri"/>
        <family val="2"/>
      </rPr>
      <t>(</t>
    </r>
    <r>
      <rPr>
        <sz val="9"/>
        <color theme="1"/>
        <rFont val="맑은 고딕"/>
        <family val="2"/>
      </rPr>
      <t>현재</t>
    </r>
    <r>
      <rPr>
        <sz val="9"/>
        <color theme="1"/>
        <rFont val="Calibri"/>
        <family val="2"/>
      </rPr>
      <t xml:space="preserve"> </t>
    </r>
    <r>
      <rPr>
        <sz val="9"/>
        <color theme="1"/>
        <rFont val="맑은 고딕"/>
        <family val="2"/>
      </rPr>
      <t>날짜까지</t>
    </r>
    <r>
      <rPr>
        <sz val="9"/>
        <color theme="1"/>
        <rFont val="Calibri"/>
        <family val="2"/>
      </rPr>
      <t xml:space="preserve"> </t>
    </r>
    <r>
      <rPr>
        <sz val="9"/>
        <color theme="1"/>
        <rFont val="맑은 고딕"/>
        <family val="2"/>
      </rPr>
      <t>진행되었어야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기간</t>
    </r>
    <r>
      <rPr>
        <sz val="9"/>
        <color theme="1"/>
        <rFont val="Calibri"/>
        <family val="2"/>
      </rPr>
      <t>)</t>
    </r>
  </si>
  <si>
    <r>
      <rPr>
        <sz val="9"/>
        <color theme="1"/>
        <rFont val="맑은 고딕"/>
        <family val="2"/>
      </rPr>
      <t>계획</t>
    </r>
    <r>
      <rPr>
        <sz val="9"/>
        <color theme="1"/>
        <rFont val="Calibri"/>
        <family val="2"/>
      </rPr>
      <t>\n</t>
    </r>
    <r>
      <rPr>
        <sz val="9"/>
        <color theme="1"/>
        <rFont val="맑은 고딕"/>
        <family val="2"/>
      </rPr>
      <t>작업량</t>
    </r>
  </si>
  <si>
    <r>
      <rPr>
        <sz val="9"/>
        <color theme="1"/>
        <rFont val="맑은 고딕"/>
        <family val="2"/>
      </rPr>
      <t>작업필드의</t>
    </r>
    <r>
      <rPr>
        <sz val="9"/>
        <color theme="1"/>
        <rFont val="Calibri"/>
        <family val="2"/>
      </rPr>
      <t xml:space="preserve"> </t>
    </r>
    <r>
      <rPr>
        <sz val="9"/>
        <color theme="1"/>
        <rFont val="맑은 고딕"/>
        <family val="2"/>
      </rPr>
      <t>유형을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</si>
  <si>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확장자명을</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</si>
  <si>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산출물이</t>
    </r>
    <r>
      <rPr>
        <sz val="9"/>
        <color theme="1"/>
        <rFont val="Calibri"/>
        <family val="2"/>
      </rPr>
      <t xml:space="preserve"> </t>
    </r>
    <r>
      <rPr>
        <sz val="9"/>
        <color theme="1"/>
        <rFont val="맑은 고딕"/>
        <family val="2"/>
      </rPr>
      <t>저장될</t>
    </r>
    <r>
      <rPr>
        <sz val="9"/>
        <color theme="1"/>
        <rFont val="Calibri"/>
        <family val="2"/>
      </rPr>
      <t xml:space="preserve"> </t>
    </r>
    <r>
      <rPr>
        <sz val="9"/>
        <color theme="1"/>
        <rFont val="맑은 고딕"/>
        <family val="2"/>
      </rPr>
      <t>특정경로를</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</si>
  <si>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프로그램</t>
    </r>
    <r>
      <rPr>
        <sz val="9"/>
        <color theme="1"/>
        <rFont val="Calibri"/>
        <family val="2"/>
      </rPr>
      <t xml:space="preserve"> </t>
    </r>
    <r>
      <rPr>
        <sz val="9"/>
        <color theme="1"/>
        <rFont val="맑은 고딕"/>
        <family val="2"/>
      </rPr>
      <t>실행경로를</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</si>
  <si>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이</t>
    </r>
    <r>
      <rPr>
        <sz val="9"/>
        <color theme="1"/>
        <rFont val="Calibri"/>
        <family val="2"/>
      </rPr>
      <t xml:space="preserve"> Sheet</t>
    </r>
    <r>
      <rPr>
        <sz val="9"/>
        <color theme="1"/>
        <rFont val="맑은 고딕"/>
        <family val="2"/>
      </rPr>
      <t>에서</t>
    </r>
    <r>
      <rPr>
        <sz val="9"/>
        <color theme="1"/>
        <rFont val="Calibri"/>
        <family val="2"/>
      </rPr>
      <t xml:space="preserve"> </t>
    </r>
    <r>
      <rPr>
        <sz val="9"/>
        <color theme="1"/>
        <rFont val="맑은 고딕"/>
        <family val="2"/>
      </rPr>
      <t>프로젝트</t>
    </r>
    <r>
      <rPr>
        <sz val="9"/>
        <color theme="1"/>
        <rFont val="Calibri"/>
        <family val="2"/>
      </rPr>
      <t xml:space="preserve"> Calendar</t>
    </r>
    <r>
      <rPr>
        <sz val="9"/>
        <color theme="1"/>
        <rFont val="맑은 고딕"/>
        <family val="2"/>
      </rPr>
      <t>를</t>
    </r>
    <r>
      <rPr>
        <sz val="9"/>
        <color theme="1"/>
        <rFont val="Calibri"/>
        <family val="2"/>
      </rPr>
      <t xml:space="preserve"> </t>
    </r>
    <r>
      <rPr>
        <sz val="9"/>
        <color theme="1"/>
        <rFont val="맑은 고딕"/>
        <family val="2"/>
      </rPr>
      <t>설정하세요</t>
    </r>
    <r>
      <rPr>
        <sz val="9"/>
        <color theme="1"/>
        <rFont val="Calibri"/>
        <family val="2"/>
      </rPr>
      <t>.</t>
    </r>
  </si>
  <si>
    <r>
      <rPr>
        <sz val="9"/>
        <color theme="1"/>
        <rFont val="맑은 고딕"/>
        <family val="2"/>
      </rPr>
      <t>양수이면</t>
    </r>
    <r>
      <rPr>
        <sz val="9"/>
        <color theme="1"/>
        <rFont val="Calibri"/>
        <family val="2"/>
      </rPr>
      <t xml:space="preserve"> </t>
    </r>
    <r>
      <rPr>
        <sz val="9"/>
        <color theme="1"/>
        <rFont val="맑은 고딕"/>
        <family val="2"/>
      </rPr>
      <t>계획보다</t>
    </r>
    <r>
      <rPr>
        <sz val="9"/>
        <color theme="1"/>
        <rFont val="Calibri"/>
        <family val="2"/>
      </rPr>
      <t xml:space="preserve"> </t>
    </r>
    <r>
      <rPr>
        <sz val="9"/>
        <color theme="1"/>
        <rFont val="맑은 고딕"/>
        <family val="2"/>
      </rPr>
      <t>빨리</t>
    </r>
    <r>
      <rPr>
        <sz val="9"/>
        <color theme="1"/>
        <rFont val="Calibri"/>
        <family val="2"/>
      </rPr>
      <t xml:space="preserve"> </t>
    </r>
    <r>
      <rPr>
        <sz val="9"/>
        <color theme="1"/>
        <rFont val="맑은 고딕"/>
        <family val="2"/>
      </rPr>
      <t>진행</t>
    </r>
    <r>
      <rPr>
        <sz val="9"/>
        <color theme="1"/>
        <rFont val="Calibri"/>
        <family val="2"/>
      </rPr>
      <t xml:space="preserve">, </t>
    </r>
    <r>
      <rPr>
        <sz val="9"/>
        <color theme="1"/>
        <rFont val="맑은 고딕"/>
        <family val="2"/>
      </rPr>
      <t>음수이면</t>
    </r>
    <r>
      <rPr>
        <sz val="9"/>
        <color theme="1"/>
        <rFont val="Calibri"/>
        <family val="2"/>
      </rPr>
      <t xml:space="preserve"> </t>
    </r>
    <r>
      <rPr>
        <sz val="9"/>
        <color theme="1"/>
        <rFont val="맑은 고딕"/>
        <family val="2"/>
      </rPr>
      <t>지연</t>
    </r>
  </si>
  <si>
    <r>
      <rPr>
        <sz val="9"/>
        <color theme="1"/>
        <rFont val="맑은 고딕"/>
        <family val="2"/>
      </rPr>
      <t>프로그램</t>
    </r>
    <r>
      <rPr>
        <sz val="9"/>
        <color theme="1"/>
        <rFont val="Calibri"/>
        <family val="2"/>
      </rPr>
      <t xml:space="preserve"> </t>
    </r>
    <r>
      <rPr>
        <sz val="9"/>
        <color theme="1"/>
        <rFont val="맑은 고딕"/>
        <family val="2"/>
      </rPr>
      <t>정보</t>
    </r>
  </si>
  <si>
    <r>
      <rPr>
        <sz val="9"/>
        <color theme="1"/>
        <rFont val="맑은 고딕"/>
        <family val="2"/>
      </rPr>
      <t>프로그램</t>
    </r>
    <r>
      <rPr>
        <sz val="9"/>
        <color theme="1"/>
        <rFont val="Calibri"/>
        <family val="2"/>
      </rPr>
      <t xml:space="preserve"> </t>
    </r>
    <r>
      <rPr>
        <sz val="9"/>
        <color theme="1"/>
        <rFont val="맑은 고딕"/>
        <family val="2"/>
      </rPr>
      <t>사이트</t>
    </r>
  </si>
  <si>
    <r>
      <rPr>
        <sz val="9"/>
        <color theme="1"/>
        <rFont val="맑은 고딕"/>
        <family val="2"/>
      </rPr>
      <t>담당별</t>
    </r>
    <r>
      <rPr>
        <sz val="9"/>
        <color theme="1"/>
        <rFont val="Calibri"/>
        <family val="2"/>
      </rPr>
      <t xml:space="preserve"> </t>
    </r>
    <r>
      <rPr>
        <sz val="9"/>
        <color theme="1"/>
        <rFont val="맑은 고딕"/>
        <family val="2"/>
      </rPr>
      <t>진행율</t>
    </r>
  </si>
  <si>
    <r>
      <rPr>
        <sz val="9"/>
        <color theme="1"/>
        <rFont val="맑은 고딕"/>
        <family val="2"/>
      </rPr>
      <t>프로젝트</t>
    </r>
    <r>
      <rPr>
        <sz val="9"/>
        <color theme="1"/>
        <rFont val="Calibri"/>
        <family val="2"/>
      </rPr>
      <t xml:space="preserve"> </t>
    </r>
    <r>
      <rPr>
        <sz val="9"/>
        <color theme="1"/>
        <rFont val="맑은 고딕"/>
        <family val="2"/>
      </rPr>
      <t>정보</t>
    </r>
  </si>
  <si>
    <r>
      <rPr>
        <sz val="9"/>
        <color theme="1"/>
        <rFont val="맑은 고딕"/>
        <family val="2"/>
      </rPr>
      <t>프로젝트</t>
    </r>
    <r>
      <rPr>
        <sz val="9"/>
        <color theme="1"/>
        <rFont val="Calibri"/>
        <family val="2"/>
      </rPr>
      <t xml:space="preserve"> </t>
    </r>
    <r>
      <rPr>
        <sz val="9"/>
        <color theme="1"/>
        <rFont val="맑은 고딕"/>
        <family val="2"/>
      </rPr>
      <t>진행율</t>
    </r>
    <r>
      <rPr>
        <sz val="9"/>
        <color theme="1"/>
        <rFont val="Calibri"/>
        <family val="2"/>
      </rPr>
      <t xml:space="preserve"> - </t>
    </r>
    <r>
      <rPr>
        <sz val="9"/>
        <color theme="1"/>
        <rFont val="맑은 고딕"/>
        <family val="2"/>
      </rPr>
      <t>일정변경</t>
    </r>
    <r>
      <rPr>
        <sz val="9"/>
        <color theme="1"/>
        <rFont val="Calibri"/>
        <family val="2"/>
      </rPr>
      <t xml:space="preserve"> </t>
    </r>
    <r>
      <rPr>
        <sz val="9"/>
        <color theme="1"/>
        <rFont val="맑은 고딕"/>
        <family val="2"/>
      </rPr>
      <t>관리할때</t>
    </r>
  </si>
  <si>
    <r>
      <rPr>
        <sz val="9"/>
        <color theme="1"/>
        <rFont val="맑은 고딕"/>
        <family val="2"/>
      </rPr>
      <t>프로젝트</t>
    </r>
    <r>
      <rPr>
        <sz val="9"/>
        <color theme="1"/>
        <rFont val="Calibri"/>
        <family val="2"/>
      </rPr>
      <t xml:space="preserve"> </t>
    </r>
    <r>
      <rPr>
        <sz val="9"/>
        <color theme="1"/>
        <rFont val="맑은 고딕"/>
        <family val="2"/>
      </rPr>
      <t>진행율</t>
    </r>
    <r>
      <rPr>
        <sz val="9"/>
        <color theme="1"/>
        <rFont val="Calibri"/>
        <family val="2"/>
      </rPr>
      <t xml:space="preserve"> - </t>
    </r>
    <r>
      <rPr>
        <sz val="9"/>
        <color theme="1"/>
        <rFont val="맑은 고딕"/>
        <family val="2"/>
      </rPr>
      <t>일정변경</t>
    </r>
    <r>
      <rPr>
        <sz val="9"/>
        <color theme="1"/>
        <rFont val="Calibri"/>
        <family val="2"/>
      </rPr>
      <t xml:space="preserve"> </t>
    </r>
    <r>
      <rPr>
        <sz val="9"/>
        <color theme="1"/>
        <rFont val="맑은 고딕"/>
        <family val="2"/>
      </rPr>
      <t>관리하지</t>
    </r>
    <r>
      <rPr>
        <sz val="9"/>
        <color theme="1"/>
        <rFont val="Calibri"/>
        <family val="2"/>
      </rPr>
      <t xml:space="preserve"> </t>
    </r>
    <r>
      <rPr>
        <sz val="9"/>
        <color theme="1"/>
        <rFont val="맑은 고딕"/>
        <family val="2"/>
      </rPr>
      <t>않을때</t>
    </r>
  </si>
  <si>
    <r>
      <rPr>
        <sz val="9"/>
        <color theme="1"/>
        <rFont val="맑은 고딕"/>
        <family val="2"/>
      </rPr>
      <t>컴퓨터</t>
    </r>
    <r>
      <rPr>
        <sz val="9"/>
        <color theme="1"/>
        <rFont val="Calibri"/>
        <family val="2"/>
      </rPr>
      <t xml:space="preserve"> O/S</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언어와</t>
    </r>
    <r>
      <rPr>
        <sz val="9"/>
        <color theme="1"/>
        <rFont val="Calibri"/>
        <family val="2"/>
      </rPr>
      <t xml:space="preserve"> </t>
    </r>
    <r>
      <rPr>
        <sz val="9"/>
        <color theme="1"/>
        <rFont val="맑은 고딕"/>
        <family val="2"/>
      </rPr>
      <t>관계없이</t>
    </r>
    <r>
      <rPr>
        <sz val="9"/>
        <color theme="1"/>
        <rFont val="Calibri"/>
        <family val="2"/>
      </rPr>
      <t xml:space="preserve"> </t>
    </r>
    <r>
      <rPr>
        <sz val="9"/>
        <color theme="1"/>
        <rFont val="맑은 고딕"/>
        <family val="2"/>
      </rPr>
      <t>사용자가</t>
    </r>
    <r>
      <rPr>
        <sz val="9"/>
        <color theme="1"/>
        <rFont val="Calibri"/>
        <family val="2"/>
      </rPr>
      <t xml:space="preserve"> </t>
    </r>
    <r>
      <rPr>
        <sz val="9"/>
        <color theme="1"/>
        <rFont val="맑은 고딕"/>
        <family val="2"/>
      </rPr>
      <t>표시할</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직접</t>
    </r>
    <r>
      <rPr>
        <sz val="9"/>
        <color theme="1"/>
        <rFont val="Calibri"/>
        <family val="2"/>
      </rPr>
      <t xml:space="preserve"> </t>
    </r>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_x000D_
</t>
    </r>
    <r>
      <rPr>
        <sz val="9"/>
        <color theme="1"/>
        <rFont val="맑은 고딕"/>
        <family val="2"/>
      </rPr>
      <t>있습니다</t>
    </r>
    <r>
      <rPr>
        <sz val="9"/>
        <color theme="1"/>
        <rFont val="Calibri"/>
        <family val="2"/>
      </rPr>
      <t>.</t>
    </r>
  </si>
  <si>
    <r>
      <rPr>
        <sz val="9"/>
        <color theme="1"/>
        <rFont val="맑은 고딕"/>
        <family val="2"/>
      </rPr>
      <t>릴리즈</t>
    </r>
    <r>
      <rPr>
        <sz val="9"/>
        <color theme="1"/>
        <rFont val="Calibri"/>
        <family val="2"/>
      </rPr>
      <t xml:space="preserve"> </t>
    </r>
    <r>
      <rPr>
        <sz val="9"/>
        <color theme="1"/>
        <rFont val="맑은 고딕"/>
        <family val="2"/>
      </rPr>
      <t>일자</t>
    </r>
  </si>
  <si>
    <r>
      <rPr>
        <sz val="9"/>
        <color theme="1"/>
        <rFont val="맑은 고딕"/>
        <family val="2"/>
      </rPr>
      <t>자원</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담당자</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등의</t>
    </r>
    <r>
      <rPr>
        <sz val="9"/>
        <color theme="1"/>
        <rFont val="Calibri"/>
        <family val="2"/>
      </rPr>
      <t xml:space="preserve"> </t>
    </r>
    <r>
      <rPr>
        <sz val="9"/>
        <color theme="1"/>
        <rFont val="맑은 고딕"/>
        <family val="2"/>
      </rPr>
      <t>이름으로</t>
    </r>
    <r>
      <rPr>
        <sz val="9"/>
        <color theme="1"/>
        <rFont val="Calibri"/>
        <family val="2"/>
      </rPr>
      <t xml:space="preserve"> </t>
    </r>
    <r>
      <rPr>
        <sz val="9"/>
        <color theme="1"/>
        <rFont val="맑은 고딕"/>
        <family val="2"/>
      </rPr>
      <t>불리기도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해당</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담당자를</t>
    </r>
    <r>
      <rPr>
        <sz val="9"/>
        <color theme="1"/>
        <rFont val="Calibri"/>
        <family val="2"/>
      </rPr>
      <t xml:space="preserve"> </t>
    </r>
    <r>
      <rPr>
        <sz val="9"/>
        <color theme="1"/>
        <rFont val="맑은 고딕"/>
        <family val="2"/>
      </rPr>
      <t>표시합니다</t>
    </r>
  </si>
  <si>
    <r>
      <rPr>
        <sz val="9"/>
        <color theme="1"/>
        <rFont val="맑은 고딕"/>
        <family val="2"/>
      </rPr>
      <t>가져온</t>
    </r>
    <r>
      <rPr>
        <sz val="9"/>
        <color theme="1"/>
        <rFont val="Calibri"/>
        <family val="2"/>
      </rPr>
      <t xml:space="preserve"> </t>
    </r>
    <r>
      <rPr>
        <sz val="9"/>
        <color theme="1"/>
        <rFont val="맑은 고딕"/>
        <family val="2"/>
      </rPr>
      <t>자료의</t>
    </r>
    <r>
      <rPr>
        <sz val="9"/>
        <color theme="1"/>
        <rFont val="Calibri"/>
        <family val="2"/>
      </rPr>
      <t xml:space="preserve"> </t>
    </r>
    <r>
      <rPr>
        <sz val="9"/>
        <color theme="1"/>
        <rFont val="맑은 고딕"/>
        <family val="2"/>
      </rPr>
      <t>행수</t>
    </r>
    <r>
      <rPr>
        <sz val="9"/>
        <color theme="1"/>
        <rFont val="Calibri"/>
        <family val="2"/>
      </rPr>
      <t xml:space="preserve"> : </t>
    </r>
  </si>
  <si>
    <r>
      <t>File</t>
    </r>
    <r>
      <rPr>
        <sz val="9"/>
        <color theme="1"/>
        <rFont val="맑은 고딕"/>
        <family val="2"/>
      </rPr>
      <t>저장시</t>
    </r>
    <r>
      <rPr>
        <sz val="9"/>
        <color theme="1"/>
        <rFont val="Calibri"/>
        <family val="2"/>
      </rPr>
      <t xml:space="preserve"> WBS Update</t>
    </r>
    <r>
      <rPr>
        <sz val="9"/>
        <color theme="1"/>
        <rFont val="맑은 고딕"/>
        <family val="2"/>
      </rPr>
      <t>실행</t>
    </r>
  </si>
  <si>
    <r>
      <rPr>
        <sz val="9"/>
        <color theme="1"/>
        <rFont val="맑은 고딕"/>
        <family val="2"/>
      </rPr>
      <t>일정계획</t>
    </r>
    <r>
      <rPr>
        <sz val="9"/>
        <color theme="1"/>
        <rFont val="Calibri"/>
        <family val="2"/>
      </rPr>
      <t xml:space="preserve"> </t>
    </r>
    <r>
      <rPr>
        <sz val="9"/>
        <color theme="1"/>
        <rFont val="맑은 고딕"/>
        <family val="2"/>
      </rPr>
      <t>변경관리</t>
    </r>
  </si>
  <si>
    <r>
      <rPr>
        <sz val="9"/>
        <color theme="1"/>
        <rFont val="맑은 고딕"/>
        <family val="2"/>
      </rPr>
      <t>스케줄업데이트</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완료되었습니다</t>
    </r>
    <r>
      <rPr>
        <sz val="9"/>
        <color theme="1"/>
        <rFont val="Calibri"/>
        <family val="2"/>
      </rPr>
      <t>.</t>
    </r>
  </si>
  <si>
    <r>
      <rPr>
        <sz val="9"/>
        <color theme="1"/>
        <rFont val="맑은 고딕"/>
        <family val="2"/>
      </rPr>
      <t>차이</t>
    </r>
    <r>
      <rPr>
        <sz val="9"/>
        <color theme="1"/>
        <rFont val="Calibri"/>
        <family val="2"/>
      </rPr>
      <t>(B-A)</t>
    </r>
  </si>
  <si>
    <r>
      <rPr>
        <sz val="9"/>
        <color theme="1"/>
        <rFont val="맑은 고딕"/>
        <family val="2"/>
      </rPr>
      <t>가져올</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선택하세요</t>
    </r>
    <r>
      <rPr>
        <sz val="9"/>
        <color theme="1"/>
        <rFont val="Calibri"/>
        <family val="2"/>
      </rPr>
      <t>(</t>
    </r>
    <r>
      <rPr>
        <sz val="9"/>
        <color theme="1"/>
        <rFont val="맑은 고딕"/>
        <family val="2"/>
      </rPr>
      <t>다중선택가능</t>
    </r>
    <r>
      <rPr>
        <sz val="9"/>
        <color theme="1"/>
        <rFont val="Calibri"/>
        <family val="2"/>
      </rPr>
      <t>)</t>
    </r>
  </si>
  <si>
    <r>
      <t>Task</t>
    </r>
    <r>
      <rPr>
        <sz val="9"/>
        <color theme="1"/>
        <rFont val="맑은 고딕"/>
        <family val="2"/>
      </rPr>
      <t>의</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시작일과</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기간으로</t>
    </r>
    <r>
      <rPr>
        <sz val="9"/>
        <color theme="1"/>
        <rFont val="Calibri"/>
        <family val="2"/>
      </rPr>
      <t xml:space="preserve"> </t>
    </r>
    <r>
      <rPr>
        <sz val="9"/>
        <color theme="1"/>
        <rFont val="맑은 고딕"/>
        <family val="2"/>
      </rPr>
      <t>자동설정</t>
    </r>
  </si>
  <si>
    <r>
      <rPr>
        <sz val="9"/>
        <color theme="1"/>
        <rFont val="맑은 고딕"/>
        <family val="2"/>
      </rPr>
      <t>작업명으로</t>
    </r>
    <r>
      <rPr>
        <sz val="9"/>
        <color theme="1"/>
        <rFont val="Calibri"/>
        <family val="2"/>
      </rPr>
      <t xml:space="preserve"> </t>
    </r>
    <r>
      <rPr>
        <sz val="9"/>
        <color theme="1"/>
        <rFont val="맑은 고딕"/>
        <family val="2"/>
      </rPr>
      <t>경로</t>
    </r>
    <r>
      <rPr>
        <sz val="9"/>
        <color theme="1"/>
        <rFont val="Calibri"/>
        <family val="2"/>
      </rPr>
      <t xml:space="preserve"> </t>
    </r>
    <r>
      <rPr>
        <sz val="9"/>
        <color theme="1"/>
        <rFont val="맑은 고딕"/>
        <family val="2"/>
      </rPr>
      <t>자동지정</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자동지정된</t>
    </r>
    <r>
      <rPr>
        <sz val="9"/>
        <color theme="1"/>
        <rFont val="Calibri"/>
        <family val="2"/>
      </rPr>
      <t xml:space="preserve"> </t>
    </r>
    <r>
      <rPr>
        <sz val="9"/>
        <color theme="1"/>
        <rFont val="맑은 고딕"/>
        <family val="2"/>
      </rPr>
      <t>경로의</t>
    </r>
    <r>
      <rPr>
        <sz val="9"/>
        <color theme="1"/>
        <rFont val="Calibri"/>
        <family val="2"/>
      </rPr>
      <t xml:space="preserve"> </t>
    </r>
    <r>
      <rPr>
        <sz val="9"/>
        <color theme="1"/>
        <rFont val="맑은 고딕"/>
        <family val="2"/>
      </rPr>
      <t>상위경로를</t>
    </r>
    <r>
      <rPr>
        <sz val="9"/>
        <color theme="1"/>
        <rFont val="Calibri"/>
        <family val="2"/>
      </rPr>
      <t xml:space="preserve"> </t>
    </r>
    <r>
      <rPr>
        <sz val="9"/>
        <color theme="1"/>
        <rFont val="맑은 고딕"/>
        <family val="2"/>
      </rPr>
      <t>입력</t>
    </r>
    <r>
      <rPr>
        <sz val="9"/>
        <color theme="1"/>
        <rFont val="Calibri"/>
        <family val="2"/>
      </rPr>
      <t xml:space="preserve">) </t>
    </r>
  </si>
  <si>
    <r>
      <rPr>
        <sz val="9"/>
        <color theme="1"/>
        <rFont val="맑은 고딕"/>
        <family val="2"/>
      </rPr>
      <t>산출물열기</t>
    </r>
    <r>
      <rPr>
        <sz val="9"/>
        <color theme="1"/>
        <rFont val="Calibri"/>
        <family val="2"/>
      </rPr>
      <t xml:space="preserve"> </t>
    </r>
    <r>
      <rPr>
        <sz val="9"/>
        <color theme="1"/>
        <rFont val="맑은 고딕"/>
        <family val="2"/>
      </rPr>
      <t>프로그램</t>
    </r>
    <r>
      <rPr>
        <sz val="9"/>
        <color theme="1"/>
        <rFont val="Calibri"/>
        <family val="2"/>
      </rPr>
      <t xml:space="preserve"> </t>
    </r>
    <r>
      <rPr>
        <sz val="9"/>
        <color theme="1"/>
        <rFont val="맑은 고딕"/>
        <family val="2"/>
      </rPr>
      <t>실행경로</t>
    </r>
    <r>
      <rPr>
        <sz val="9"/>
        <color theme="1"/>
        <rFont val="Calibri"/>
        <family val="2"/>
      </rPr>
      <t xml:space="preserve"> </t>
    </r>
    <r>
      <rPr>
        <sz val="9"/>
        <color theme="1"/>
        <rFont val="맑은 고딕"/>
        <family val="2"/>
      </rPr>
      <t>지정</t>
    </r>
  </si>
  <si>
    <r>
      <rPr>
        <sz val="9"/>
        <color theme="1"/>
        <rFont val="맑은 고딕"/>
        <family val="2"/>
      </rPr>
      <t>산출물</t>
    </r>
    <r>
      <rPr>
        <sz val="9"/>
        <color theme="1"/>
        <rFont val="Calibri"/>
        <family val="2"/>
      </rPr>
      <t xml:space="preserve"> </t>
    </r>
    <r>
      <rPr>
        <sz val="9"/>
        <color theme="1"/>
        <rFont val="맑은 고딕"/>
        <family val="2"/>
      </rPr>
      <t>저장경로</t>
    </r>
  </si>
  <si>
    <r>
      <rPr>
        <sz val="9"/>
        <color theme="1"/>
        <rFont val="맑은 고딕"/>
        <family val="2"/>
      </rPr>
      <t>특정</t>
    </r>
    <r>
      <rPr>
        <sz val="9"/>
        <color theme="1"/>
        <rFont val="Calibri"/>
        <family val="2"/>
      </rPr>
      <t xml:space="preserve"> </t>
    </r>
    <r>
      <rPr>
        <sz val="9"/>
        <color theme="1"/>
        <rFont val="맑은 고딕"/>
        <family val="2"/>
      </rPr>
      <t>경로</t>
    </r>
  </si>
  <si>
    <r>
      <rPr>
        <sz val="9"/>
        <color theme="1"/>
        <rFont val="맑은 고딕"/>
        <family val="2"/>
      </rPr>
      <t>별</t>
    </r>
    <r>
      <rPr>
        <sz val="9"/>
        <color theme="1"/>
        <rFont val="Calibri"/>
        <family val="2"/>
      </rPr>
      <t>(*)</t>
    </r>
    <r>
      <rPr>
        <sz val="9"/>
        <color theme="1"/>
        <rFont val="맑은 고딕"/>
        <family val="2"/>
      </rPr>
      <t>표시는</t>
    </r>
    <r>
      <rPr>
        <sz val="9"/>
        <color theme="1"/>
        <rFont val="Calibri"/>
        <family val="2"/>
      </rPr>
      <t xml:space="preserve"> </t>
    </r>
    <r>
      <rPr>
        <sz val="9"/>
        <color theme="1"/>
        <rFont val="맑은 고딕"/>
        <family val="2"/>
      </rPr>
      <t>필수입력</t>
    </r>
    <r>
      <rPr>
        <sz val="9"/>
        <color theme="1"/>
        <rFont val="Calibri"/>
        <family val="2"/>
      </rPr>
      <t xml:space="preserve">, </t>
    </r>
    <r>
      <rPr>
        <sz val="9"/>
        <color theme="1"/>
        <rFont val="맑은 고딕"/>
        <family val="2"/>
      </rPr>
      <t>주황색열은</t>
    </r>
    <r>
      <rPr>
        <sz val="9"/>
        <color theme="1"/>
        <rFont val="Calibri"/>
        <family val="2"/>
      </rPr>
      <t xml:space="preserve"> </t>
    </r>
    <r>
      <rPr>
        <sz val="9"/>
        <color theme="1"/>
        <rFont val="맑은 고딕"/>
        <family val="2"/>
      </rPr>
      <t>자동계산</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</si>
  <si>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시작일을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</si>
  <si>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작업시작일의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</si>
  <si>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시작일자에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</si>
  <si>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시작일</t>
    </r>
    <r>
      <rPr>
        <sz val="9"/>
        <color theme="1"/>
        <rFont val="Calibri"/>
        <family val="2"/>
      </rPr>
      <t>-</t>
    </r>
    <r>
      <rPr>
        <sz val="9"/>
        <color theme="1"/>
        <rFont val="맑은 고딕"/>
        <family val="2"/>
      </rPr>
      <t>완료일</t>
    </r>
  </si>
  <si>
    <r>
      <rPr>
        <sz val="9"/>
        <color theme="1"/>
        <rFont val="맑은 고딕"/>
        <family val="2"/>
      </rPr>
      <t>작업영역이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 xml:space="preserve">. </t>
    </r>
    <r>
      <rPr>
        <sz val="9"/>
        <color theme="1"/>
        <rFont val="맑은 고딕"/>
        <family val="2"/>
      </rPr>
      <t>영역을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</si>
  <si>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작업명</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이름</t>
    </r>
    <r>
      <rPr>
        <sz val="9"/>
        <color theme="1"/>
        <rFont val="Calibri"/>
        <family val="2"/>
      </rPr>
      <t>, Task, Activity</t>
    </r>
    <r>
      <rPr>
        <sz val="9"/>
        <color theme="1"/>
        <rFont val="맑은 고딕"/>
        <family val="2"/>
      </rPr>
      <t>등</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이름으로</t>
    </r>
    <r>
      <rPr>
        <sz val="9"/>
        <color theme="1"/>
        <rFont val="Calibri"/>
        <family val="2"/>
      </rPr>
      <t xml:space="preserve"> </t>
    </r>
    <r>
      <rPr>
        <sz val="9"/>
        <color theme="1"/>
        <rFont val="맑은 고딕"/>
        <family val="2"/>
      </rPr>
      <t>불리기도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에</t>
    </r>
    <r>
      <rPr>
        <sz val="9"/>
        <color theme="1"/>
        <rFont val="Calibri"/>
        <family val="2"/>
      </rPr>
      <t xml:space="preserve"> </t>
    </r>
    <r>
      <rPr>
        <sz val="9"/>
        <color theme="1"/>
        <rFont val="맑은 고딕"/>
        <family val="2"/>
      </rPr>
      <t>따라</t>
    </r>
    <r>
      <rPr>
        <sz val="9"/>
        <color theme="1"/>
        <rFont val="Calibri"/>
        <family val="2"/>
      </rPr>
      <t xml:space="preserve"> </t>
    </r>
    <r>
      <rPr>
        <sz val="9"/>
        <color theme="1"/>
        <rFont val="맑은 고딕"/>
        <family val="2"/>
      </rPr>
      <t>표시하는</t>
    </r>
    <r>
      <rPr>
        <sz val="9"/>
        <color theme="1"/>
        <rFont val="Calibri"/>
        <family val="2"/>
      </rPr>
      <t xml:space="preserve"> </t>
    </r>
    <r>
      <rPr>
        <sz val="9"/>
        <color theme="1"/>
        <rFont val="맑은 고딕"/>
        <family val="2"/>
      </rPr>
      <t>방식이</t>
    </r>
    <r>
      <rPr>
        <sz val="9"/>
        <color theme="1"/>
        <rFont val="Calibri"/>
        <family val="2"/>
      </rPr>
      <t xml:space="preserve"> </t>
    </r>
    <r>
      <rPr>
        <sz val="9"/>
        <color theme="1"/>
        <rFont val="맑은 고딕"/>
        <family val="2"/>
      </rPr>
      <t>다를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Level</t>
    </r>
    <r>
      <rPr>
        <sz val="9"/>
        <color theme="1"/>
        <rFont val="맑은 고딕"/>
        <family val="2"/>
      </rPr>
      <t>별로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작업명이</t>
    </r>
    <r>
      <rPr>
        <sz val="9"/>
        <color theme="1"/>
        <rFont val="Calibri"/>
        <family val="2"/>
      </rPr>
      <t xml:space="preserve"> </t>
    </r>
    <r>
      <rPr>
        <sz val="9"/>
        <color theme="1"/>
        <rFont val="맑은 고딕"/>
        <family val="2"/>
      </rPr>
      <t>표시되는</t>
    </r>
    <r>
      <rPr>
        <sz val="9"/>
        <color theme="1"/>
        <rFont val="Calibri"/>
        <family val="2"/>
      </rPr>
      <t xml:space="preserve"> </t>
    </r>
    <r>
      <rPr>
        <sz val="9"/>
        <color theme="1"/>
        <rFont val="맑은 고딕"/>
        <family val="2"/>
      </rPr>
      <t>경우에는</t>
    </r>
    <r>
      <rPr>
        <sz val="9"/>
        <color theme="1"/>
        <rFont val="Calibri"/>
        <family val="2"/>
      </rPr>
      <t xml:space="preserve"> 1 Level </t>
    </r>
    <r>
      <rPr>
        <sz val="9"/>
        <color theme="1"/>
        <rFont val="맑은 고딕"/>
        <family val="2"/>
      </rPr>
      <t>필드만</t>
    </r>
    <r>
      <rPr>
        <sz val="9"/>
        <color theme="1"/>
        <rFont val="Calibri"/>
        <family val="2"/>
      </rPr>
      <t xml:space="preserve"> Traget</t>
    </r>
    <r>
      <rPr>
        <sz val="9"/>
        <color theme="1"/>
        <rFont val="맑은 고딕"/>
        <family val="2"/>
      </rPr>
      <t>파일의</t>
    </r>
    <r>
      <rPr>
        <sz val="9"/>
        <color theme="1"/>
        <rFont val="Calibri"/>
        <family val="2"/>
      </rPr>
      <t xml:space="preserve"> "</t>
    </r>
    <r>
      <rPr>
        <sz val="9"/>
        <color theme="1"/>
        <rFont val="맑은 고딕"/>
        <family val="2"/>
      </rPr>
      <t>작업명</t>
    </r>
    <r>
      <rPr>
        <sz val="9"/>
        <color theme="1"/>
        <rFont val="Calibri"/>
        <family val="2"/>
      </rPr>
      <t>"</t>
    </r>
    <r>
      <rPr>
        <sz val="9"/>
        <color theme="1"/>
        <rFont val="맑은 고딕"/>
        <family val="2"/>
      </rPr>
      <t>필드와</t>
    </r>
    <r>
      <rPr>
        <sz val="9"/>
        <color theme="1"/>
        <rFont val="Calibri"/>
        <family val="2"/>
      </rPr>
      <t xml:space="preserve"> Mapping</t>
    </r>
    <r>
      <rPr>
        <sz val="9"/>
        <color theme="1"/>
        <rFont val="맑은 고딕"/>
        <family val="2"/>
      </rPr>
      <t>하면</t>
    </r>
    <r>
      <rPr>
        <sz val="9"/>
        <color theme="1"/>
        <rFont val="Calibri"/>
        <family val="2"/>
      </rPr>
      <t xml:space="preserve"> </t>
    </r>
    <r>
      <rPr>
        <sz val="9"/>
        <color theme="1"/>
        <rFont val="맑은 고딕"/>
        <family val="2"/>
      </rPr>
      <t>됩니다</t>
    </r>
    <r>
      <rPr>
        <sz val="9"/>
        <color theme="1"/>
        <rFont val="Calibri"/>
        <family val="2"/>
      </rPr>
      <t>.</t>
    </r>
  </si>
  <si>
    <r>
      <t>Task(</t>
    </r>
    <r>
      <rPr>
        <sz val="9"/>
        <color theme="1"/>
        <rFont val="맑은 고딕"/>
        <family val="2"/>
      </rPr>
      <t>작업명</t>
    </r>
    <r>
      <rPr>
        <sz val="9"/>
        <color theme="1"/>
        <rFont val="Calibri"/>
        <family val="2"/>
      </rPr>
      <t xml:space="preserve">, </t>
    </r>
    <r>
      <rPr>
        <sz val="9"/>
        <color theme="1"/>
        <rFont val="맑은 고딕"/>
        <family val="2"/>
      </rPr>
      <t>이름</t>
    </r>
    <r>
      <rPr>
        <sz val="9"/>
        <color theme="1"/>
        <rFont val="Calibri"/>
        <family val="2"/>
      </rPr>
      <t xml:space="preserve"> </t>
    </r>
    <r>
      <rPr>
        <sz val="9"/>
        <color theme="1"/>
        <rFont val="맑은 고딕"/>
        <family val="2"/>
      </rPr>
      <t>등</t>
    </r>
    <r>
      <rPr>
        <sz val="9"/>
        <color theme="1"/>
        <rFont val="Calibri"/>
        <family val="2"/>
      </rPr>
      <t>)</t>
    </r>
    <r>
      <rPr>
        <sz val="9"/>
        <color theme="1"/>
        <rFont val="맑은 고딕"/>
        <family val="2"/>
      </rPr>
      <t>는</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입력되어야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</si>
  <si>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실적진척율</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</si>
  <si>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실적진척율이</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</si>
  <si>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실제완료일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</si>
  <si>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실제시작일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</si>
  <si>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실제총기간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</si>
  <si>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실제총작업량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</si>
  <si>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Calendar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</si>
  <si>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산출물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</si>
  <si>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완료일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</si>
  <si>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비고</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</si>
  <si>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</si>
  <si>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</si>
  <si>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</si>
  <si>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담당</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</si>
  <si>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시작일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</si>
  <si>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</si>
  <si>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총기간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</si>
  <si>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총작업량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</si>
  <si>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WBS Level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</si>
  <si>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WBS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</si>
  <si>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가중치</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</si>
  <si>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sheet</t>
    </r>
    <r>
      <rPr>
        <sz val="9"/>
        <color theme="1"/>
        <rFont val="맑은 고딕"/>
        <family val="2"/>
      </rPr>
      <t>가</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r>
      <rPr>
        <sz val="9"/>
        <color theme="1"/>
        <rFont val="Calibri"/>
        <family val="2"/>
      </rPr>
      <t xml:space="preserve">. </t>
    </r>
    <r>
      <rPr>
        <sz val="9"/>
        <color theme="1"/>
        <rFont val="맑은 고딕"/>
        <family val="2"/>
      </rPr>
      <t>이름을</t>
    </r>
    <r>
      <rPr>
        <sz val="9"/>
        <color theme="1"/>
        <rFont val="Calibri"/>
        <family val="2"/>
      </rPr>
      <t xml:space="preserve"> </t>
    </r>
    <r>
      <rPr>
        <sz val="9"/>
        <color theme="1"/>
        <rFont val="맑은 고딕"/>
        <family val="2"/>
      </rPr>
      <t>변경하거나</t>
    </r>
    <r>
      <rPr>
        <sz val="9"/>
        <color theme="1"/>
        <rFont val="Calibri"/>
        <family val="2"/>
      </rPr>
      <t xml:space="preserve"> </t>
    </r>
    <r>
      <rPr>
        <sz val="9"/>
        <color theme="1"/>
        <rFont val="맑은 고딕"/>
        <family val="2"/>
      </rPr>
      <t>삭제했는지</t>
    </r>
    <r>
      <rPr>
        <sz val="9"/>
        <color theme="1"/>
        <rFont val="Calibri"/>
        <family val="2"/>
      </rPr>
      <t xml:space="preserve"> </t>
    </r>
    <r>
      <rPr>
        <sz val="9"/>
        <color theme="1"/>
        <rFont val="맑은 고딕"/>
        <family val="2"/>
      </rPr>
      <t>확인하세요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</si>
  <si>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실제완료일이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</si>
  <si>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비어있고</t>
    </r>
    <r>
      <rPr>
        <sz val="9"/>
        <color theme="1"/>
        <rFont val="Calibri"/>
        <family val="2"/>
      </rPr>
      <t xml:space="preserve"> </t>
    </r>
    <r>
      <rPr>
        <sz val="9"/>
        <color theme="1"/>
        <rFont val="맑은 고딕"/>
        <family val="2"/>
      </rPr>
      <t>실제완료일만</t>
    </r>
    <r>
      <rPr>
        <sz val="9"/>
        <color theme="1"/>
        <rFont val="Calibri"/>
        <family val="2"/>
      </rPr>
      <t xml:space="preserve"> </t>
    </r>
    <r>
      <rPr>
        <sz val="9"/>
        <color theme="1"/>
        <rFont val="맑은 고딕"/>
        <family val="2"/>
      </rPr>
      <t>입력되어</t>
    </r>
    <r>
      <rPr>
        <sz val="9"/>
        <color theme="1"/>
        <rFont val="Calibri"/>
        <family val="2"/>
      </rPr>
      <t xml:space="preserve"> </t>
    </r>
    <r>
      <rPr>
        <sz val="9"/>
        <color theme="1"/>
        <rFont val="맑은 고딕"/>
        <family val="2"/>
      </rPr>
      <t>있습니다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</si>
  <si>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</si>
  <si>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실제완료일보다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</si>
  <si>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</si>
  <si>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실젝</t>
    </r>
    <r>
      <rPr>
        <sz val="9"/>
        <color theme="1"/>
        <rFont val="Calibri"/>
        <family val="2"/>
      </rPr>
      <t xml:space="preserve"> </t>
    </r>
    <r>
      <rPr>
        <sz val="9"/>
        <color theme="1"/>
        <rFont val="맑은 고딕"/>
        <family val="2"/>
      </rPr>
      <t>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</si>
  <si>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</si>
  <si>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날짜는</t>
    </r>
    <r>
      <rPr>
        <sz val="9"/>
        <color theme="1"/>
        <rFont val="Calibri"/>
        <family val="2"/>
      </rPr>
      <t xml:space="preserve"> </t>
    </r>
    <r>
      <rPr>
        <sz val="9"/>
        <color theme="1"/>
        <rFont val="맑은 고딕"/>
        <family val="2"/>
      </rPr>
      <t>입력되었는데</t>
    </r>
    <r>
      <rPr>
        <sz val="9"/>
        <color theme="1"/>
        <rFont val="Calibri"/>
        <family val="2"/>
      </rPr>
      <t xml:space="preserve"> </t>
    </r>
    <r>
      <rPr>
        <sz val="9"/>
        <color theme="1"/>
        <rFont val="맑은 고딕"/>
        <family val="2"/>
      </rPr>
      <t>작업필드가</t>
    </r>
    <r>
      <rPr>
        <sz val="9"/>
        <color theme="1"/>
        <rFont val="Calibri"/>
        <family val="2"/>
      </rPr>
      <t xml:space="preserve"> </t>
    </r>
    <r>
      <rPr>
        <sz val="9"/>
        <color theme="1"/>
        <rFont val="맑은 고딕"/>
        <family val="2"/>
      </rPr>
      <t>비어있습니다</t>
    </r>
    <r>
      <rPr>
        <sz val="9"/>
        <color theme="1"/>
        <rFont val="Calibri"/>
        <family val="2"/>
      </rPr>
      <t>.\n</t>
    </r>
    <r>
      <rPr>
        <sz val="9"/>
        <color theme="1"/>
        <rFont val="맑은 고딕"/>
        <family val="2"/>
      </rPr>
      <t>작업필드의</t>
    </r>
    <r>
      <rPr>
        <sz val="9"/>
        <color theme="1"/>
        <rFont val="Calibri"/>
        <family val="2"/>
      </rPr>
      <t xml:space="preserve"> </t>
    </r>
    <r>
      <rPr>
        <sz val="9"/>
        <color theme="1"/>
        <rFont val="맑은 고딕"/>
        <family val="2"/>
      </rPr>
      <t>값을</t>
    </r>
    <r>
      <rPr>
        <sz val="9"/>
        <color theme="1"/>
        <rFont val="Calibri"/>
        <family val="2"/>
      </rPr>
      <t xml:space="preserve"> </t>
    </r>
    <r>
      <rPr>
        <sz val="9"/>
        <color theme="1"/>
        <rFont val="맑은 고딕"/>
        <family val="2"/>
      </rPr>
      <t>채우거나</t>
    </r>
    <r>
      <rPr>
        <sz val="9"/>
        <color theme="1"/>
        <rFont val="Calibri"/>
        <family val="2"/>
      </rPr>
      <t xml:space="preserve"> </t>
    </r>
    <r>
      <rPr>
        <sz val="9"/>
        <color theme="1"/>
        <rFont val="맑은 고딕"/>
        <family val="2"/>
      </rPr>
      <t>날짜를</t>
    </r>
    <r>
      <rPr>
        <sz val="9"/>
        <color theme="1"/>
        <rFont val="Calibri"/>
        <family val="2"/>
      </rPr>
      <t xml:space="preserve"> </t>
    </r>
    <r>
      <rPr>
        <sz val="9"/>
        <color theme="1"/>
        <rFont val="맑은 고딕"/>
        <family val="2"/>
      </rPr>
      <t>지우세요</t>
    </r>
    <r>
      <rPr>
        <sz val="9"/>
        <color theme="1"/>
        <rFont val="Calibri"/>
        <family val="2"/>
      </rPr>
      <t>.</t>
    </r>
  </si>
  <si>
    <r>
      <rPr>
        <sz val="9"/>
        <color theme="1"/>
        <rFont val="맑은 고딕"/>
        <family val="2"/>
      </rPr>
      <t>산출물명이</t>
    </r>
    <r>
      <rPr>
        <sz val="9"/>
        <color theme="1"/>
        <rFont val="Calibri"/>
        <family val="2"/>
      </rPr>
      <t xml:space="preserve"> </t>
    </r>
    <r>
      <rPr>
        <sz val="9"/>
        <color theme="1"/>
        <rFont val="맑은 고딕"/>
        <family val="2"/>
      </rPr>
      <t>비어있습니다</t>
    </r>
    <r>
      <rPr>
        <sz val="9"/>
        <color theme="1"/>
        <rFont val="Calibri"/>
        <family val="2"/>
      </rPr>
      <t>.</t>
    </r>
  </si>
  <si>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시작일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빠릅니다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</si>
  <si>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</si>
  <si>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Gantt</t>
    </r>
    <r>
      <rPr>
        <sz val="9"/>
        <color theme="1"/>
        <rFont val="맑은 고딕"/>
        <family val="2"/>
      </rPr>
      <t>영역의</t>
    </r>
    <r>
      <rPr>
        <sz val="9"/>
        <color theme="1"/>
        <rFont val="Calibri"/>
        <family val="2"/>
      </rPr>
      <t xml:space="preserve"> </t>
    </r>
    <r>
      <rPr>
        <sz val="9"/>
        <color theme="1"/>
        <rFont val="맑은 고딕"/>
        <family val="2"/>
      </rPr>
      <t>첫번째</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</si>
  <si>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파일은</t>
    </r>
    <r>
      <rPr>
        <sz val="9"/>
        <color theme="1"/>
        <rFont val="Calibri"/>
        <family val="2"/>
      </rPr>
      <t xml:space="preserve"> </t>
    </r>
    <r>
      <rPr>
        <sz val="9"/>
        <color theme="1"/>
        <rFont val="맑은 고딕"/>
        <family val="2"/>
      </rPr>
      <t>지원하지</t>
    </r>
    <r>
      <rPr>
        <sz val="9"/>
        <color theme="1"/>
        <rFont val="Calibri"/>
        <family val="2"/>
      </rPr>
      <t xml:space="preserve"> </t>
    </r>
    <r>
      <rPr>
        <sz val="9"/>
        <color theme="1"/>
        <rFont val="맑은 고딕"/>
        <family val="2"/>
      </rPr>
      <t>않는</t>
    </r>
    <r>
      <rPr>
        <sz val="9"/>
        <color theme="1"/>
        <rFont val="Calibri"/>
        <family val="2"/>
      </rPr>
      <t xml:space="preserve"> </t>
    </r>
    <r>
      <rPr>
        <sz val="9"/>
        <color theme="1"/>
        <rFont val="맑은 고딕"/>
        <family val="2"/>
      </rPr>
      <t>형식입니다</t>
    </r>
    <r>
      <rPr>
        <sz val="9"/>
        <color theme="1"/>
        <rFont val="Calibri"/>
        <family val="2"/>
      </rPr>
      <t xml:space="preserve">. XLGantt Version 0.9.7 </t>
    </r>
    <r>
      <rPr>
        <sz val="9"/>
        <color theme="1"/>
        <rFont val="맑은 고딕"/>
        <family val="2"/>
      </rPr>
      <t>이상</t>
    </r>
    <r>
      <rPr>
        <sz val="9"/>
        <color theme="1"/>
        <rFont val="Calibri"/>
        <family val="2"/>
      </rPr>
      <t xml:space="preserve"> </t>
    </r>
    <r>
      <rPr>
        <sz val="9"/>
        <color theme="1"/>
        <rFont val="맑은 고딕"/>
        <family val="2"/>
      </rPr>
      <t>버전만</t>
    </r>
    <r>
      <rPr>
        <sz val="9"/>
        <color theme="1"/>
        <rFont val="Calibri"/>
        <family val="2"/>
      </rPr>
      <t xml:space="preserve"> </t>
    </r>
    <r>
      <rPr>
        <sz val="9"/>
        <color theme="1"/>
        <rFont val="맑은 고딕"/>
        <family val="2"/>
      </rPr>
      <t>지원합니다</t>
    </r>
    <r>
      <rPr>
        <sz val="9"/>
        <color theme="1"/>
        <rFont val="Calibri"/>
        <family val="2"/>
      </rPr>
      <t>.</t>
    </r>
  </si>
  <si>
    <r>
      <rPr>
        <sz val="9"/>
        <color theme="1"/>
        <rFont val="맑은 고딕"/>
        <family val="2"/>
      </rPr>
      <t>다음의</t>
    </r>
    <r>
      <rPr>
        <sz val="9"/>
        <color theme="1"/>
        <rFont val="Calibri"/>
        <family val="2"/>
      </rPr>
      <t xml:space="preserve"> XLGantt</t>
    </r>
    <r>
      <rPr>
        <sz val="9"/>
        <color theme="1"/>
        <rFont val="맑은 고딕"/>
        <family val="2"/>
      </rPr>
      <t>파일은</t>
    </r>
    <r>
      <rPr>
        <sz val="9"/>
        <color theme="1"/>
        <rFont val="Calibri"/>
        <family val="2"/>
      </rPr>
      <t xml:space="preserve"> </t>
    </r>
    <r>
      <rPr>
        <sz val="9"/>
        <color theme="1"/>
        <rFont val="맑은 고딕"/>
        <family val="2"/>
      </rPr>
      <t>지원하지</t>
    </r>
    <r>
      <rPr>
        <sz val="9"/>
        <color theme="1"/>
        <rFont val="Calibri"/>
        <family val="2"/>
      </rPr>
      <t xml:space="preserve"> </t>
    </r>
    <r>
      <rPr>
        <sz val="9"/>
        <color theme="1"/>
        <rFont val="맑은 고딕"/>
        <family val="2"/>
      </rPr>
      <t>않는</t>
    </r>
    <r>
      <rPr>
        <sz val="9"/>
        <color theme="1"/>
        <rFont val="Calibri"/>
        <family val="2"/>
      </rPr>
      <t xml:space="preserve"> </t>
    </r>
    <r>
      <rPr>
        <sz val="9"/>
        <color theme="1"/>
        <rFont val="맑은 고딕"/>
        <family val="2"/>
      </rPr>
      <t>버전입니다</t>
    </r>
    <r>
      <rPr>
        <sz val="9"/>
        <color theme="1"/>
        <rFont val="Calibri"/>
        <family val="2"/>
      </rPr>
      <t xml:space="preserve">. Version 0.9.7 </t>
    </r>
    <r>
      <rPr>
        <sz val="9"/>
        <color theme="1"/>
        <rFont val="맑은 고딕"/>
        <family val="2"/>
      </rPr>
      <t>이상</t>
    </r>
    <r>
      <rPr>
        <sz val="9"/>
        <color theme="1"/>
        <rFont val="Calibri"/>
        <family val="2"/>
      </rPr>
      <t xml:space="preserve"> </t>
    </r>
    <r>
      <rPr>
        <sz val="9"/>
        <color theme="1"/>
        <rFont val="맑은 고딕"/>
        <family val="2"/>
      </rPr>
      <t>버전만</t>
    </r>
    <r>
      <rPr>
        <sz val="9"/>
        <color theme="1"/>
        <rFont val="Calibri"/>
        <family val="2"/>
      </rPr>
      <t xml:space="preserve"> </t>
    </r>
    <r>
      <rPr>
        <sz val="9"/>
        <color theme="1"/>
        <rFont val="맑은 고딕"/>
        <family val="2"/>
      </rPr>
      <t>지원합니다</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</si>
  <si>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성공적으로</t>
    </r>
    <r>
      <rPr>
        <sz val="9"/>
        <color theme="1"/>
        <rFont val="Calibri"/>
        <family val="2"/>
      </rPr>
      <t xml:space="preserve"> </t>
    </r>
    <r>
      <rPr>
        <sz val="9"/>
        <color theme="1"/>
        <rFont val="맑은 고딕"/>
        <family val="2"/>
      </rPr>
      <t>가져왔습니다</t>
    </r>
    <r>
      <rPr>
        <sz val="9"/>
        <color theme="1"/>
        <rFont val="Calibri"/>
        <family val="2"/>
      </rPr>
      <t>.</t>
    </r>
  </si>
  <si>
    <r>
      <rPr>
        <sz val="9"/>
        <color theme="1"/>
        <rFont val="맑은 고딕"/>
        <family val="2"/>
      </rPr>
      <t>다음의</t>
    </r>
    <r>
      <rPr>
        <sz val="9"/>
        <color theme="1"/>
        <rFont val="Calibri"/>
        <family val="2"/>
      </rPr>
      <t xml:space="preserve"> </t>
    </r>
    <r>
      <rPr>
        <sz val="9"/>
        <color theme="1"/>
        <rFont val="맑은 고딕"/>
        <family val="2"/>
      </rPr>
      <t>폴더가</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</si>
  <si>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</si>
  <si>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</si>
  <si>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</si>
  <si>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작업이</t>
    </r>
    <r>
      <rPr>
        <sz val="9"/>
        <color theme="1"/>
        <rFont val="Calibri"/>
        <family val="2"/>
      </rPr>
      <t xml:space="preserve"> </t>
    </r>
    <r>
      <rPr>
        <sz val="9"/>
        <color theme="1"/>
        <rFont val="맑은 고딕"/>
        <family val="2"/>
      </rPr>
      <t>정상적으로</t>
    </r>
    <r>
      <rPr>
        <sz val="9"/>
        <color theme="1"/>
        <rFont val="Calibri"/>
        <family val="2"/>
      </rPr>
      <t xml:space="preserve"> </t>
    </r>
    <r>
      <rPr>
        <sz val="9"/>
        <color theme="1"/>
        <rFont val="맑은 고딕"/>
        <family val="2"/>
      </rPr>
      <t>완료되지</t>
    </r>
    <r>
      <rPr>
        <sz val="9"/>
        <color theme="1"/>
        <rFont val="Calibri"/>
        <family val="2"/>
      </rPr>
      <t xml:space="preserve"> </t>
    </r>
    <r>
      <rPr>
        <sz val="9"/>
        <color theme="1"/>
        <rFont val="맑은 고딕"/>
        <family val="2"/>
      </rPr>
      <t>않았습니다</t>
    </r>
    <r>
      <rPr>
        <sz val="9"/>
        <color theme="1"/>
        <rFont val="Calibri"/>
        <family val="2"/>
      </rPr>
      <t>.</t>
    </r>
  </si>
  <si>
    <r>
      <rPr>
        <sz val="9"/>
        <color theme="1"/>
        <rFont val="맑은 고딕"/>
        <family val="2"/>
      </rPr>
      <t>기간의</t>
    </r>
    <r>
      <rPr>
        <sz val="9"/>
        <color theme="1"/>
        <rFont val="Calibri"/>
        <family val="2"/>
      </rPr>
      <t xml:space="preserve"> </t>
    </r>
    <r>
      <rPr>
        <sz val="9"/>
        <color theme="1"/>
        <rFont val="맑은 고딕"/>
        <family val="2"/>
      </rPr>
      <t>종류가</t>
    </r>
    <r>
      <rPr>
        <sz val="9"/>
        <color theme="1"/>
        <rFont val="Calibri"/>
        <family val="2"/>
      </rPr>
      <t xml:space="preserve"> </t>
    </r>
    <r>
      <rPr>
        <sz val="9"/>
        <color theme="1"/>
        <rFont val="맑은 고딕"/>
        <family val="2"/>
      </rPr>
      <t>잘못되었습니다</t>
    </r>
    <r>
      <rPr>
        <sz val="9"/>
        <color theme="1"/>
        <rFont val="Calibri"/>
        <family val="2"/>
      </rPr>
      <t>. W(</t>
    </r>
    <r>
      <rPr>
        <sz val="9"/>
        <color theme="1"/>
        <rFont val="맑은 고딕"/>
        <family val="2"/>
      </rPr>
      <t>주</t>
    </r>
    <r>
      <rPr>
        <sz val="9"/>
        <color theme="1"/>
        <rFont val="Calibri"/>
        <family val="2"/>
      </rPr>
      <t>), M(</t>
    </r>
    <r>
      <rPr>
        <sz val="9"/>
        <color theme="1"/>
        <rFont val="맑은 고딕"/>
        <family val="2"/>
      </rPr>
      <t>월</t>
    </r>
    <r>
      <rPr>
        <sz val="9"/>
        <color theme="1"/>
        <rFont val="Calibri"/>
        <family val="2"/>
      </rPr>
      <t xml:space="preserve">) </t>
    </r>
    <r>
      <rPr>
        <sz val="9"/>
        <color theme="1"/>
        <rFont val="맑은 고딕"/>
        <family val="2"/>
      </rPr>
      <t>중에</t>
    </r>
    <r>
      <rPr>
        <sz val="9"/>
        <color theme="1"/>
        <rFont val="Calibri"/>
        <family val="2"/>
      </rPr>
      <t xml:space="preserve"> </t>
    </r>
    <r>
      <rPr>
        <sz val="9"/>
        <color theme="1"/>
        <rFont val="맑은 고딕"/>
        <family val="2"/>
      </rPr>
      <t>하나를</t>
    </r>
    <r>
      <rPr>
        <sz val="9"/>
        <color theme="1"/>
        <rFont val="Calibri"/>
        <family val="2"/>
      </rPr>
      <t xml:space="preserve"> </t>
    </r>
    <r>
      <rPr>
        <sz val="9"/>
        <color theme="1"/>
        <rFont val="맑은 고딕"/>
        <family val="2"/>
      </rPr>
      <t>입력해야</t>
    </r>
    <r>
      <rPr>
        <sz val="9"/>
        <color theme="1"/>
        <rFont val="Calibri"/>
        <family val="2"/>
      </rPr>
      <t xml:space="preserve"> </t>
    </r>
    <r>
      <rPr>
        <sz val="9"/>
        <color theme="1"/>
        <rFont val="맑은 고딕"/>
        <family val="2"/>
      </rPr>
      <t>합니다</t>
    </r>
  </si>
  <si>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완료일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늦습니다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</si>
  <si>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t xml:space="preserve">{} </t>
    </r>
    <r>
      <rPr>
        <sz val="9"/>
        <color theme="1"/>
        <rFont val="맑은 고딕"/>
        <family val="2"/>
      </rPr>
      <t>행의</t>
    </r>
    <r>
      <rPr>
        <sz val="9"/>
        <color theme="1"/>
        <rFont val="Calibri"/>
        <family val="2"/>
      </rPr>
      <t xml:space="preserve"> Level</t>
    </r>
    <r>
      <rPr>
        <sz val="9"/>
        <color theme="1"/>
        <rFont val="맑은 고딕"/>
        <family val="2"/>
      </rPr>
      <t>이</t>
    </r>
    <r>
      <rPr>
        <sz val="9"/>
        <color theme="1"/>
        <rFont val="Calibri"/>
        <family val="2"/>
      </rPr>
      <t xml:space="preserve"> </t>
    </r>
    <r>
      <rPr>
        <sz val="9"/>
        <color theme="1"/>
        <rFont val="맑은 고딕"/>
        <family val="2"/>
      </rPr>
      <t>맞지</t>
    </r>
    <r>
      <rPr>
        <sz val="9"/>
        <color theme="1"/>
        <rFont val="Calibri"/>
        <family val="2"/>
      </rPr>
      <t xml:space="preserve"> </t>
    </r>
    <r>
      <rPr>
        <sz val="9"/>
        <color theme="1"/>
        <rFont val="맑은 고딕"/>
        <family val="2"/>
      </rPr>
      <t>않습니다</t>
    </r>
    <r>
      <rPr>
        <sz val="9"/>
        <color theme="1"/>
        <rFont val="Calibri"/>
        <family val="2"/>
      </rPr>
      <t>. Level</t>
    </r>
    <r>
      <rPr>
        <sz val="9"/>
        <color theme="1"/>
        <rFont val="맑은 고딕"/>
        <family val="2"/>
      </rPr>
      <t>을</t>
    </r>
    <r>
      <rPr>
        <sz val="9"/>
        <color theme="1"/>
        <rFont val="Calibri"/>
        <family val="2"/>
      </rPr>
      <t xml:space="preserve"> 1</t>
    </r>
    <r>
      <rPr>
        <sz val="9"/>
        <color theme="1"/>
        <rFont val="맑은 고딕"/>
        <family val="2"/>
      </rPr>
      <t>보다</t>
    </r>
    <r>
      <rPr>
        <sz val="9"/>
        <color theme="1"/>
        <rFont val="Calibri"/>
        <family val="2"/>
      </rPr>
      <t xml:space="preserve"> </t>
    </r>
    <r>
      <rPr>
        <sz val="9"/>
        <color theme="1"/>
        <rFont val="맑은 고딕"/>
        <family val="2"/>
      </rPr>
      <t>크게</t>
    </r>
    <r>
      <rPr>
        <sz val="9"/>
        <color theme="1"/>
        <rFont val="Calibri"/>
        <family val="2"/>
      </rPr>
      <t xml:space="preserve"> </t>
    </r>
    <r>
      <rPr>
        <sz val="9"/>
        <color theme="1"/>
        <rFont val="맑은 고딕"/>
        <family val="2"/>
      </rPr>
      <t>증가했는지</t>
    </r>
    <r>
      <rPr>
        <sz val="9"/>
        <color theme="1"/>
        <rFont val="Calibri"/>
        <family val="2"/>
      </rPr>
      <t xml:space="preserve"> </t>
    </r>
    <r>
      <rPr>
        <sz val="9"/>
        <color theme="1"/>
        <rFont val="맑은 고딕"/>
        <family val="2"/>
      </rPr>
      <t>확인하세요</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</si>
  <si>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갯수는</t>
    </r>
    <r>
      <rPr>
        <sz val="9"/>
        <color theme="1"/>
        <rFont val="Calibri"/>
        <family val="2"/>
      </rPr>
      <t xml:space="preserve"> {}</t>
    </r>
    <r>
      <rPr>
        <sz val="9"/>
        <color theme="1"/>
        <rFont val="맑은 고딕"/>
        <family val="2"/>
      </rPr>
      <t>개까지만</t>
    </r>
    <r>
      <rPr>
        <sz val="9"/>
        <color theme="1"/>
        <rFont val="Calibri"/>
        <family val="2"/>
      </rPr>
      <t xml:space="preserve"> </t>
    </r>
    <r>
      <rPr>
        <sz val="9"/>
        <color theme="1"/>
        <rFont val="맑은 고딕"/>
        <family val="2"/>
      </rPr>
      <t>가능합니다</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</si>
  <si>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갯수는</t>
    </r>
    <r>
      <rPr>
        <sz val="9"/>
        <color theme="1"/>
        <rFont val="Calibri"/>
        <family val="2"/>
      </rPr>
      <t xml:space="preserve"> </t>
    </r>
    <r>
      <rPr>
        <sz val="9"/>
        <color theme="1"/>
        <rFont val="맑은 고딕"/>
        <family val="2"/>
      </rPr>
      <t>양의</t>
    </r>
    <r>
      <rPr>
        <sz val="9"/>
        <color theme="1"/>
        <rFont val="Calibri"/>
        <family val="2"/>
      </rPr>
      <t xml:space="preserve"> </t>
    </r>
    <r>
      <rPr>
        <sz val="9"/>
        <color theme="1"/>
        <rFont val="맑은 고딕"/>
        <family val="2"/>
      </rPr>
      <t>정수만</t>
    </r>
    <r>
      <rPr>
        <sz val="9"/>
        <color theme="1"/>
        <rFont val="Calibri"/>
        <family val="2"/>
      </rPr>
      <t xml:space="preserve"> </t>
    </r>
    <r>
      <rPr>
        <sz val="9"/>
        <color theme="1"/>
        <rFont val="맑은 고딕"/>
        <family val="2"/>
      </rPr>
      <t>가능합니다</t>
    </r>
    <r>
      <rPr>
        <sz val="9"/>
        <color theme="1"/>
        <rFont val="Calibri"/>
        <family val="2"/>
      </rPr>
      <t>.</t>
    </r>
  </si>
  <si>
    <r>
      <t>Task</t>
    </r>
    <r>
      <rPr>
        <sz val="9"/>
        <color theme="1"/>
        <rFont val="맑은 고딕"/>
        <family val="2"/>
      </rPr>
      <t>열의</t>
    </r>
    <r>
      <rPr>
        <sz val="9"/>
        <color theme="1"/>
        <rFont val="Calibri"/>
        <family val="2"/>
      </rPr>
      <t xml:space="preserve"> </t>
    </r>
    <r>
      <rPr>
        <sz val="9"/>
        <color theme="1"/>
        <rFont val="맑은 고딕"/>
        <family val="2"/>
      </rPr>
      <t>갯수가</t>
    </r>
    <r>
      <rPr>
        <sz val="9"/>
        <color theme="1"/>
        <rFont val="Calibri"/>
        <family val="2"/>
      </rPr>
      <t xml:space="preserve"> 7</t>
    </r>
    <r>
      <rPr>
        <sz val="9"/>
        <color theme="1"/>
        <rFont val="맑은 고딕"/>
        <family val="2"/>
      </rPr>
      <t>개가</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</si>
  <si>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sheet</t>
    </r>
    <r>
      <rPr>
        <sz val="9"/>
        <color theme="1"/>
        <rFont val="맑은 고딕"/>
        <family val="2"/>
      </rPr>
      <t>의</t>
    </r>
    <r>
      <rPr>
        <sz val="9"/>
        <color theme="1"/>
        <rFont val="Calibri"/>
        <family val="2"/>
      </rPr>
      <t xml:space="preserve"> </t>
    </r>
    <r>
      <rPr>
        <sz val="9"/>
        <color theme="1"/>
        <rFont val="맑은 고딕"/>
        <family val="2"/>
      </rPr>
      <t>에러로</t>
    </r>
    <r>
      <rPr>
        <sz val="9"/>
        <color theme="1"/>
        <rFont val="Calibri"/>
        <family val="2"/>
      </rPr>
      <t xml:space="preserve"> </t>
    </r>
    <r>
      <rPr>
        <sz val="9"/>
        <color theme="1"/>
        <rFont val="맑은 고딕"/>
        <family val="2"/>
      </rPr>
      <t>인해</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중단되었습니다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</si>
  <si>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기간의</t>
    </r>
    <r>
      <rPr>
        <sz val="9"/>
        <color theme="1"/>
        <rFont val="Calibri"/>
        <family val="2"/>
      </rPr>
      <t xml:space="preserve"> </t>
    </r>
    <r>
      <rPr>
        <sz val="9"/>
        <color theme="1"/>
        <rFont val="맑은 고딕"/>
        <family val="2"/>
      </rPr>
      <t>완료일</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</si>
  <si>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기간의</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</si>
  <si>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</si>
  <si>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시작일이</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</si>
  <si>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</si>
  <si>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</si>
  <si>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 xml:space="preserve">{} sheet </t>
    </r>
    <r>
      <rPr>
        <sz val="9"/>
        <color theme="1"/>
        <rFont val="맑은 고딕"/>
        <family val="2"/>
      </rPr>
      <t>첫행의</t>
    </r>
    <r>
      <rPr>
        <sz val="9"/>
        <color theme="1"/>
        <rFont val="Calibri"/>
        <family val="2"/>
      </rPr>
      <t xml:space="preserve"> </t>
    </r>
    <r>
      <rPr>
        <sz val="9"/>
        <color theme="1"/>
        <rFont val="맑은 고딕"/>
        <family val="2"/>
      </rPr>
      <t>작업이</t>
    </r>
    <r>
      <rPr>
        <sz val="9"/>
        <color theme="1"/>
        <rFont val="Calibri"/>
        <family val="2"/>
      </rPr>
      <t xml:space="preserve"> 1 Level</t>
    </r>
    <r>
      <rPr>
        <sz val="9"/>
        <color theme="1"/>
        <rFont val="맑은 고딕"/>
        <family val="2"/>
      </rPr>
      <t>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첫행의</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첫째칸이</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칸에</t>
    </r>
    <r>
      <rPr>
        <sz val="9"/>
        <color theme="1"/>
        <rFont val="Calibri"/>
        <family val="2"/>
      </rPr>
      <t xml:space="preserve"> </t>
    </r>
    <r>
      <rPr>
        <sz val="9"/>
        <color theme="1"/>
        <rFont val="맑은 고딕"/>
        <family val="2"/>
      </rPr>
      <t>입력되었는지</t>
    </r>
    <r>
      <rPr>
        <sz val="9"/>
        <color theme="1"/>
        <rFont val="Calibri"/>
        <family val="2"/>
      </rPr>
      <t xml:space="preserve"> </t>
    </r>
    <r>
      <rPr>
        <sz val="9"/>
        <color theme="1"/>
        <rFont val="맑은 고딕"/>
        <family val="2"/>
      </rPr>
      <t>확인하세요</t>
    </r>
    <r>
      <rPr>
        <sz val="9"/>
        <color theme="1"/>
        <rFont val="Calibri"/>
        <family val="2"/>
      </rPr>
      <t>.</t>
    </r>
  </si>
  <si>
    <r>
      <t>Task</t>
    </r>
    <r>
      <rPr>
        <sz val="9"/>
        <color theme="1"/>
        <rFont val="맑은 고딕"/>
        <family val="2"/>
      </rPr>
      <t>필드</t>
    </r>
    <r>
      <rPr>
        <sz val="9"/>
        <color theme="1"/>
        <rFont val="Calibri"/>
        <family val="2"/>
      </rPr>
      <t xml:space="preserve"> </t>
    </r>
    <r>
      <rPr>
        <sz val="9"/>
        <color theme="1"/>
        <rFont val="맑은 고딕"/>
        <family val="2"/>
      </rPr>
      <t>유형</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</si>
  <si>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가중치가</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</si>
  <si>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산출물을</t>
    </r>
    <r>
      <rPr>
        <sz val="9"/>
        <color theme="1"/>
        <rFont val="Calibri"/>
        <family val="2"/>
      </rPr>
      <t xml:space="preserve"> </t>
    </r>
    <r>
      <rPr>
        <sz val="9"/>
        <color theme="1"/>
        <rFont val="맑은 고딕"/>
        <family val="2"/>
      </rPr>
      <t>열</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실행프로그램이</t>
    </r>
    <r>
      <rPr>
        <sz val="9"/>
        <color theme="1"/>
        <rFont val="Calibri"/>
        <family val="2"/>
      </rPr>
      <t xml:space="preserve"> </t>
    </r>
    <r>
      <rPr>
        <sz val="9"/>
        <color theme="1"/>
        <rFont val="맑은 고딕"/>
        <family val="2"/>
      </rPr>
      <t>없습니다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</si>
  <si>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총작업량</t>
    </r>
    <r>
      <rPr>
        <sz val="9"/>
        <color theme="1"/>
        <rFont val="Calibri"/>
        <family val="2"/>
      </rPr>
      <t xml:space="preserve"> </t>
    </r>
    <r>
      <rPr>
        <sz val="9"/>
        <color theme="1"/>
        <rFont val="맑은 고딕"/>
        <family val="2"/>
      </rPr>
      <t>또는계획작업량</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오류가</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완료일이</t>
    </r>
    <r>
      <rPr>
        <sz val="9"/>
        <color theme="1"/>
        <rFont val="Calibri"/>
        <family val="2"/>
      </rPr>
      <t xml:space="preserve"> </t>
    </r>
    <r>
      <rPr>
        <sz val="9"/>
        <color theme="1"/>
        <rFont val="맑은 고딕"/>
        <family val="2"/>
      </rPr>
      <t>잘못</t>
    </r>
    <r>
      <rPr>
        <sz val="9"/>
        <color theme="1"/>
        <rFont val="Calibri"/>
        <family val="2"/>
      </rPr>
      <t xml:space="preserve"> </t>
    </r>
    <r>
      <rPr>
        <sz val="9"/>
        <color theme="1"/>
        <rFont val="맑은 고딕"/>
        <family val="2"/>
      </rPr>
      <t>입력되었는지</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수식에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없는지</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</si>
  <si>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파일에</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</si>
  <si>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</si>
  <si>
    <r>
      <rPr>
        <sz val="9"/>
        <color theme="1"/>
        <rFont val="맑은 고딕"/>
        <family val="2"/>
      </rPr>
      <t>계산할</t>
    </r>
    <r>
      <rPr>
        <sz val="9"/>
        <color theme="1"/>
        <rFont val="Calibri"/>
        <family val="2"/>
      </rPr>
      <t xml:space="preserve"> </t>
    </r>
    <r>
      <rPr>
        <sz val="9"/>
        <color theme="1"/>
        <rFont val="맑은 고딕"/>
        <family val="2"/>
      </rPr>
      <t>입력자료가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</si>
  <si>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</si>
  <si>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 xml:space="preserve">. </t>
    </r>
    <r>
      <rPr>
        <sz val="9"/>
        <color theme="1"/>
        <rFont val="맑은 고딕"/>
        <family val="2"/>
      </rPr>
      <t>입력</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서식재설정</t>
    </r>
    <r>
      <rPr>
        <sz val="9"/>
        <color theme="1"/>
        <rFont val="Calibri"/>
        <family val="2"/>
      </rPr>
      <t xml:space="preserve"> </t>
    </r>
    <r>
      <rPr>
        <sz val="9"/>
        <color theme="1"/>
        <rFont val="맑은 고딕"/>
        <family val="2"/>
      </rPr>
      <t>해</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</si>
  <si>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진척율선</t>
    </r>
    <r>
      <rPr>
        <sz val="9"/>
        <color theme="1"/>
        <rFont val="Calibri"/>
        <family val="2"/>
      </rPr>
      <t xml:space="preserve"> </t>
    </r>
    <r>
      <rPr>
        <sz val="9"/>
        <color theme="1"/>
        <rFont val="맑은 고딕"/>
        <family val="2"/>
      </rPr>
      <t>그리기</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실제시작일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실제완료일이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벗어난</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발생할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확인하십시오</t>
    </r>
    <r>
      <rPr>
        <sz val="9"/>
        <color theme="1"/>
        <rFont val="Calibri"/>
        <family val="2"/>
      </rPr>
      <t>.</t>
    </r>
  </si>
  <si>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없는</t>
    </r>
    <r>
      <rPr>
        <sz val="9"/>
        <color theme="1"/>
        <rFont val="Calibri"/>
        <family val="2"/>
      </rPr>
      <t xml:space="preserve"> </t>
    </r>
    <r>
      <rPr>
        <sz val="9"/>
        <color theme="1"/>
        <rFont val="맑은 고딕"/>
        <family val="2"/>
      </rPr>
      <t>영역입니다</t>
    </r>
    <r>
      <rPr>
        <sz val="9"/>
        <color theme="1"/>
        <rFont val="Calibri"/>
        <family val="2"/>
      </rPr>
      <t xml:space="preserve">. </t>
    </r>
    <r>
      <rPr>
        <sz val="9"/>
        <color theme="1"/>
        <rFont val="맑은 고딕"/>
        <family val="2"/>
      </rPr>
      <t>작업명이</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</si>
  <si>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이번</t>
    </r>
    <r>
      <rPr>
        <sz val="9"/>
        <color theme="1"/>
        <rFont val="Calibri"/>
        <family val="2"/>
      </rPr>
      <t xml:space="preserve"> </t>
    </r>
    <r>
      <rPr>
        <sz val="9"/>
        <color theme="1"/>
        <rFont val="맑은 고딕"/>
        <family val="2"/>
      </rPr>
      <t>달</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</si>
  <si>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이번</t>
    </r>
    <r>
      <rPr>
        <sz val="9"/>
        <color theme="1"/>
        <rFont val="Calibri"/>
        <family val="2"/>
      </rPr>
      <t xml:space="preserve"> </t>
    </r>
    <r>
      <rPr>
        <sz val="9"/>
        <color theme="1"/>
        <rFont val="맑은 고딕"/>
        <family val="2"/>
      </rPr>
      <t>주</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</si>
  <si>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지금</t>
    </r>
    <r>
      <rPr>
        <sz val="9"/>
        <color theme="1"/>
        <rFont val="Calibri"/>
        <family val="2"/>
      </rPr>
      <t xml:space="preserve"> </t>
    </r>
    <r>
      <rPr>
        <sz val="9"/>
        <color theme="1"/>
        <rFont val="맑은 고딕"/>
        <family val="2"/>
      </rPr>
      <t>사용하고</t>
    </r>
    <r>
      <rPr>
        <sz val="9"/>
        <color theme="1"/>
        <rFont val="Calibri"/>
        <family val="2"/>
      </rPr>
      <t xml:space="preserve"> </t>
    </r>
    <r>
      <rPr>
        <sz val="9"/>
        <color theme="1"/>
        <rFont val="맑은 고딕"/>
        <family val="2"/>
      </rPr>
      <t>계신</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최신버전이</t>
    </r>
    <r>
      <rPr>
        <sz val="9"/>
        <color theme="1"/>
        <rFont val="Calibri"/>
        <family val="2"/>
      </rPr>
      <t xml:space="preserve"> </t>
    </r>
    <r>
      <rPr>
        <sz val="9"/>
        <color theme="1"/>
        <rFont val="맑은 고딕"/>
        <family val="2"/>
      </rPr>
      <t>아닙니다</t>
    </r>
    <r>
      <rPr>
        <sz val="9"/>
        <color theme="1"/>
        <rFont val="Calibri"/>
        <family val="2"/>
      </rPr>
      <t xml:space="preserve">.\n_x000D_
</t>
    </r>
    <r>
      <rPr>
        <sz val="9"/>
        <color theme="1"/>
        <rFont val="맑은 고딕"/>
        <family val="2"/>
      </rPr>
      <t>최신버전을</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사이트에서</t>
    </r>
    <r>
      <rPr>
        <sz val="9"/>
        <color theme="1"/>
        <rFont val="Calibri"/>
        <family val="2"/>
      </rPr>
      <t xml:space="preserve"> </t>
    </r>
    <r>
      <rPr>
        <sz val="9"/>
        <color theme="1"/>
        <rFont val="맑은 고딕"/>
        <family val="2"/>
      </rPr>
      <t>다운로드</t>
    </r>
    <r>
      <rPr>
        <sz val="9"/>
        <color theme="1"/>
        <rFont val="Calibri"/>
        <family val="2"/>
      </rPr>
      <t xml:space="preserve"> </t>
    </r>
    <r>
      <rPr>
        <sz val="9"/>
        <color theme="1"/>
        <rFont val="맑은 고딕"/>
        <family val="2"/>
      </rPr>
      <t>받으세요</t>
    </r>
    <r>
      <rPr>
        <sz val="9"/>
        <color theme="1"/>
        <rFont val="Calibri"/>
        <family val="2"/>
      </rPr>
      <t>.</t>
    </r>
  </si>
  <si>
    <r>
      <t xml:space="preserve">Time bucket type </t>
    </r>
    <r>
      <rPr>
        <sz val="9"/>
        <color theme="1"/>
        <rFont val="맑은 고딕"/>
        <family val="2"/>
      </rPr>
      <t>오류입니다</t>
    </r>
    <r>
      <rPr>
        <sz val="9"/>
        <color theme="1"/>
        <rFont val="Calibri"/>
        <family val="2"/>
      </rPr>
      <t>.</t>
    </r>
  </si>
  <si>
    <r>
      <t>Target</t>
    </r>
    <r>
      <rPr>
        <sz val="9"/>
        <color theme="1"/>
        <rFont val="맑은 고딕"/>
        <family val="2"/>
      </rPr>
      <t>파일</t>
    </r>
    <r>
      <rPr>
        <sz val="9"/>
        <color theme="1"/>
        <rFont val="Calibri"/>
        <family val="2"/>
      </rPr>
      <t>(</t>
    </r>
    <r>
      <rPr>
        <sz val="9"/>
        <color theme="1"/>
        <rFont val="맑은 고딕"/>
        <family val="2"/>
      </rPr>
      <t>가져온</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파일</t>
    </r>
    <r>
      <rPr>
        <sz val="9"/>
        <color theme="1"/>
        <rFont val="Calibri"/>
        <family val="2"/>
      </rPr>
      <t>)</t>
    </r>
  </si>
  <si>
    <r>
      <rPr>
        <sz val="9"/>
        <color theme="1"/>
        <rFont val="맑은 고딕"/>
        <family val="2"/>
      </rPr>
      <t>끝날짜</t>
    </r>
    <r>
      <rPr>
        <sz val="9"/>
        <color theme="1"/>
        <rFont val="Calibri"/>
        <family val="2"/>
      </rPr>
      <t xml:space="preserve"> </t>
    </r>
    <r>
      <rPr>
        <sz val="9"/>
        <color theme="1"/>
        <rFont val="맑은 고딕"/>
        <family val="2"/>
      </rPr>
      <t>형식이</t>
    </r>
    <r>
      <rPr>
        <sz val="9"/>
        <color theme="1"/>
        <rFont val="Calibri"/>
        <family val="2"/>
      </rPr>
      <t xml:space="preserve"> </t>
    </r>
    <r>
      <rPr>
        <sz val="9"/>
        <color theme="1"/>
        <rFont val="맑은 고딕"/>
        <family val="2"/>
      </rPr>
      <t>잘못되었습니다</t>
    </r>
    <r>
      <rPr>
        <sz val="9"/>
        <color theme="1"/>
        <rFont val="Calibri"/>
        <family val="2"/>
      </rPr>
      <t>.</t>
    </r>
  </si>
  <si>
    <r>
      <t>Source</t>
    </r>
    <r>
      <rPr>
        <sz val="9"/>
        <color theme="1"/>
        <rFont val="맑은 고딕"/>
        <family val="2"/>
      </rPr>
      <t>파일에서</t>
    </r>
    <r>
      <rPr>
        <sz val="9"/>
        <color theme="1"/>
        <rFont val="Calibri"/>
        <family val="2"/>
      </rPr>
      <t xml:space="preserve"> Target</t>
    </r>
    <r>
      <rPr>
        <sz val="9"/>
        <color theme="1"/>
        <rFont val="맑은 고딕"/>
        <family val="2"/>
      </rPr>
      <t>파일로</t>
    </r>
    <r>
      <rPr>
        <sz val="9"/>
        <color theme="1"/>
        <rFont val="Calibri"/>
        <family val="2"/>
      </rPr>
      <t xml:space="preserve"> </t>
    </r>
    <r>
      <rPr>
        <sz val="9"/>
        <color theme="1"/>
        <rFont val="맑은 고딕"/>
        <family val="2"/>
      </rPr>
      <t>가져오기</t>
    </r>
    <r>
      <rPr>
        <sz val="9"/>
        <color theme="1"/>
        <rFont val="Calibri"/>
        <family val="2"/>
      </rPr>
      <t xml:space="preserve"> </t>
    </r>
    <r>
      <rPr>
        <sz val="9"/>
        <color theme="1"/>
        <rFont val="맑은 고딕"/>
        <family val="2"/>
      </rPr>
      <t>위해서</t>
    </r>
    <r>
      <rPr>
        <sz val="9"/>
        <color theme="1"/>
        <rFont val="Calibri"/>
        <family val="2"/>
      </rPr>
      <t xml:space="preserve"> </t>
    </r>
    <r>
      <rPr>
        <sz val="9"/>
        <color theme="1"/>
        <rFont val="맑은 고딕"/>
        <family val="2"/>
      </rPr>
      <t>각각의</t>
    </r>
    <r>
      <rPr>
        <sz val="9"/>
        <color theme="1"/>
        <rFont val="Calibri"/>
        <family val="2"/>
      </rPr>
      <t xml:space="preserve"> </t>
    </r>
    <r>
      <rPr>
        <sz val="9"/>
        <color theme="1"/>
        <rFont val="맑은 고딕"/>
        <family val="2"/>
      </rPr>
      <t>필드를</t>
    </r>
    <r>
      <rPr>
        <sz val="9"/>
        <color theme="1"/>
        <rFont val="Calibri"/>
        <family val="2"/>
      </rPr>
      <t xml:space="preserve"> Mapping</t>
    </r>
    <r>
      <rPr>
        <sz val="9"/>
        <color theme="1"/>
        <rFont val="맑은 고딕"/>
        <family val="2"/>
      </rPr>
      <t>합니다</t>
    </r>
    <r>
      <rPr>
        <sz val="9"/>
        <color theme="1"/>
        <rFont val="Calibri"/>
        <family val="2"/>
      </rPr>
      <t>. _x000D_
Source</t>
    </r>
    <r>
      <rPr>
        <sz val="9"/>
        <color theme="1"/>
        <rFont val="맑은 고딕"/>
        <family val="2"/>
      </rPr>
      <t>파일의</t>
    </r>
    <r>
      <rPr>
        <sz val="9"/>
        <color theme="1"/>
        <rFont val="Calibri"/>
        <family val="2"/>
      </rPr>
      <t xml:space="preserve"> </t>
    </r>
    <r>
      <rPr>
        <sz val="9"/>
        <color theme="1"/>
        <rFont val="맑은 고딕"/>
        <family val="2"/>
      </rPr>
      <t>필드를</t>
    </r>
    <r>
      <rPr>
        <sz val="9"/>
        <color theme="1"/>
        <rFont val="Calibri"/>
        <family val="2"/>
      </rPr>
      <t xml:space="preserve"> </t>
    </r>
    <r>
      <rPr>
        <sz val="9"/>
        <color theme="1"/>
        <rFont val="맑은 고딕"/>
        <family val="2"/>
      </rPr>
      <t>먼저</t>
    </r>
    <r>
      <rPr>
        <sz val="9"/>
        <color theme="1"/>
        <rFont val="Calibri"/>
        <family val="2"/>
      </rPr>
      <t xml:space="preserve"> </t>
    </r>
    <r>
      <rPr>
        <sz val="9"/>
        <color theme="1"/>
        <rFont val="맑은 고딕"/>
        <family val="2"/>
      </rPr>
      <t>선택하고</t>
    </r>
    <r>
      <rPr>
        <sz val="9"/>
        <color theme="1"/>
        <rFont val="Calibri"/>
        <family val="2"/>
      </rPr>
      <t xml:space="preserve"> </t>
    </r>
    <r>
      <rPr>
        <sz val="9"/>
        <color theme="1"/>
        <rFont val="맑은 고딕"/>
        <family val="2"/>
      </rPr>
      <t>해당되는</t>
    </r>
    <r>
      <rPr>
        <sz val="9"/>
        <color theme="1"/>
        <rFont val="Calibri"/>
        <family val="2"/>
      </rPr>
      <t xml:space="preserve"> </t>
    </r>
    <r>
      <rPr>
        <sz val="9"/>
        <color theme="1"/>
        <rFont val="맑은 고딕"/>
        <family val="2"/>
      </rPr>
      <t>필드를</t>
    </r>
    <r>
      <rPr>
        <sz val="9"/>
        <color theme="1"/>
        <rFont val="Calibri"/>
        <family val="2"/>
      </rPr>
      <t xml:space="preserve"> Targe</t>
    </r>
    <r>
      <rPr>
        <sz val="9"/>
        <color theme="1"/>
        <rFont val="맑은 고딕"/>
        <family val="2"/>
      </rPr>
      <t>파일에서</t>
    </r>
    <r>
      <rPr>
        <sz val="9"/>
        <color theme="1"/>
        <rFont val="Calibri"/>
        <family val="2"/>
      </rPr>
      <t xml:space="preserve"> </t>
    </r>
    <r>
      <rPr>
        <sz val="9"/>
        <color theme="1"/>
        <rFont val="맑은 고딕"/>
        <family val="2"/>
      </rPr>
      <t>찾아서</t>
    </r>
    <r>
      <rPr>
        <sz val="9"/>
        <color theme="1"/>
        <rFont val="Calibri"/>
        <family val="2"/>
      </rPr>
      <t xml:space="preserve"> Mapping</t>
    </r>
    <r>
      <rPr>
        <sz val="9"/>
        <color theme="1"/>
        <rFont val="맑은 고딕"/>
        <family val="2"/>
      </rPr>
      <t>합니다</t>
    </r>
    <r>
      <rPr>
        <sz val="9"/>
        <color theme="1"/>
        <rFont val="Calibri"/>
        <family val="2"/>
      </rPr>
      <t>.</t>
    </r>
  </si>
  <si>
    <r>
      <rPr>
        <sz val="9"/>
        <color theme="1"/>
        <rFont val="맑은 고딕"/>
        <family val="2"/>
      </rPr>
      <t>오늘</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</si>
  <si>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총작업량</t>
    </r>
    <r>
      <rPr>
        <sz val="9"/>
        <color theme="1"/>
        <rFont val="Calibri"/>
        <family val="2"/>
      </rPr>
      <t>(A)\nMan-day</t>
    </r>
  </si>
  <si>
    <r>
      <rPr>
        <sz val="9"/>
        <color theme="1"/>
        <rFont val="맑은 고딕"/>
        <family val="2"/>
      </rPr>
      <t>총</t>
    </r>
    <r>
      <rPr>
        <sz val="9"/>
        <color theme="1"/>
        <rFont val="Calibri"/>
        <family val="2"/>
      </rPr>
      <t xml:space="preserve"> </t>
    </r>
    <r>
      <rPr>
        <sz val="9"/>
        <color theme="1"/>
        <rFont val="맑은 고딕"/>
        <family val="2"/>
      </rPr>
      <t xml:space="preserve">작업량_x000D_
</t>
    </r>
    <r>
      <rPr>
        <sz val="9"/>
        <color theme="1"/>
        <rFont val="Calibri"/>
        <family val="2"/>
      </rPr>
      <t>(</t>
    </r>
    <r>
      <rPr>
        <sz val="9"/>
        <color theme="1"/>
        <rFont val="맑은 고딕"/>
        <family val="2"/>
      </rPr>
      <t>총</t>
    </r>
    <r>
      <rPr>
        <sz val="9"/>
        <color theme="1"/>
        <rFont val="Calibri"/>
        <family val="2"/>
      </rPr>
      <t xml:space="preserve">ManDay,_x000D_
</t>
    </r>
    <r>
      <rPr>
        <sz val="9"/>
        <color theme="1"/>
        <rFont val="맑은 고딕"/>
        <family val="2"/>
      </rPr>
      <t>가중치</t>
    </r>
    <r>
      <rPr>
        <sz val="9"/>
        <color theme="1"/>
        <rFont val="Calibri"/>
        <family val="2"/>
      </rPr>
      <t xml:space="preserve"> </t>
    </r>
    <r>
      <rPr>
        <sz val="9"/>
        <color theme="1"/>
        <rFont val="맑은 고딕"/>
        <family val="2"/>
      </rPr>
      <t>감안</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</si>
  <si>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작업량</t>
    </r>
  </si>
  <si>
    <r>
      <rPr>
        <sz val="9"/>
        <color theme="1"/>
        <rFont val="맑은 고딕"/>
        <family val="2"/>
      </rPr>
      <t>총</t>
    </r>
    <r>
      <rPr>
        <sz val="9"/>
        <color theme="1"/>
        <rFont val="Calibri"/>
        <family val="2"/>
      </rPr>
      <t>\n</t>
    </r>
    <r>
      <rPr>
        <sz val="9"/>
        <color theme="1"/>
        <rFont val="맑은 고딕"/>
        <family val="2"/>
      </rPr>
      <t>작업량</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</si>
  <si>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실적진척율을</t>
    </r>
    <r>
      <rPr>
        <sz val="9"/>
        <color theme="1"/>
        <rFont val="Calibri"/>
        <family val="2"/>
      </rPr>
      <t xml:space="preserve"> 0~100% </t>
    </r>
    <r>
      <rPr>
        <sz val="9"/>
        <color theme="1"/>
        <rFont val="맑은 고딕"/>
        <family val="2"/>
      </rPr>
      <t>범위로</t>
    </r>
    <r>
      <rPr>
        <sz val="9"/>
        <color theme="1"/>
        <rFont val="Calibri"/>
        <family val="2"/>
      </rPr>
      <t xml:space="preserve"> </t>
    </r>
    <r>
      <rPr>
        <sz val="9"/>
        <color theme="1"/>
        <rFont val="맑은 고딕"/>
        <family val="2"/>
      </rPr>
      <t>입력해주세요</t>
    </r>
    <r>
      <rPr>
        <sz val="9"/>
        <color theme="1"/>
        <rFont val="Calibri"/>
        <family val="2"/>
      </rPr>
      <t>.</t>
    </r>
  </si>
  <si>
    <r>
      <rPr>
        <sz val="9"/>
        <color theme="1"/>
        <rFont val="맑은 고딕"/>
        <family val="2"/>
      </rPr>
      <t>파일을</t>
    </r>
    <r>
      <rPr>
        <sz val="9"/>
        <color theme="1"/>
        <rFont val="Calibri"/>
        <family val="2"/>
      </rPr>
      <t xml:space="preserve"> </t>
    </r>
    <r>
      <rPr>
        <sz val="9"/>
        <color theme="1"/>
        <rFont val="맑은 고딕"/>
        <family val="2"/>
      </rPr>
      <t>열수</t>
    </r>
    <r>
      <rPr>
        <sz val="9"/>
        <color theme="1"/>
        <rFont val="Calibri"/>
        <family val="2"/>
      </rPr>
      <t xml:space="preserve"> </t>
    </r>
    <r>
      <rPr>
        <sz val="9"/>
        <color theme="1"/>
        <rFont val="맑은 고딕"/>
        <family val="2"/>
      </rPr>
      <t>없습니다</t>
    </r>
    <r>
      <rPr>
        <sz val="9"/>
        <color theme="1"/>
        <rFont val="Calibri"/>
        <family val="2"/>
      </rPr>
      <t xml:space="preserve">. </t>
    </r>
    <r>
      <rPr>
        <sz val="9"/>
        <color theme="1"/>
        <rFont val="맑은 고딕"/>
        <family val="2"/>
      </rPr>
      <t>환경설정</t>
    </r>
    <r>
      <rPr>
        <sz val="9"/>
        <color theme="1"/>
        <rFont val="Calibri"/>
        <family val="2"/>
      </rPr>
      <t>&gt;</t>
    </r>
    <r>
      <rPr>
        <sz val="9"/>
        <color theme="1"/>
        <rFont val="맑은 고딕"/>
        <family val="2"/>
      </rPr>
      <t>산출물관리</t>
    </r>
    <r>
      <rPr>
        <sz val="9"/>
        <color theme="1"/>
        <rFont val="Calibri"/>
        <family val="2"/>
      </rPr>
      <t xml:space="preserve"> </t>
    </r>
    <r>
      <rPr>
        <sz val="9"/>
        <color theme="1"/>
        <rFont val="맑은 고딕"/>
        <family val="2"/>
      </rPr>
      <t>탭에서</t>
    </r>
    <r>
      <rPr>
        <sz val="9"/>
        <color theme="1"/>
        <rFont val="Calibri"/>
        <family val="2"/>
      </rPr>
      <t xml:space="preserve"> "</t>
    </r>
    <r>
      <rPr>
        <sz val="9"/>
        <color theme="1"/>
        <rFont val="맑은 고딕"/>
        <family val="2"/>
      </rPr>
      <t>산출물</t>
    </r>
    <r>
      <rPr>
        <sz val="9"/>
        <color theme="1"/>
        <rFont val="Calibri"/>
        <family val="2"/>
      </rPr>
      <t xml:space="preserve"> </t>
    </r>
    <r>
      <rPr>
        <sz val="9"/>
        <color theme="1"/>
        <rFont val="맑은 고딕"/>
        <family val="2"/>
      </rPr>
      <t>관리를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체크하세요</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체크상태로</t>
    </r>
    <r>
      <rPr>
        <sz val="9"/>
        <color theme="1"/>
        <rFont val="Calibri"/>
        <family val="2"/>
      </rPr>
      <t xml:space="preserve"> </t>
    </r>
    <r>
      <rPr>
        <sz val="9"/>
        <color theme="1"/>
        <rFont val="맑은 고딕"/>
        <family val="2"/>
      </rPr>
      <t>변경해</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</si>
  <si>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업데이트</t>
    </r>
    <r>
      <rPr>
        <sz val="9"/>
        <color theme="1"/>
        <rFont val="Calibri"/>
        <family val="2"/>
      </rPr>
      <t xml:space="preserve"> </t>
    </r>
    <r>
      <rPr>
        <sz val="9"/>
        <color theme="1"/>
        <rFont val="맑은 고딕"/>
        <family val="2"/>
      </rPr>
      <t>내용</t>
    </r>
  </si>
  <si>
    <r>
      <rPr>
        <sz val="9"/>
        <color theme="1"/>
        <rFont val="맑은 고딕"/>
        <family val="2"/>
      </rPr>
      <t>스케줄업데이트</t>
    </r>
    <r>
      <rPr>
        <sz val="9"/>
        <color theme="1"/>
        <rFont val="Calibri"/>
        <family val="2"/>
      </rPr>
      <t xml:space="preserve"> </t>
    </r>
    <r>
      <rPr>
        <sz val="9"/>
        <color theme="1"/>
        <rFont val="맑은 고딕"/>
        <family val="2"/>
      </rPr>
      <t>중입니다</t>
    </r>
    <r>
      <rPr>
        <sz val="9"/>
        <color theme="1"/>
        <rFont val="Calibri"/>
        <family val="2"/>
      </rPr>
      <t>...\n</t>
    </r>
    <r>
      <rPr>
        <sz val="9"/>
        <color theme="1"/>
        <rFont val="맑은 고딕"/>
        <family val="2"/>
      </rPr>
      <t>잠시만</t>
    </r>
    <r>
      <rPr>
        <sz val="9"/>
        <color theme="1"/>
        <rFont val="Calibri"/>
        <family val="2"/>
      </rPr>
      <t xml:space="preserve"> </t>
    </r>
    <r>
      <rPr>
        <sz val="9"/>
        <color theme="1"/>
        <rFont val="맑은 고딕"/>
        <family val="2"/>
      </rPr>
      <t>기다려</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</si>
  <si>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1</t>
    </r>
  </si>
  <si>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2</t>
    </r>
  </si>
  <si>
    <r>
      <rPr>
        <sz val="9"/>
        <color theme="1"/>
        <rFont val="맑은 고딕"/>
        <family val="2"/>
      </rPr>
      <t>차이</t>
    </r>
    <r>
      <rPr>
        <sz val="9"/>
        <color theme="1"/>
        <rFont val="Calibri"/>
        <family val="2"/>
      </rPr>
      <t>(</t>
    </r>
    <r>
      <rPr>
        <sz val="9"/>
        <color theme="1"/>
        <rFont val="맑은 고딕"/>
        <family val="2"/>
      </rPr>
      <t>실적</t>
    </r>
    <r>
      <rPr>
        <sz val="9"/>
        <color theme="1"/>
        <rFont val="Calibri"/>
        <family val="2"/>
      </rPr>
      <t>-</t>
    </r>
    <r>
      <rPr>
        <sz val="9"/>
        <color theme="1"/>
        <rFont val="맑은 고딕"/>
        <family val="2"/>
      </rPr>
      <t>계획</t>
    </r>
    <r>
      <rPr>
        <sz val="9"/>
        <color theme="1"/>
        <rFont val="Calibri"/>
        <family val="2"/>
      </rPr>
      <t>)</t>
    </r>
  </si>
  <si>
    <r>
      <t>WBS</t>
    </r>
    <r>
      <rPr>
        <sz val="9"/>
        <color theme="1"/>
        <rFont val="맑은 고딕"/>
        <family val="2"/>
      </rPr>
      <t>영역</t>
    </r>
    <r>
      <rPr>
        <sz val="9"/>
        <color theme="1"/>
        <rFont val="Calibri"/>
        <family val="2"/>
      </rPr>
      <t xml:space="preserve"> </t>
    </r>
    <r>
      <rPr>
        <sz val="9"/>
        <color theme="1"/>
        <rFont val="맑은 고딕"/>
        <family val="2"/>
      </rPr>
      <t>표시방법</t>
    </r>
  </si>
  <si>
    <r>
      <t>WBS Level(</t>
    </r>
    <r>
      <rPr>
        <sz val="9"/>
        <color theme="1"/>
        <rFont val="맑은 고딕"/>
        <family val="2"/>
      </rPr>
      <t>개요번호</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</si>
  <si>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가중치의</t>
    </r>
    <r>
      <rPr>
        <sz val="9"/>
        <color theme="1"/>
        <rFont val="Calibri"/>
        <family val="2"/>
      </rPr>
      <t xml:space="preserve"> </t>
    </r>
    <r>
      <rPr>
        <sz val="9"/>
        <color theme="1"/>
        <rFont val="맑은 고딕"/>
        <family val="2"/>
      </rPr>
      <t>숫자형식이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</si>
  <si>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가중치는</t>
    </r>
    <r>
      <rPr>
        <sz val="9"/>
        <color theme="1"/>
        <rFont val="Calibri"/>
        <family val="2"/>
      </rPr>
      <t xml:space="preserve"> 0</t>
    </r>
    <r>
      <rPr>
        <sz val="9"/>
        <color theme="1"/>
        <rFont val="맑은 고딕"/>
        <family val="2"/>
      </rPr>
      <t>보다</t>
    </r>
    <r>
      <rPr>
        <sz val="9"/>
        <color theme="1"/>
        <rFont val="Calibri"/>
        <family val="2"/>
      </rPr>
      <t xml:space="preserve"> </t>
    </r>
    <r>
      <rPr>
        <sz val="9"/>
        <color theme="1"/>
        <rFont val="맑은 고딕"/>
        <family val="2"/>
      </rPr>
      <t>커야</t>
    </r>
    <r>
      <rPr>
        <sz val="9"/>
        <color theme="1"/>
        <rFont val="Calibri"/>
        <family val="2"/>
      </rPr>
      <t xml:space="preserve"> </t>
    </r>
    <r>
      <rPr>
        <sz val="9"/>
        <color theme="1"/>
        <rFont val="맑은 고딕"/>
        <family val="2"/>
      </rPr>
      <t>합니다</t>
    </r>
    <r>
      <rPr>
        <sz val="9"/>
        <color theme="1"/>
        <rFont val="Calibri"/>
        <family val="2"/>
      </rPr>
      <t>.</t>
    </r>
  </si>
  <si>
    <r>
      <t>Workload</t>
    </r>
    <r>
      <rPr>
        <sz val="9"/>
        <color theme="1"/>
        <rFont val="맑은 고딕"/>
        <family val="2"/>
      </rPr>
      <t>현황</t>
    </r>
    <r>
      <rPr>
        <sz val="9"/>
        <color theme="1"/>
        <rFont val="Calibri"/>
        <family val="2"/>
      </rPr>
      <t>({})</t>
    </r>
  </si>
  <si>
    <r>
      <t>Workload(</t>
    </r>
    <r>
      <rPr>
        <sz val="9"/>
        <color theme="1"/>
        <rFont val="맑은 고딕"/>
        <family val="2"/>
      </rPr>
      <t>월별</t>
    </r>
    <r>
      <rPr>
        <sz val="9"/>
        <color theme="1"/>
        <rFont val="Calibri"/>
        <family val="2"/>
      </rPr>
      <t>)</t>
    </r>
  </si>
  <si>
    <r>
      <t>Workload(</t>
    </r>
    <r>
      <rPr>
        <sz val="9"/>
        <color theme="1"/>
        <rFont val="맑은 고딕"/>
        <family val="2"/>
      </rPr>
      <t>담당별</t>
    </r>
    <r>
      <rPr>
        <sz val="9"/>
        <color theme="1"/>
        <rFont val="Calibri"/>
        <family val="2"/>
      </rPr>
      <t>)</t>
    </r>
  </si>
  <si>
    <r>
      <t>Workload(</t>
    </r>
    <r>
      <rPr>
        <sz val="9"/>
        <color theme="1"/>
        <rFont val="맑은 고딕"/>
        <family val="2"/>
      </rPr>
      <t>주별</t>
    </r>
    <r>
      <rPr>
        <sz val="9"/>
        <color theme="1"/>
        <rFont val="Calibri"/>
        <family val="2"/>
      </rPr>
      <t>)</t>
    </r>
  </si>
  <si>
    <r>
      <rPr>
        <sz val="9"/>
        <color theme="1"/>
        <rFont val="맑은 고딕"/>
        <family val="2"/>
      </rPr>
      <t>사용하고</t>
    </r>
    <r>
      <rPr>
        <sz val="9"/>
        <color theme="1"/>
        <rFont val="Calibri"/>
        <family val="2"/>
      </rPr>
      <t xml:space="preserve"> </t>
    </r>
    <r>
      <rPr>
        <sz val="9"/>
        <color theme="1"/>
        <rFont val="맑은 고딕"/>
        <family val="2"/>
      </rPr>
      <t>계신</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최신</t>
    </r>
    <r>
      <rPr>
        <sz val="9"/>
        <color theme="1"/>
        <rFont val="Calibri"/>
        <family val="2"/>
      </rPr>
      <t xml:space="preserve"> </t>
    </r>
    <r>
      <rPr>
        <sz val="9"/>
        <color theme="1"/>
        <rFont val="맑은 고딕"/>
        <family val="2"/>
      </rPr>
      <t>버전입니다</t>
    </r>
    <r>
      <rPr>
        <sz val="9"/>
        <color theme="1"/>
        <rFont val="Calibri"/>
        <family val="2"/>
      </rPr>
      <t>.\n</t>
    </r>
    <r>
      <rPr>
        <sz val="9"/>
        <color theme="1"/>
        <rFont val="맑은 고딕"/>
        <family val="2"/>
      </rPr>
      <t>현재</t>
    </r>
    <r>
      <rPr>
        <sz val="9"/>
        <color theme="1"/>
        <rFont val="Calibri"/>
        <family val="2"/>
      </rPr>
      <t xml:space="preserve"> </t>
    </r>
    <r>
      <rPr>
        <sz val="9"/>
        <color theme="1"/>
        <rFont val="맑은 고딕"/>
        <family val="2"/>
      </rPr>
      <t>버전</t>
    </r>
    <r>
      <rPr>
        <sz val="9"/>
        <color theme="1"/>
        <rFont val="Calibri"/>
        <family val="2"/>
      </rPr>
      <t xml:space="preserve"> : {}</t>
    </r>
  </si>
  <si>
    <r>
      <t>{} Sheet</t>
    </r>
    <r>
      <rPr>
        <sz val="9"/>
        <color theme="1"/>
        <rFont val="맑은 고딕"/>
        <family val="2"/>
      </rPr>
      <t>에서만</t>
    </r>
    <r>
      <rPr>
        <sz val="9"/>
        <color theme="1"/>
        <rFont val="Calibri"/>
        <family val="2"/>
      </rPr>
      <t xml:space="preserve"> Outlook</t>
    </r>
    <r>
      <rPr>
        <sz val="9"/>
        <color theme="1"/>
        <rFont val="맑은 고딕"/>
        <family val="2"/>
      </rPr>
      <t>일정을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</si>
  <si>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Outlook</t>
    </r>
    <r>
      <rPr>
        <sz val="9"/>
        <color theme="1"/>
        <rFont val="맑은 고딕"/>
        <family val="2"/>
      </rPr>
      <t>작업을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</si>
  <si>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t>
    </r>
    <r>
      <rPr>
        <sz val="9"/>
        <color theme="1"/>
        <rFont val="맑은 고딕"/>
        <family val="2"/>
      </rPr>
      <t>작업을</t>
    </r>
    <r>
      <rPr>
        <sz val="9"/>
        <color theme="1"/>
        <rFont val="Calibri"/>
        <family val="2"/>
      </rPr>
      <t xml:space="preserve"> </t>
    </r>
    <r>
      <rPr>
        <sz val="9"/>
        <color theme="1"/>
        <rFont val="맑은 고딕"/>
        <family val="2"/>
      </rPr>
      <t>편집할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</si>
  <si>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t>
    </r>
    <r>
      <rPr>
        <sz val="9"/>
        <color theme="1"/>
        <rFont val="맑은 고딕"/>
        <family val="2"/>
      </rPr>
      <t>작업가능합니다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</si>
  <si>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t>
    </r>
    <r>
      <rPr>
        <sz val="9"/>
        <color theme="1"/>
        <rFont val="맑은 고딕"/>
        <family val="2"/>
      </rPr>
      <t>작업할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</si>
  <si>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Outlook</t>
    </r>
    <r>
      <rPr>
        <sz val="9"/>
        <color theme="1"/>
        <rFont val="맑은 고딕"/>
        <family val="2"/>
      </rPr>
      <t>작업을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</si>
  <si>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t>A</t>
    </r>
    <r>
      <rPr>
        <sz val="9"/>
        <color theme="1"/>
        <rFont val="맑은 고딕"/>
        <family val="2"/>
      </rPr>
      <t>열부터</t>
    </r>
    <r>
      <rPr>
        <sz val="9"/>
        <color theme="1"/>
        <rFont val="Calibri"/>
        <family val="2"/>
      </rPr>
      <t xml:space="preserve"> C</t>
    </r>
    <r>
      <rPr>
        <sz val="9"/>
        <color theme="1"/>
        <rFont val="맑은 고딕"/>
        <family val="2"/>
      </rPr>
      <t>열까지는</t>
    </r>
    <r>
      <rPr>
        <sz val="9"/>
        <color theme="1"/>
        <rFont val="Calibri"/>
        <family val="2"/>
      </rPr>
      <t xml:space="preserve"> XLGantt</t>
    </r>
    <r>
      <rPr>
        <sz val="9"/>
        <color theme="1"/>
        <rFont val="맑은 고딕"/>
        <family val="2"/>
      </rPr>
      <t>프로그램에서</t>
    </r>
    <r>
      <rPr>
        <sz val="9"/>
        <color theme="1"/>
        <rFont val="Calibri"/>
        <family val="2"/>
      </rPr>
      <t xml:space="preserve"> </t>
    </r>
    <r>
      <rPr>
        <sz val="9"/>
        <color theme="1"/>
        <rFont val="맑은 고딕"/>
        <family val="2"/>
      </rPr>
      <t>사용하는</t>
    </r>
    <r>
      <rPr>
        <sz val="9"/>
        <color theme="1"/>
        <rFont val="Calibri"/>
        <family val="2"/>
      </rPr>
      <t xml:space="preserve"> </t>
    </r>
    <r>
      <rPr>
        <sz val="9"/>
        <color theme="1"/>
        <rFont val="맑은 고딕"/>
        <family val="2"/>
      </rPr>
      <t>영역이므로</t>
    </r>
    <r>
      <rPr>
        <sz val="9"/>
        <color theme="1"/>
        <rFont val="Calibri"/>
        <family val="2"/>
      </rPr>
      <t xml:space="preserve"> </t>
    </r>
    <r>
      <rPr>
        <sz val="9"/>
        <color theme="1"/>
        <rFont val="맑은 고딕"/>
        <family val="2"/>
      </rPr>
      <t>임의로</t>
    </r>
    <r>
      <rPr>
        <sz val="9"/>
        <color theme="1"/>
        <rFont val="Calibri"/>
        <family val="2"/>
      </rPr>
      <t xml:space="preserve"> </t>
    </r>
    <r>
      <rPr>
        <sz val="9"/>
        <color theme="1"/>
        <rFont val="맑은 고딕"/>
        <family val="2"/>
      </rPr>
      <t>열을</t>
    </r>
    <r>
      <rPr>
        <sz val="9"/>
        <color theme="1"/>
        <rFont val="Calibri"/>
        <family val="2"/>
      </rPr>
      <t xml:space="preserve"> </t>
    </r>
    <r>
      <rPr>
        <sz val="9"/>
        <color theme="1"/>
        <rFont val="맑은 고딕"/>
        <family val="2"/>
      </rPr>
      <t>추가할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</si>
  <si>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입력불가</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</si>
  <si>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오른쪽으로</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</si>
  <si>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</si>
  <si>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왼쪽으로</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</si>
  <si>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t>Microsoft Outlook</t>
    </r>
    <r>
      <rPr>
        <sz val="9"/>
        <color theme="1"/>
        <rFont val="맑은 고딕"/>
        <family val="2"/>
      </rPr>
      <t>을</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.\n</t>
    </r>
    <r>
      <rPr>
        <sz val="9"/>
        <color theme="1"/>
        <rFont val="맑은 고딕"/>
        <family val="2"/>
      </rPr>
      <t>정상적으로</t>
    </r>
    <r>
      <rPr>
        <sz val="9"/>
        <color theme="1"/>
        <rFont val="Calibri"/>
        <family val="2"/>
      </rPr>
      <t xml:space="preserve"> </t>
    </r>
    <r>
      <rPr>
        <sz val="9"/>
        <color theme="1"/>
        <rFont val="맑은 고딕"/>
        <family val="2"/>
      </rPr>
      <t>설치되어</t>
    </r>
    <r>
      <rPr>
        <sz val="9"/>
        <color theme="1"/>
        <rFont val="Calibri"/>
        <family val="2"/>
      </rPr>
      <t xml:space="preserve"> </t>
    </r>
    <r>
      <rPr>
        <sz val="9"/>
        <color theme="1"/>
        <rFont val="맑은 고딕"/>
        <family val="2"/>
      </rPr>
      <t>있는지</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</si>
  <si>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일정을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완료일만</t>
    </r>
    <r>
      <rPr>
        <sz val="9"/>
        <color theme="1"/>
        <rFont val="Calibri"/>
        <family val="2"/>
      </rPr>
      <t xml:space="preserve"> </t>
    </r>
    <r>
      <rPr>
        <sz val="9"/>
        <color theme="1"/>
        <rFont val="맑은 고딕"/>
        <family val="2"/>
      </rPr>
      <t>사용합니다</t>
    </r>
    <r>
      <rPr>
        <sz val="9"/>
        <color theme="1"/>
        <rFont val="Calibri"/>
        <family val="2"/>
      </rPr>
      <t xml:space="preserve">. </t>
    </r>
    <r>
      <rPr>
        <sz val="9"/>
        <color theme="1"/>
        <rFont val="맑은 고딕"/>
        <family val="2"/>
      </rPr>
      <t>변경된</t>
    </r>
    <r>
      <rPr>
        <sz val="9"/>
        <color theme="1"/>
        <rFont val="Calibri"/>
        <family val="2"/>
      </rPr>
      <t xml:space="preserve"> </t>
    </r>
    <r>
      <rPr>
        <sz val="9"/>
        <color theme="1"/>
        <rFont val="맑은 고딕"/>
        <family val="2"/>
      </rPr>
      <t>일정은</t>
    </r>
    <r>
      <rPr>
        <sz val="9"/>
        <color theme="1"/>
        <rFont val="Calibri"/>
        <family val="2"/>
      </rPr>
      <t xml:space="preserve"> </t>
    </r>
    <r>
      <rPr>
        <sz val="9"/>
        <color theme="1"/>
        <rFont val="맑은 고딕"/>
        <family val="2"/>
      </rPr>
      <t>관리하지</t>
    </r>
    <r>
      <rPr>
        <sz val="9"/>
        <color theme="1"/>
        <rFont val="Calibri"/>
        <family val="2"/>
      </rPr>
      <t xml:space="preserve"> </t>
    </r>
    <r>
      <rPr>
        <sz val="9"/>
        <color theme="1"/>
        <rFont val="맑은 고딕"/>
        <family val="2"/>
      </rPr>
      <t>않습니다</t>
    </r>
    <r>
      <rPr>
        <sz val="9"/>
        <color theme="1"/>
        <rFont val="Calibri"/>
        <family val="2"/>
      </rPr>
      <t xml:space="preserve">. </t>
    </r>
    <r>
      <rPr>
        <sz val="9"/>
        <color theme="1"/>
        <rFont val="맑은 고딕"/>
        <family val="2"/>
      </rPr>
      <t>일정이</t>
    </r>
    <r>
      <rPr>
        <sz val="9"/>
        <color theme="1"/>
        <rFont val="Calibri"/>
        <family val="2"/>
      </rPr>
      <t xml:space="preserve"> </t>
    </r>
    <r>
      <rPr>
        <sz val="9"/>
        <color theme="1"/>
        <rFont val="맑은 고딕"/>
        <family val="2"/>
      </rPr>
      <t>변경되었을</t>
    </r>
    <r>
      <rPr>
        <sz val="9"/>
        <color theme="1"/>
        <rFont val="Calibri"/>
        <family val="2"/>
      </rPr>
      <t xml:space="preserve"> </t>
    </r>
    <r>
      <rPr>
        <sz val="9"/>
        <color theme="1"/>
        <rFont val="맑은 고딕"/>
        <family val="2"/>
      </rPr>
      <t>때는</t>
    </r>
    <r>
      <rPr>
        <sz val="9"/>
        <color theme="1"/>
        <rFont val="Calibri"/>
        <family val="2"/>
      </rPr>
      <t xml:space="preserve"> </t>
    </r>
    <r>
      <rPr>
        <sz val="9"/>
        <color theme="1"/>
        <rFont val="맑은 고딕"/>
        <family val="2"/>
      </rPr>
      <t>시작일과</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변경합니다</t>
    </r>
    <r>
      <rPr>
        <sz val="9"/>
        <color theme="1"/>
        <rFont val="Calibri"/>
        <family val="2"/>
      </rPr>
      <t xml:space="preserve">.  </t>
    </r>
  </si>
  <si>
    <r>
      <rPr>
        <sz val="9"/>
        <color theme="1"/>
        <rFont val="맑은 고딕"/>
        <family val="2"/>
      </rPr>
      <t>일정을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t>
    </r>
    <r>
      <rPr>
        <sz val="9"/>
        <color theme="1"/>
        <rFont val="Calibri"/>
        <family val="2"/>
      </rPr>
      <t xml:space="preserve">, </t>
    </r>
    <r>
      <rPr>
        <sz val="9"/>
        <color theme="1"/>
        <rFont val="맑은 고딕"/>
        <family val="2"/>
      </rPr>
      <t>실제시작일</t>
    </r>
    <r>
      <rPr>
        <sz val="9"/>
        <color theme="1"/>
        <rFont val="Calibri"/>
        <family val="2"/>
      </rPr>
      <t>/</t>
    </r>
    <r>
      <rPr>
        <sz val="9"/>
        <color theme="1"/>
        <rFont val="맑은 고딕"/>
        <family val="2"/>
      </rPr>
      <t>실제완료일을</t>
    </r>
    <r>
      <rPr>
        <sz val="9"/>
        <color theme="1"/>
        <rFont val="Calibri"/>
        <family val="2"/>
      </rPr>
      <t xml:space="preserve"> </t>
    </r>
    <r>
      <rPr>
        <sz val="9"/>
        <color theme="1"/>
        <rFont val="맑은 고딕"/>
        <family val="2"/>
      </rPr>
      <t>사용합니다</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시작된</t>
    </r>
    <r>
      <rPr>
        <sz val="9"/>
        <color theme="1"/>
        <rFont val="Calibri"/>
        <family val="2"/>
      </rPr>
      <t xml:space="preserve"> </t>
    </r>
    <r>
      <rPr>
        <sz val="9"/>
        <color theme="1"/>
        <rFont val="맑은 고딕"/>
        <family val="2"/>
      </rPr>
      <t>날짜와</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완료된</t>
    </r>
    <r>
      <rPr>
        <sz val="9"/>
        <color theme="1"/>
        <rFont val="Calibri"/>
        <family val="2"/>
      </rPr>
      <t xml:space="preserve"> </t>
    </r>
    <r>
      <rPr>
        <sz val="9"/>
        <color theme="1"/>
        <rFont val="맑은 고딕"/>
        <family val="2"/>
      </rPr>
      <t>날짜를</t>
    </r>
    <r>
      <rPr>
        <sz val="9"/>
        <color theme="1"/>
        <rFont val="Calibri"/>
        <family val="2"/>
      </rPr>
      <t xml:space="preserve"> </t>
    </r>
    <r>
      <rPr>
        <sz val="9"/>
        <color theme="1"/>
        <rFont val="맑은 고딕"/>
        <family val="2"/>
      </rPr>
      <t>입력하여</t>
    </r>
    <r>
      <rPr>
        <sz val="9"/>
        <color theme="1"/>
        <rFont val="Calibri"/>
        <family val="2"/>
      </rPr>
      <t xml:space="preserve"> </t>
    </r>
    <r>
      <rPr>
        <sz val="9"/>
        <color theme="1"/>
        <rFont val="맑은 고딕"/>
        <family val="2"/>
      </rPr>
      <t>일정이</t>
    </r>
    <r>
      <rPr>
        <sz val="9"/>
        <color theme="1"/>
        <rFont val="Calibri"/>
        <family val="2"/>
      </rPr>
      <t xml:space="preserve"> </t>
    </r>
    <r>
      <rPr>
        <sz val="9"/>
        <color theme="1"/>
        <rFont val="맑은 고딕"/>
        <family val="2"/>
      </rPr>
      <t>지연되었거나</t>
    </r>
    <r>
      <rPr>
        <sz val="9"/>
        <color theme="1"/>
        <rFont val="Calibri"/>
        <family val="2"/>
      </rPr>
      <t xml:space="preserve"> </t>
    </r>
    <r>
      <rPr>
        <sz val="9"/>
        <color theme="1"/>
        <rFont val="맑은 고딕"/>
        <family val="2"/>
      </rPr>
      <t>빨리</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것을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</si>
  <si>
    <r>
      <rPr>
        <sz val="9"/>
        <color theme="1"/>
        <rFont val="맑은 고딕"/>
        <family val="2"/>
      </rPr>
      <t>필드명이</t>
    </r>
    <r>
      <rPr>
        <sz val="9"/>
        <color theme="1"/>
        <rFont val="Calibri"/>
        <family val="2"/>
      </rPr>
      <t xml:space="preserve"> </t>
    </r>
    <r>
      <rPr>
        <sz val="9"/>
        <color theme="1"/>
        <rFont val="맑은 고딕"/>
        <family val="2"/>
      </rPr>
      <t>비어있는</t>
    </r>
    <r>
      <rPr>
        <sz val="9"/>
        <color theme="1"/>
        <rFont val="Calibri"/>
        <family val="2"/>
      </rPr>
      <t xml:space="preserve"> </t>
    </r>
    <r>
      <rPr>
        <sz val="9"/>
        <color theme="1"/>
        <rFont val="맑은 고딕"/>
        <family val="2"/>
      </rPr>
      <t>항목은</t>
    </r>
    <r>
      <rPr>
        <sz val="9"/>
        <color theme="1"/>
        <rFont val="Calibri"/>
        <family val="2"/>
      </rPr>
      <t xml:space="preserve"> </t>
    </r>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</si>
  <si>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엑셀매크로</t>
    </r>
    <r>
      <rPr>
        <sz val="9"/>
        <color theme="1"/>
        <rFont val="Calibri"/>
        <family val="2"/>
      </rPr>
      <t xml:space="preserve"> </t>
    </r>
    <r>
      <rPr>
        <sz val="9"/>
        <color theme="1"/>
        <rFont val="맑은 고딕"/>
        <family val="2"/>
      </rPr>
      <t>파일은</t>
    </r>
    <r>
      <rPr>
        <sz val="9"/>
        <color theme="1"/>
        <rFont val="Calibri"/>
        <family val="2"/>
      </rPr>
      <t xml:space="preserve"> </t>
    </r>
    <r>
      <rPr>
        <sz val="9"/>
        <color theme="1"/>
        <rFont val="맑은 고딕"/>
        <family val="2"/>
      </rPr>
      <t>가져오기를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 xml:space="preserve">. xls </t>
    </r>
    <r>
      <rPr>
        <sz val="9"/>
        <color theme="1"/>
        <rFont val="맑은 고딕"/>
        <family val="2"/>
      </rPr>
      <t>또는</t>
    </r>
    <r>
      <rPr>
        <sz val="9"/>
        <color theme="1"/>
        <rFont val="Calibri"/>
        <family val="2"/>
      </rPr>
      <t xml:space="preserve"> xlsx</t>
    </r>
    <r>
      <rPr>
        <sz val="9"/>
        <color theme="1"/>
        <rFont val="맑은 고딕"/>
        <family val="2"/>
      </rPr>
      <t>파일로</t>
    </r>
    <r>
      <rPr>
        <sz val="9"/>
        <color theme="1"/>
        <rFont val="Calibri"/>
        <family val="2"/>
      </rPr>
      <t xml:space="preserve"> </t>
    </r>
    <r>
      <rPr>
        <sz val="9"/>
        <color theme="1"/>
        <rFont val="맑은 고딕"/>
        <family val="2"/>
      </rPr>
      <t>저장하여</t>
    </r>
    <r>
      <rPr>
        <sz val="9"/>
        <color theme="1"/>
        <rFont val="Calibri"/>
        <family val="2"/>
      </rPr>
      <t xml:space="preserve"> </t>
    </r>
    <r>
      <rPr>
        <sz val="9"/>
        <color theme="1"/>
        <rFont val="맑은 고딕"/>
        <family val="2"/>
      </rPr>
      <t>작업하시기</t>
    </r>
    <r>
      <rPr>
        <sz val="9"/>
        <color theme="1"/>
        <rFont val="Calibri"/>
        <family val="2"/>
      </rPr>
      <t xml:space="preserve"> </t>
    </r>
    <r>
      <rPr>
        <sz val="9"/>
        <color theme="1"/>
        <rFont val="맑은 고딕"/>
        <family val="2"/>
      </rPr>
      <t>바랍니다</t>
    </r>
    <r>
      <rPr>
        <sz val="9"/>
        <color theme="1"/>
        <rFont val="Calibri"/>
        <family val="2"/>
      </rPr>
      <t xml:space="preserve">. </t>
    </r>
    <r>
      <rPr>
        <sz val="9"/>
        <color theme="1"/>
        <rFont val="맑은 고딕"/>
        <family val="2"/>
      </rPr>
      <t>만약</t>
    </r>
    <r>
      <rPr>
        <sz val="9"/>
        <color theme="1"/>
        <rFont val="Calibri"/>
        <family val="2"/>
      </rPr>
      <t xml:space="preserve"> XLGantt</t>
    </r>
    <r>
      <rPr>
        <sz val="9"/>
        <color theme="1"/>
        <rFont val="맑은 고딕"/>
        <family val="2"/>
      </rPr>
      <t>파일인</t>
    </r>
    <r>
      <rPr>
        <sz val="9"/>
        <color theme="1"/>
        <rFont val="Calibri"/>
        <family val="2"/>
      </rPr>
      <t xml:space="preserve"> </t>
    </r>
    <r>
      <rPr>
        <sz val="9"/>
        <color theme="1"/>
        <rFont val="맑은 고딕"/>
        <family val="2"/>
      </rPr>
      <t>경우에는</t>
    </r>
    <r>
      <rPr>
        <sz val="9"/>
        <color theme="1"/>
        <rFont val="Calibri"/>
        <family val="2"/>
      </rPr>
      <t xml:space="preserve"> "XLGantt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가져오기</t>
    </r>
    <r>
      <rPr>
        <sz val="9"/>
        <color theme="1"/>
        <rFont val="Calibri"/>
        <family val="2"/>
      </rPr>
      <t>"</t>
    </r>
    <r>
      <rPr>
        <sz val="9"/>
        <color theme="1"/>
        <rFont val="맑은 고딕"/>
        <family val="2"/>
      </rPr>
      <t>에서</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가능합니다</t>
    </r>
  </si>
  <si>
    <r>
      <rPr>
        <sz val="9"/>
        <color theme="1"/>
        <rFont val="맑은 고딕"/>
        <family val="2"/>
      </rPr>
      <t>기본언어인</t>
    </r>
    <r>
      <rPr>
        <sz val="9"/>
        <color theme="1"/>
        <rFont val="Calibri"/>
        <family val="2"/>
      </rPr>
      <t xml:space="preserve"> English</t>
    </r>
    <r>
      <rPr>
        <sz val="9"/>
        <color theme="1"/>
        <rFont val="맑은 고딕"/>
        <family val="2"/>
      </rPr>
      <t>와</t>
    </r>
    <r>
      <rPr>
        <sz val="9"/>
        <color theme="1"/>
        <rFont val="Calibri"/>
        <family val="2"/>
      </rPr>
      <t xml:space="preserve"> Korean</t>
    </r>
    <r>
      <rPr>
        <sz val="9"/>
        <color theme="1"/>
        <rFont val="맑은 고딕"/>
        <family val="2"/>
      </rPr>
      <t>은</t>
    </r>
    <r>
      <rPr>
        <sz val="9"/>
        <color theme="1"/>
        <rFont val="Calibri"/>
        <family val="2"/>
      </rPr>
      <t xml:space="preserve"> </t>
    </r>
    <r>
      <rPr>
        <sz val="9"/>
        <color theme="1"/>
        <rFont val="맑은 고딕"/>
        <family val="2"/>
      </rPr>
      <t>삭제할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</si>
  <si>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언어가</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</si>
  <si>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Source</t>
    </r>
    <r>
      <rPr>
        <sz val="9"/>
        <color theme="1"/>
        <rFont val="맑은 고딕"/>
        <family val="2"/>
      </rPr>
      <t>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</si>
  <si>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Target</t>
    </r>
    <r>
      <rPr>
        <sz val="9"/>
        <color theme="1"/>
        <rFont val="맑은 고딕"/>
        <family val="2"/>
      </rPr>
      <t>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</si>
  <si>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Mapping</t>
    </r>
    <r>
      <rPr>
        <sz val="9"/>
        <color theme="1"/>
        <rFont val="맑은 고딕"/>
        <family val="2"/>
      </rPr>
      <t>취소항목이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</si>
  <si>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rPr>
        <sz val="9"/>
        <color theme="1"/>
        <rFont val="맑은 고딕"/>
        <family val="2"/>
      </rPr>
      <t>한곳만</t>
    </r>
    <r>
      <rPr>
        <sz val="9"/>
        <color theme="1"/>
        <rFont val="Calibri"/>
        <family val="2"/>
      </rPr>
      <t xml:space="preserve"> </t>
    </r>
    <r>
      <rPr>
        <sz val="9"/>
        <color theme="1"/>
        <rFont val="맑은 고딕"/>
        <family val="2"/>
      </rPr>
      <t>선택하세요</t>
    </r>
    <r>
      <rPr>
        <sz val="9"/>
        <color theme="1"/>
        <rFont val="Calibri"/>
        <family val="2"/>
      </rPr>
      <t xml:space="preserve">. </t>
    </r>
    <r>
      <rPr>
        <sz val="9"/>
        <color theme="1"/>
        <rFont val="맑은 고딕"/>
        <family val="2"/>
      </rPr>
      <t>현재</t>
    </r>
    <r>
      <rPr>
        <sz val="9"/>
        <color theme="1"/>
        <rFont val="Calibri"/>
        <family val="2"/>
      </rPr>
      <t xml:space="preserve"> {}</t>
    </r>
    <r>
      <rPr>
        <sz val="9"/>
        <color theme="1"/>
        <rFont val="맑은 고딕"/>
        <family val="2"/>
      </rPr>
      <t>곳이</t>
    </r>
    <r>
      <rPr>
        <sz val="9"/>
        <color theme="1"/>
        <rFont val="Calibri"/>
        <family val="2"/>
      </rPr>
      <t xml:space="preserve"> </t>
    </r>
    <r>
      <rPr>
        <sz val="9"/>
        <color theme="1"/>
        <rFont val="맑은 고딕"/>
        <family val="2"/>
      </rPr>
      <t>선택되었습니다</t>
    </r>
    <r>
      <rPr>
        <sz val="9"/>
        <color theme="1"/>
        <rFont val="Calibri"/>
        <family val="2"/>
      </rPr>
      <t>.</t>
    </r>
  </si>
  <si>
    <r>
      <rPr>
        <sz val="9"/>
        <color theme="1"/>
        <rFont val="돋움"/>
        <family val="3"/>
        <charset val="129"/>
      </rPr>
      <t>계획</t>
    </r>
    <r>
      <rPr>
        <sz val="9"/>
        <color theme="1"/>
        <rFont val="Calibri"/>
        <family val="2"/>
      </rPr>
      <t>__</t>
    </r>
    <r>
      <rPr>
        <sz val="9"/>
        <color theme="1"/>
        <rFont val="돋움"/>
        <family val="3"/>
        <charset val="129"/>
      </rPr>
      <t>기간</t>
    </r>
    <phoneticPr fontId="5" type="noConversion"/>
  </si>
  <si>
    <t>Total__Duration</t>
    <phoneticPr fontId="5" type="noConversion"/>
  </si>
  <si>
    <r>
      <rPr>
        <sz val="9"/>
        <color theme="1"/>
        <rFont val="돋움"/>
        <family val="3"/>
        <charset val="129"/>
      </rPr>
      <t>총</t>
    </r>
    <r>
      <rPr>
        <sz val="9"/>
        <color theme="1"/>
        <rFont val="Calibri"/>
        <family val="2"/>
      </rPr>
      <t>__</t>
    </r>
    <r>
      <rPr>
        <sz val="9"/>
        <color theme="1"/>
        <rFont val="돋움"/>
        <family val="3"/>
        <charset val="129"/>
      </rPr>
      <t>작업량</t>
    </r>
    <phoneticPr fontId="5" type="noConversion"/>
  </si>
  <si>
    <t>Saturdays, Sundays and the dates entered in the Calendar sheet_x000D_</t>
    <phoneticPr fontId="2" type="noConversion"/>
  </si>
  <si>
    <t>Actual__Total Work</t>
    <phoneticPr fontId="5" type="noConversion"/>
  </si>
  <si>
    <r>
      <rPr>
        <sz val="9"/>
        <color theme="1"/>
        <rFont val="맑은 고딕"/>
        <family val="2"/>
      </rPr>
      <t>실제_x000D_</t>
    </r>
    <r>
      <rPr>
        <sz val="9"/>
        <color theme="1"/>
        <rFont val="Calibri"/>
        <family val="2"/>
      </rPr>
      <t>\n</t>
    </r>
    <r>
      <rPr>
        <sz val="9"/>
        <color theme="1"/>
        <rFont val="맑은 고딕"/>
        <family val="2"/>
      </rPr>
      <t>시작일</t>
    </r>
    <r>
      <rPr>
        <sz val="9"/>
        <color theme="1"/>
        <rFont val="Calibri"/>
        <family val="2"/>
      </rPr>
      <t>-</t>
    </r>
    <r>
      <rPr>
        <sz val="9"/>
        <color theme="1"/>
        <rFont val="맑은 고딕"/>
        <family val="2"/>
      </rPr>
      <t>완료일</t>
    </r>
    <phoneticPr fontId="2" type="noConversion"/>
  </si>
  <si>
    <r>
      <t>계획</t>
    </r>
    <r>
      <rPr>
        <sz val="10"/>
        <color theme="1"/>
        <rFont val="Calibri"/>
        <family val="2"/>
      </rPr>
      <t>\n</t>
    </r>
    <r>
      <rPr>
        <sz val="10"/>
        <color theme="1"/>
        <rFont val="돋움"/>
        <family val="3"/>
        <charset val="129"/>
      </rPr>
      <t>기간</t>
    </r>
  </si>
  <si>
    <r>
      <t>실제</t>
    </r>
    <r>
      <rPr>
        <sz val="10"/>
        <color theme="1"/>
        <rFont val="Calibri"/>
        <family val="2"/>
      </rPr>
      <t>\n</t>
    </r>
    <r>
      <rPr>
        <sz val="10"/>
        <color theme="1"/>
        <rFont val="돋움"/>
        <family val="3"/>
        <charset val="129"/>
      </rPr>
      <t>총기간</t>
    </r>
  </si>
  <si>
    <r>
      <t>총</t>
    </r>
    <r>
      <rPr>
        <sz val="10"/>
        <color theme="1"/>
        <rFont val="Calibri"/>
        <family val="2"/>
      </rPr>
      <t>\n</t>
    </r>
    <r>
      <rPr>
        <sz val="10"/>
        <color theme="1"/>
        <rFont val="돋움"/>
        <family val="3"/>
        <charset val="129"/>
      </rPr>
      <t>기간</t>
    </r>
  </si>
  <si>
    <t>Reserved</t>
    <phoneticPr fontId="5" type="noConversion"/>
  </si>
  <si>
    <t>Text Index</t>
    <phoneticPr fontId="5" type="noConversion"/>
  </si>
  <si>
    <t>Description</t>
    <phoneticPr fontId="5"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</si>
  <si>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</si>
  <si>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r>
      <rPr>
        <sz val="9"/>
        <color theme="1"/>
        <rFont val="맑은 고딕"/>
        <family val="2"/>
      </rPr>
      <t>여기에는</t>
    </r>
    <r>
      <rPr>
        <sz val="9"/>
        <color theme="1"/>
        <rFont val="Calibri"/>
        <family val="2"/>
      </rPr>
      <t xml:space="preserve"> </t>
    </r>
    <r>
      <rPr>
        <sz val="9"/>
        <color theme="1"/>
        <rFont val="맑은 고딕"/>
        <family val="2"/>
      </rPr>
      <t>프로젝트의</t>
    </r>
    <r>
      <rPr>
        <sz val="9"/>
        <color theme="1"/>
        <rFont val="Calibri"/>
        <family val="2"/>
      </rPr>
      <t xml:space="preserve"> </t>
    </r>
    <r>
      <rPr>
        <sz val="9"/>
        <color theme="1"/>
        <rFont val="맑은 고딕"/>
        <family val="2"/>
      </rPr>
      <t>휴무일만</t>
    </r>
    <r>
      <rPr>
        <sz val="9"/>
        <color theme="1"/>
        <rFont val="Calibri"/>
        <family val="2"/>
      </rPr>
      <t xml:space="preserve"> </t>
    </r>
    <r>
      <rPr>
        <sz val="9"/>
        <color theme="1"/>
        <rFont val="맑은 고딕"/>
        <family val="2"/>
      </rPr>
      <t>입력하세요</t>
    </r>
    <r>
      <rPr>
        <sz val="9"/>
        <color theme="1"/>
        <rFont val="Calibri"/>
        <family val="2"/>
      </rPr>
      <t>.</t>
    </r>
    <r>
      <rPr>
        <sz val="9"/>
        <color theme="1"/>
        <rFont val="맑은 고딕"/>
        <family val="2"/>
      </rPr>
      <t>휴무일을</t>
    </r>
    <r>
      <rPr>
        <sz val="9"/>
        <color theme="1"/>
        <rFont val="Calibri"/>
        <family val="2"/>
      </rPr>
      <t xml:space="preserve"> </t>
    </r>
    <r>
      <rPr>
        <sz val="9"/>
        <color theme="1"/>
        <rFont val="맑은 고딕"/>
        <family val="2"/>
      </rPr>
      <t>제외한</t>
    </r>
    <r>
      <rPr>
        <sz val="9"/>
        <color theme="1"/>
        <rFont val="Calibri"/>
        <family val="2"/>
      </rPr>
      <t xml:space="preserve"> </t>
    </r>
    <r>
      <rPr>
        <sz val="9"/>
        <color theme="1"/>
        <rFont val="맑은 고딕"/>
        <family val="2"/>
      </rPr>
      <t>날짜는</t>
    </r>
    <r>
      <rPr>
        <sz val="9"/>
        <color theme="1"/>
        <rFont val="Calibri"/>
        <family val="2"/>
      </rPr>
      <t xml:space="preserve"> </t>
    </r>
    <r>
      <rPr>
        <sz val="9"/>
        <color theme="1"/>
        <rFont val="맑은 고딕"/>
        <family val="2"/>
      </rPr>
      <t>근무일자로</t>
    </r>
    <r>
      <rPr>
        <sz val="9"/>
        <color theme="1"/>
        <rFont val="Calibri"/>
        <family val="2"/>
      </rPr>
      <t xml:space="preserve"> </t>
    </r>
    <r>
      <rPr>
        <sz val="9"/>
        <color theme="1"/>
        <rFont val="맑은 고딕"/>
        <family val="2"/>
      </rPr>
      <t>설정됩니다</t>
    </r>
    <r>
      <rPr>
        <sz val="9"/>
        <color theme="1"/>
        <rFont val="Calibri"/>
        <family val="2"/>
      </rPr>
      <t>. \n</t>
    </r>
    <r>
      <rPr>
        <sz val="9"/>
        <color theme="1"/>
        <rFont val="맑은 고딕"/>
        <family val="2"/>
      </rPr>
      <t>휴무일을</t>
    </r>
    <r>
      <rPr>
        <sz val="9"/>
        <color theme="1"/>
        <rFont val="Calibri"/>
        <family val="2"/>
      </rPr>
      <t xml:space="preserve"> </t>
    </r>
    <r>
      <rPr>
        <sz val="9"/>
        <color theme="1"/>
        <rFont val="맑은 고딕"/>
        <family val="2"/>
      </rPr>
      <t>입력해야</t>
    </r>
    <r>
      <rPr>
        <sz val="9"/>
        <color theme="1"/>
        <rFont val="Calibri"/>
        <family val="2"/>
      </rPr>
      <t xml:space="preserve"> </t>
    </r>
    <r>
      <rPr>
        <sz val="9"/>
        <color theme="1"/>
        <rFont val="맑은 고딕"/>
        <family val="2"/>
      </rPr>
      <t>작업기간</t>
    </r>
    <r>
      <rPr>
        <sz val="9"/>
        <color theme="1"/>
        <rFont val="Calibri"/>
        <family val="2"/>
      </rPr>
      <t xml:space="preserve"> </t>
    </r>
    <r>
      <rPr>
        <sz val="9"/>
        <color theme="1"/>
        <rFont val="맑은 고딕"/>
        <family val="2"/>
      </rPr>
      <t>계산시</t>
    </r>
    <r>
      <rPr>
        <sz val="9"/>
        <color theme="1"/>
        <rFont val="Calibri"/>
        <family val="2"/>
      </rPr>
      <t xml:space="preserve"> </t>
    </r>
    <r>
      <rPr>
        <sz val="9"/>
        <color theme="1"/>
        <rFont val="맑은 고딕"/>
        <family val="2"/>
      </rPr>
      <t>반영합니다</t>
    </r>
    <r>
      <rPr>
        <sz val="9"/>
        <color theme="1"/>
        <rFont val="Calibri"/>
        <family val="2"/>
      </rPr>
      <t xml:space="preserve">. </t>
    </r>
    <r>
      <rPr>
        <sz val="9"/>
        <color theme="1"/>
        <rFont val="맑은 고딕"/>
        <family val="2"/>
      </rPr>
      <t>입력한</t>
    </r>
    <r>
      <rPr>
        <sz val="9"/>
        <color theme="1"/>
        <rFont val="Calibri"/>
        <family val="2"/>
      </rPr>
      <t xml:space="preserve"> </t>
    </r>
    <r>
      <rPr>
        <sz val="9"/>
        <color theme="1"/>
        <rFont val="맑은 고딕"/>
        <family val="2"/>
      </rPr>
      <t>일자만큼</t>
    </r>
    <r>
      <rPr>
        <sz val="9"/>
        <color theme="1"/>
        <rFont val="Calibri"/>
        <family val="2"/>
      </rPr>
      <t xml:space="preserve"> </t>
    </r>
    <r>
      <rPr>
        <sz val="9"/>
        <color theme="1"/>
        <rFont val="맑은 고딕"/>
        <family val="2"/>
      </rPr>
      <t>작업기간에서</t>
    </r>
    <r>
      <rPr>
        <sz val="9"/>
        <color theme="1"/>
        <rFont val="Calibri"/>
        <family val="2"/>
      </rPr>
      <t xml:space="preserve"> </t>
    </r>
    <r>
      <rPr>
        <sz val="9"/>
        <color theme="1"/>
        <rFont val="맑은 고딕"/>
        <family val="2"/>
      </rPr>
      <t>제외합니다</t>
    </r>
    <r>
      <rPr>
        <sz val="9"/>
        <color theme="1"/>
        <rFont val="Calibri"/>
        <family val="2"/>
      </rPr>
      <t>.\n(</t>
    </r>
    <r>
      <rPr>
        <sz val="9"/>
        <color theme="1"/>
        <rFont val="맑은 고딕"/>
        <family val="2"/>
      </rPr>
      <t>단</t>
    </r>
    <r>
      <rPr>
        <sz val="9"/>
        <color theme="1"/>
        <rFont val="Calibri"/>
        <family val="2"/>
      </rPr>
      <t xml:space="preserve">, </t>
    </r>
    <r>
      <rPr>
        <sz val="9"/>
        <color theme="1"/>
        <rFont val="맑은 고딕"/>
        <family val="2"/>
      </rPr>
      <t>옵션창의</t>
    </r>
    <r>
      <rPr>
        <sz val="9"/>
        <color theme="1"/>
        <rFont val="Calibri"/>
        <family val="2"/>
      </rPr>
      <t xml:space="preserve"> </t>
    </r>
    <r>
      <rPr>
        <sz val="9"/>
        <color theme="1"/>
        <rFont val="맑은 고딕"/>
        <family val="2"/>
      </rPr>
      <t>캘린더</t>
    </r>
    <r>
      <rPr>
        <sz val="9"/>
        <color theme="1"/>
        <rFont val="Calibri"/>
        <family val="2"/>
      </rPr>
      <t xml:space="preserve"> </t>
    </r>
    <r>
      <rPr>
        <sz val="9"/>
        <color theme="1"/>
        <rFont val="맑은 고딕"/>
        <family val="2"/>
      </rPr>
      <t>설정에</t>
    </r>
    <r>
      <rPr>
        <sz val="9"/>
        <color theme="1"/>
        <rFont val="Calibri"/>
        <family val="2"/>
      </rPr>
      <t xml:space="preserve"> </t>
    </r>
    <r>
      <rPr>
        <sz val="9"/>
        <color theme="1"/>
        <rFont val="맑은 고딕"/>
        <family val="2"/>
      </rPr>
      <t>따라</t>
    </r>
    <r>
      <rPr>
        <sz val="9"/>
        <color theme="1"/>
        <rFont val="Calibri"/>
        <family val="2"/>
      </rPr>
      <t xml:space="preserve"> </t>
    </r>
    <r>
      <rPr>
        <sz val="9"/>
        <color theme="1"/>
        <rFont val="맑은 고딕"/>
        <family val="2"/>
      </rPr>
      <t>휴무일계산방법은</t>
    </r>
    <r>
      <rPr>
        <sz val="9"/>
        <color theme="1"/>
        <rFont val="Calibri"/>
        <family val="2"/>
      </rPr>
      <t xml:space="preserve"> </t>
    </r>
    <r>
      <rPr>
        <sz val="9"/>
        <color theme="1"/>
        <rFont val="맑은 고딕"/>
        <family val="2"/>
      </rPr>
      <t>달라질</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.)\n</t>
    </r>
    <r>
      <rPr>
        <sz val="9"/>
        <color theme="1"/>
        <rFont val="맑은 고딕"/>
        <family val="2"/>
      </rPr>
      <t>표준캘린더는</t>
    </r>
    <r>
      <rPr>
        <sz val="9"/>
        <color theme="1"/>
        <rFont val="Calibri"/>
        <family val="2"/>
      </rPr>
      <t xml:space="preserve"> </t>
    </r>
    <r>
      <rPr>
        <sz val="9"/>
        <color theme="1"/>
        <rFont val="맑은 고딕"/>
        <family val="2"/>
      </rPr>
      <t>기본으로</t>
    </r>
    <r>
      <rPr>
        <sz val="9"/>
        <color theme="1"/>
        <rFont val="Calibri"/>
        <family val="2"/>
      </rPr>
      <t xml:space="preserve"> </t>
    </r>
    <r>
      <rPr>
        <sz val="9"/>
        <color theme="1"/>
        <rFont val="맑은 고딕"/>
        <family val="2"/>
      </rPr>
      <t>적용되는</t>
    </r>
    <r>
      <rPr>
        <sz val="9"/>
        <color theme="1"/>
        <rFont val="Calibri"/>
        <family val="2"/>
      </rPr>
      <t xml:space="preserve"> </t>
    </r>
    <r>
      <rPr>
        <sz val="9"/>
        <color theme="1"/>
        <rFont val="맑은 고딕"/>
        <family val="2"/>
      </rPr>
      <t>캘린더이며</t>
    </r>
    <r>
      <rPr>
        <sz val="9"/>
        <color theme="1"/>
        <rFont val="Calibri"/>
        <family val="2"/>
      </rPr>
      <t xml:space="preserve"> </t>
    </r>
    <r>
      <rPr>
        <sz val="9"/>
        <color theme="1"/>
        <rFont val="맑은 고딕"/>
        <family val="2"/>
      </rPr>
      <t>특정</t>
    </r>
    <r>
      <rPr>
        <sz val="9"/>
        <color theme="1"/>
        <rFont val="Calibri"/>
        <family val="2"/>
      </rPr>
      <t xml:space="preserve"> </t>
    </r>
    <r>
      <rPr>
        <sz val="9"/>
        <color theme="1"/>
        <rFont val="맑은 고딕"/>
        <family val="2"/>
      </rPr>
      <t>작업에</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캘린더를</t>
    </r>
    <r>
      <rPr>
        <sz val="9"/>
        <color theme="1"/>
        <rFont val="Calibri"/>
        <family val="2"/>
      </rPr>
      <t xml:space="preserve"> </t>
    </r>
    <r>
      <rPr>
        <sz val="9"/>
        <color theme="1"/>
        <rFont val="맑은 고딕"/>
        <family val="2"/>
      </rPr>
      <t>지정하고</t>
    </r>
    <r>
      <rPr>
        <sz val="9"/>
        <color theme="1"/>
        <rFont val="Calibri"/>
        <family val="2"/>
      </rPr>
      <t xml:space="preserve"> </t>
    </r>
    <r>
      <rPr>
        <sz val="9"/>
        <color theme="1"/>
        <rFont val="맑은 고딕"/>
        <family val="2"/>
      </rPr>
      <t>싶으면</t>
    </r>
    <r>
      <rPr>
        <sz val="9"/>
        <color theme="1"/>
        <rFont val="Calibri"/>
        <family val="2"/>
      </rPr>
      <t xml:space="preserve"> "</t>
    </r>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1", "</t>
    </r>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2"</t>
    </r>
    <r>
      <rPr>
        <sz val="9"/>
        <color theme="1"/>
        <rFont val="맑은 고딕"/>
        <family val="2"/>
      </rPr>
      <t>에</t>
    </r>
    <r>
      <rPr>
        <sz val="9"/>
        <color theme="1"/>
        <rFont val="Calibri"/>
        <family val="2"/>
      </rPr>
      <t xml:space="preserve"> </t>
    </r>
    <r>
      <rPr>
        <sz val="9"/>
        <color theme="1"/>
        <rFont val="맑은 고딕"/>
        <family val="2"/>
      </rPr>
      <t>휴무일을</t>
    </r>
    <r>
      <rPr>
        <sz val="9"/>
        <color theme="1"/>
        <rFont val="Calibri"/>
        <family val="2"/>
      </rPr>
      <t xml:space="preserve"> </t>
    </r>
    <r>
      <rPr>
        <sz val="9"/>
        <color theme="1"/>
        <rFont val="맑은 고딕"/>
        <family val="2"/>
      </rPr>
      <t>지정하여</t>
    </r>
    <r>
      <rPr>
        <sz val="9"/>
        <color theme="1"/>
        <rFont val="Calibri"/>
        <family val="2"/>
      </rPr>
      <t xml:space="preserve"> </t>
    </r>
    <r>
      <rPr>
        <sz val="9"/>
        <color theme="1"/>
        <rFont val="맑은 고딕"/>
        <family val="2"/>
      </rPr>
      <t>사용합니다</t>
    </r>
    <r>
      <rPr>
        <sz val="9"/>
        <color theme="1"/>
        <rFont val="Calibri"/>
        <family val="2"/>
      </rPr>
      <t>.</t>
    </r>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</si>
  <si>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</si>
  <si>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</si>
  <si>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</si>
  <si>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</si>
  <si>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r>
      <rPr>
        <sz val="9"/>
        <color theme="1"/>
        <rFont val="맑은 고딕"/>
        <family val="2"/>
      </rPr>
      <t>토요일</t>
    </r>
    <r>
      <rPr>
        <sz val="9"/>
        <color theme="1"/>
        <rFont val="Calibri"/>
        <family val="2"/>
      </rPr>
      <t>,</t>
    </r>
    <r>
      <rPr>
        <sz val="9"/>
        <color theme="1"/>
        <rFont val="맑은 고딕"/>
        <family val="2"/>
      </rPr>
      <t>일요일</t>
    </r>
    <r>
      <rPr>
        <sz val="9"/>
        <color theme="1"/>
        <rFont val="Calibri"/>
        <family val="2"/>
      </rPr>
      <t xml:space="preserve"> </t>
    </r>
    <r>
      <rPr>
        <sz val="9"/>
        <color theme="1"/>
        <rFont val="맑은 고딕"/>
        <family val="2"/>
      </rPr>
      <t>및</t>
    </r>
    <r>
      <rPr>
        <sz val="9"/>
        <color theme="1"/>
        <rFont val="Calibri"/>
        <family val="2"/>
      </rPr>
      <t xml:space="preserve"> Calendar sheet</t>
    </r>
    <r>
      <rPr>
        <sz val="9"/>
        <color theme="1"/>
        <rFont val="맑은 고딕"/>
        <family val="2"/>
      </rPr>
      <t>에</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날짜_x000D_</t>
    </r>
    <phoneticPr fontId="2" type="noConversion"/>
  </si>
  <si>
    <t>for import columun</t>
    <phoneticPr fontId="5" type="noConversion"/>
  </si>
  <si>
    <t>%Work__Complete</t>
    <phoneticPr fontId="5" type="noConversion"/>
  </si>
  <si>
    <t>manual input</t>
    <phoneticPr fontId="2" type="noConversion"/>
  </si>
  <si>
    <t>Actual</t>
    <phoneticPr fontId="2" type="noConversion"/>
  </si>
  <si>
    <t>실적</t>
    <phoneticPr fontId="2" type="noConversion"/>
  </si>
  <si>
    <t>Actual Total__Duration</t>
    <phoneticPr fontId="5" type="noConversion"/>
  </si>
  <si>
    <r>
      <rPr>
        <sz val="9"/>
        <color theme="1"/>
        <rFont val="돋움"/>
        <family val="3"/>
        <charset val="129"/>
      </rPr>
      <t>실제</t>
    </r>
    <r>
      <rPr>
        <sz val="9"/>
        <color theme="1"/>
        <rFont val="Calibri"/>
        <family val="2"/>
      </rPr>
      <t xml:space="preserve"> </t>
    </r>
    <r>
      <rPr>
        <sz val="9"/>
        <color theme="1"/>
        <rFont val="돋움"/>
        <family val="3"/>
        <charset val="129"/>
      </rPr>
      <t>총기간</t>
    </r>
    <r>
      <rPr>
        <sz val="9"/>
        <color theme="1"/>
        <rFont val="Calibri"/>
        <family val="2"/>
      </rPr>
      <t>__(</t>
    </r>
    <r>
      <rPr>
        <sz val="9"/>
        <color theme="1"/>
        <rFont val="돋움"/>
        <family val="3"/>
        <charset val="129"/>
      </rPr>
      <t>전체</t>
    </r>
    <r>
      <rPr>
        <sz val="9"/>
        <color theme="1"/>
        <rFont val="Calibri"/>
        <family val="2"/>
      </rPr>
      <t xml:space="preserve"> </t>
    </r>
    <r>
      <rPr>
        <sz val="9"/>
        <color theme="1"/>
        <rFont val="돋움"/>
        <family val="3"/>
        <charset val="129"/>
      </rPr>
      <t>기간</t>
    </r>
    <r>
      <rPr>
        <sz val="9"/>
        <color theme="1"/>
        <rFont val="Calibri"/>
        <family val="2"/>
      </rPr>
      <t>)</t>
    </r>
    <phoneticPr fontId="5" type="noConversion"/>
  </si>
  <si>
    <r>
      <t>실제</t>
    </r>
    <r>
      <rPr>
        <sz val="10"/>
        <color theme="1"/>
        <rFont val="Calibri"/>
        <family val="2"/>
      </rPr>
      <t xml:space="preserve"> </t>
    </r>
    <r>
      <rPr>
        <sz val="10"/>
        <color theme="1"/>
        <rFont val="돋움"/>
        <family val="3"/>
        <charset val="129"/>
      </rPr>
      <t>총작업량</t>
    </r>
    <r>
      <rPr>
        <sz val="10"/>
        <color theme="1"/>
        <rFont val="Calibri"/>
        <family val="2"/>
      </rPr>
      <t>\n</t>
    </r>
    <r>
      <rPr>
        <sz val="10"/>
        <color theme="1"/>
        <rFont val="Calibri"/>
        <family val="2"/>
      </rPr>
      <t>(</t>
    </r>
    <r>
      <rPr>
        <sz val="10"/>
        <color theme="1"/>
        <rFont val="돋움"/>
        <family val="3"/>
        <charset val="129"/>
      </rPr>
      <t>총</t>
    </r>
    <r>
      <rPr>
        <sz val="10"/>
        <color theme="1"/>
        <rFont val="Calibri"/>
        <family val="2"/>
      </rPr>
      <t>ManDay,_x000D_</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phoneticPr fontId="5" type="noConversion"/>
  </si>
  <si>
    <t>for import columun</t>
    <phoneticPr fontId="5" type="noConversion"/>
  </si>
  <si>
    <t>Actual__Finish</t>
    <phoneticPr fontId="5" type="noConversion"/>
  </si>
  <si>
    <r>
      <rPr>
        <sz val="9"/>
        <color theme="1"/>
        <rFont val="돋움"/>
        <family val="3"/>
        <charset val="129"/>
      </rPr>
      <t>실제</t>
    </r>
    <r>
      <rPr>
        <sz val="9"/>
        <color theme="1"/>
        <rFont val="Calibri"/>
        <family val="2"/>
      </rPr>
      <t>__</t>
    </r>
    <r>
      <rPr>
        <sz val="9"/>
        <color theme="1"/>
        <rFont val="돋움"/>
        <family val="3"/>
        <charset val="129"/>
      </rPr>
      <t>완료일</t>
    </r>
    <phoneticPr fontId="5" type="noConversion"/>
  </si>
  <si>
    <t>Actual__Start</t>
    <phoneticPr fontId="5" type="noConversion"/>
  </si>
  <si>
    <r>
      <rPr>
        <sz val="9"/>
        <color theme="1"/>
        <rFont val="돋움"/>
        <family val="3"/>
        <charset val="129"/>
      </rPr>
      <t>실제</t>
    </r>
    <r>
      <rPr>
        <sz val="9"/>
        <color theme="1"/>
        <rFont val="Calibri"/>
        <family val="2"/>
      </rPr>
      <t>__</t>
    </r>
    <r>
      <rPr>
        <sz val="9"/>
        <color theme="1"/>
        <rFont val="돋움"/>
        <family val="3"/>
        <charset val="129"/>
      </rPr>
      <t>시작일</t>
    </r>
    <phoneticPr fontId="5" type="noConversion"/>
  </si>
  <si>
    <t>Actual__Total Duration</t>
    <phoneticPr fontId="5" type="noConversion"/>
  </si>
  <si>
    <r>
      <rPr>
        <sz val="9"/>
        <color theme="1"/>
        <rFont val="돋움"/>
        <family val="3"/>
        <charset val="129"/>
      </rPr>
      <t>실제</t>
    </r>
    <r>
      <rPr>
        <sz val="9"/>
        <color theme="1"/>
        <rFont val="Calibri"/>
        <family val="2"/>
      </rPr>
      <t>__</t>
    </r>
    <r>
      <rPr>
        <sz val="9"/>
        <color theme="1"/>
        <rFont val="돋움"/>
        <family val="3"/>
        <charset val="129"/>
      </rPr>
      <t>총기간</t>
    </r>
    <phoneticPr fontId="5" type="noConversion"/>
  </si>
  <si>
    <r>
      <rPr>
        <sz val="9"/>
        <color theme="1"/>
        <rFont val="돋움"/>
        <family val="3"/>
        <charset val="129"/>
      </rPr>
      <t>실제</t>
    </r>
    <r>
      <rPr>
        <sz val="9"/>
        <color theme="1"/>
        <rFont val="Calibri"/>
        <family val="2"/>
      </rPr>
      <t>__</t>
    </r>
    <r>
      <rPr>
        <sz val="9"/>
        <color theme="1"/>
        <rFont val="돋움"/>
        <family val="3"/>
        <charset val="129"/>
      </rPr>
      <t>총작업량</t>
    </r>
    <phoneticPr fontId="5" type="noConversion"/>
  </si>
  <si>
    <r>
      <rPr>
        <sz val="9"/>
        <color theme="1"/>
        <rFont val="맑은 고딕"/>
        <family val="2"/>
      </rPr>
      <t>실제</t>
    </r>
    <r>
      <rPr>
        <sz val="9"/>
        <color theme="1"/>
        <rFont val="Calibri"/>
        <family val="2"/>
      </rPr>
      <t>\n</t>
    </r>
    <r>
      <rPr>
        <sz val="9"/>
        <color theme="1"/>
        <rFont val="맑은 고딕"/>
        <family val="2"/>
      </rPr>
      <t>완료일</t>
    </r>
    <phoneticPr fontId="2" type="noConversion"/>
  </si>
  <si>
    <r>
      <rPr>
        <sz val="9"/>
        <color theme="1"/>
        <rFont val="맑은 고딕"/>
        <family val="2"/>
      </rPr>
      <t>실제</t>
    </r>
    <r>
      <rPr>
        <sz val="9"/>
        <color theme="1"/>
        <rFont val="Calibri"/>
        <family val="2"/>
      </rPr>
      <t>\n</t>
    </r>
    <r>
      <rPr>
        <sz val="9"/>
        <color theme="1"/>
        <rFont val="맑은 고딕"/>
        <family val="2"/>
      </rPr>
      <t>시작일</t>
    </r>
    <phoneticPr fontId="2" type="noConversion"/>
  </si>
  <si>
    <t>Actual\nStart-Finish</t>
    <phoneticPr fontId="2" type="noConversion"/>
  </si>
  <si>
    <r>
      <rPr>
        <sz val="9"/>
        <color theme="1"/>
        <rFont val="맑은 고딕"/>
        <family val="2"/>
      </rPr>
      <t>실제</t>
    </r>
    <r>
      <rPr>
        <sz val="9"/>
        <color theme="1"/>
        <rFont val="Calibri"/>
        <family val="2"/>
      </rPr>
      <t>\n</t>
    </r>
    <r>
      <rPr>
        <sz val="9"/>
        <color theme="1"/>
        <rFont val="맑은 고딕"/>
        <family val="2"/>
      </rPr>
      <t>총기간</t>
    </r>
    <phoneticPr fontId="2" type="noConversion"/>
  </si>
  <si>
    <r>
      <rPr>
        <sz val="9"/>
        <color theme="1"/>
        <rFont val="맑은 고딕"/>
        <family val="2"/>
      </rPr>
      <t>담당</t>
    </r>
    <phoneticPr fontId="2" type="noConversion"/>
  </si>
  <si>
    <r>
      <rPr>
        <sz val="9"/>
        <color theme="1"/>
        <rFont val="맑은 고딕"/>
        <family val="2"/>
      </rPr>
      <t>기타</t>
    </r>
    <phoneticPr fontId="2" type="noConversion"/>
  </si>
  <si>
    <r>
      <rPr>
        <sz val="9"/>
        <color theme="1"/>
        <rFont val="맑은 고딕"/>
        <family val="2"/>
      </rPr>
      <t>일반</t>
    </r>
    <phoneticPr fontId="2" type="noConversion"/>
  </si>
  <si>
    <r>
      <rPr>
        <sz val="9"/>
        <color theme="1"/>
        <rFont val="맑은 고딕"/>
        <family val="2"/>
      </rPr>
      <t>언어</t>
    </r>
    <phoneticPr fontId="2" type="noConversion"/>
  </si>
  <si>
    <t>yyyy/mm/dd</t>
    <phoneticPr fontId="2" type="noConversion"/>
  </si>
  <si>
    <r>
      <rPr>
        <sz val="9"/>
        <color theme="1"/>
        <rFont val="맑은 고딕"/>
        <family val="2"/>
      </rPr>
      <t>토요일</t>
    </r>
    <r>
      <rPr>
        <sz val="9"/>
        <color theme="1"/>
        <rFont val="Calibri"/>
        <family val="2"/>
      </rPr>
      <t>,</t>
    </r>
    <r>
      <rPr>
        <sz val="9"/>
        <color theme="1"/>
        <rFont val="맑은 고딕"/>
        <family val="2"/>
      </rPr>
      <t>일요일은</t>
    </r>
    <r>
      <rPr>
        <sz val="9"/>
        <color theme="1"/>
        <rFont val="Calibri"/>
        <family val="2"/>
      </rPr>
      <t xml:space="preserve"> Calendar sheet</t>
    </r>
    <r>
      <rPr>
        <sz val="9"/>
        <color theme="1"/>
        <rFont val="맑은 고딕"/>
        <family val="2"/>
      </rPr>
      <t>에</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필요</t>
    </r>
    <r>
      <rPr>
        <sz val="9"/>
        <color theme="1"/>
        <rFont val="Calibri"/>
        <family val="2"/>
      </rPr>
      <t xml:space="preserve"> </t>
    </r>
    <r>
      <rPr>
        <sz val="9"/>
        <color theme="1"/>
        <rFont val="맑은 고딕"/>
        <family val="2"/>
      </rPr>
      <t>없음</t>
    </r>
    <phoneticPr fontId="2" type="noConversion"/>
  </si>
  <si>
    <r>
      <rPr>
        <sz val="9"/>
        <color theme="1"/>
        <rFont val="맑은 고딕"/>
        <family val="2"/>
      </rPr>
      <t>토요일</t>
    </r>
    <r>
      <rPr>
        <sz val="9"/>
        <color theme="1"/>
        <rFont val="Calibri"/>
        <family val="2"/>
      </rPr>
      <t>,</t>
    </r>
    <r>
      <rPr>
        <sz val="9"/>
        <color theme="1"/>
        <rFont val="맑은 고딕"/>
        <family val="2"/>
      </rPr>
      <t>일요일만</t>
    </r>
    <phoneticPr fontId="2" type="noConversion"/>
  </si>
  <si>
    <r>
      <t>Calendar sheet</t>
    </r>
    <r>
      <rPr>
        <sz val="9"/>
        <color theme="1"/>
        <rFont val="맑은 고딕"/>
        <family val="2"/>
      </rPr>
      <t>에</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날짜만</t>
    </r>
    <phoneticPr fontId="2" type="noConversion"/>
  </si>
  <si>
    <t>Plan</t>
    <phoneticPr fontId="2" type="noConversion"/>
  </si>
  <si>
    <t>계획</t>
    <phoneticPr fontId="2" type="noConversion"/>
  </si>
  <si>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t>
    </r>
    <phoneticPr fontId="2" type="noConversion"/>
  </si>
  <si>
    <t>Planned__%Work Complete</t>
    <phoneticPr fontId="5" type="noConversion"/>
  </si>
  <si>
    <t>Planned__Duration</t>
    <phoneticPr fontId="5" type="noConversion"/>
  </si>
  <si>
    <t>Planned__Work</t>
    <phoneticPr fontId="5" type="noConversion"/>
  </si>
  <si>
    <r>
      <rPr>
        <sz val="9"/>
        <color theme="1"/>
        <rFont val="돋움"/>
        <family val="3"/>
        <charset val="129"/>
      </rPr>
      <t>계획</t>
    </r>
    <r>
      <rPr>
        <sz val="9"/>
        <color theme="1"/>
        <rFont val="Calibri"/>
        <family val="2"/>
      </rPr>
      <t>__</t>
    </r>
    <r>
      <rPr>
        <sz val="9"/>
        <color theme="1"/>
        <rFont val="돋움"/>
        <family val="3"/>
        <charset val="129"/>
      </rPr>
      <t>작업량</t>
    </r>
    <phoneticPr fontId="5" type="noConversion"/>
  </si>
  <si>
    <t>Resources</t>
    <phoneticPr fontId="2" type="noConversion"/>
  </si>
  <si>
    <t>담당</t>
    <phoneticPr fontId="2" type="noConversion"/>
  </si>
  <si>
    <r>
      <rPr>
        <sz val="9"/>
        <color theme="1"/>
        <rFont val="맑은 고딕"/>
        <family val="2"/>
      </rPr>
      <t>작업</t>
    </r>
    <phoneticPr fontId="2" type="noConversion"/>
  </si>
  <si>
    <t>The language setting has been changed.\nPress the OK button to start translation. \nIt may take a long time to translate.\nHowever, translation of Ribbon menu and Popup menu takes effect after reopening this XLGantt file.</t>
    <phoneticPr fontId="5" type="noConversion"/>
  </si>
  <si>
    <r>
      <rPr>
        <sz val="10"/>
        <color theme="1"/>
        <rFont val="돋움"/>
        <family val="3"/>
        <charset val="129"/>
      </rPr>
      <t>언어설정이</t>
    </r>
    <r>
      <rPr>
        <sz val="10"/>
        <color theme="1"/>
        <rFont val="Calibri"/>
        <family val="2"/>
      </rPr>
      <t xml:space="preserve"> </t>
    </r>
    <r>
      <rPr>
        <sz val="10"/>
        <color theme="1"/>
        <rFont val="돋움"/>
        <family val="3"/>
        <charset val="129"/>
      </rPr>
      <t>변경되었습니다</t>
    </r>
    <r>
      <rPr>
        <sz val="10"/>
        <color theme="1"/>
        <rFont val="Calibri"/>
        <family val="2"/>
      </rPr>
      <t>.\n</t>
    </r>
    <r>
      <rPr>
        <sz val="10"/>
        <color theme="1"/>
        <rFont val="돋움"/>
        <family val="3"/>
        <charset val="129"/>
      </rPr>
      <t>확인버튼을</t>
    </r>
    <r>
      <rPr>
        <sz val="10"/>
        <color theme="1"/>
        <rFont val="Calibri"/>
        <family val="2"/>
      </rPr>
      <t xml:space="preserve"> </t>
    </r>
    <r>
      <rPr>
        <sz val="10"/>
        <color theme="1"/>
        <rFont val="돋움"/>
        <family val="3"/>
        <charset val="129"/>
      </rPr>
      <t>누르면</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시작합니다</t>
    </r>
    <r>
      <rPr>
        <sz val="10"/>
        <color theme="1"/>
        <rFont val="Calibri"/>
        <family val="2"/>
      </rPr>
      <t xml:space="preserve">. </t>
    </r>
    <r>
      <rPr>
        <sz val="10"/>
        <color theme="1"/>
        <rFont val="돋움"/>
        <family val="3"/>
        <charset val="129"/>
      </rPr>
      <t>번역은</t>
    </r>
    <r>
      <rPr>
        <sz val="10"/>
        <color theme="1"/>
        <rFont val="Calibri"/>
        <family val="2"/>
      </rPr>
      <t xml:space="preserve"> </t>
    </r>
    <r>
      <rPr>
        <sz val="10"/>
        <color theme="1"/>
        <rFont val="돋움"/>
        <family val="3"/>
        <charset val="129"/>
      </rPr>
      <t>시간이</t>
    </r>
    <r>
      <rPr>
        <sz val="10"/>
        <color theme="1"/>
        <rFont val="Calibri"/>
        <family val="2"/>
      </rPr>
      <t xml:space="preserve"> </t>
    </r>
    <r>
      <rPr>
        <sz val="10"/>
        <color theme="1"/>
        <rFont val="돋움"/>
        <family val="3"/>
        <charset val="129"/>
      </rPr>
      <t>걸릴</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\n</t>
    </r>
    <r>
      <rPr>
        <sz val="10"/>
        <color theme="1"/>
        <rFont val="돋움"/>
        <family val="3"/>
        <charset val="129"/>
      </rPr>
      <t>리본메뉴</t>
    </r>
    <r>
      <rPr>
        <sz val="10"/>
        <color theme="1"/>
        <rFont val="Calibri"/>
        <family val="2"/>
      </rPr>
      <t xml:space="preserve">, </t>
    </r>
    <r>
      <rPr>
        <sz val="10"/>
        <color theme="1"/>
        <rFont val="돋움"/>
        <family val="3"/>
        <charset val="129"/>
      </rPr>
      <t>팝업메뉴의</t>
    </r>
    <r>
      <rPr>
        <sz val="10"/>
        <color theme="1"/>
        <rFont val="Calibri"/>
        <family val="2"/>
      </rPr>
      <t xml:space="preserve"> </t>
    </r>
    <r>
      <rPr>
        <sz val="10"/>
        <color theme="1"/>
        <rFont val="돋움"/>
        <family val="3"/>
        <charset val="129"/>
      </rPr>
      <t>언어는</t>
    </r>
    <r>
      <rPr>
        <sz val="10"/>
        <color theme="1"/>
        <rFont val="Calibri"/>
        <family val="2"/>
      </rPr>
      <t xml:space="preserve"> </t>
    </r>
    <r>
      <rPr>
        <sz val="10"/>
        <color theme="1"/>
        <rFont val="돋움"/>
        <family val="3"/>
        <charset val="129"/>
      </rPr>
      <t>이</t>
    </r>
    <r>
      <rPr>
        <sz val="10"/>
        <color theme="1"/>
        <rFont val="Calibri"/>
        <family val="2"/>
      </rPr>
      <t xml:space="preserve"> XLGantt</t>
    </r>
    <r>
      <rPr>
        <sz val="10"/>
        <color theme="1"/>
        <rFont val="돋움"/>
        <family val="3"/>
        <charset val="129"/>
      </rPr>
      <t>파일을</t>
    </r>
    <r>
      <rPr>
        <sz val="10"/>
        <color theme="1"/>
        <rFont val="Calibri"/>
        <family val="2"/>
      </rPr>
      <t xml:space="preserve"> </t>
    </r>
    <r>
      <rPr>
        <sz val="10"/>
        <color theme="1"/>
        <rFont val="돋움"/>
        <family val="3"/>
        <charset val="129"/>
      </rPr>
      <t>닫은</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새로</t>
    </r>
    <r>
      <rPr>
        <sz val="10"/>
        <color theme="1"/>
        <rFont val="Calibri"/>
        <family val="2"/>
      </rPr>
      <t xml:space="preserve"> </t>
    </r>
    <r>
      <rPr>
        <sz val="10"/>
        <color theme="1"/>
        <rFont val="돋움"/>
        <family val="3"/>
        <charset val="129"/>
      </rPr>
      <t>열어야</t>
    </r>
    <r>
      <rPr>
        <sz val="10"/>
        <color theme="1"/>
        <rFont val="Calibri"/>
        <family val="2"/>
      </rPr>
      <t xml:space="preserve"> </t>
    </r>
    <r>
      <rPr>
        <sz val="10"/>
        <color theme="1"/>
        <rFont val="돋움"/>
        <family val="3"/>
        <charset val="129"/>
      </rPr>
      <t>번역이</t>
    </r>
    <r>
      <rPr>
        <sz val="10"/>
        <color theme="1"/>
        <rFont val="Calibri"/>
        <family val="2"/>
      </rPr>
      <t xml:space="preserve"> </t>
    </r>
    <r>
      <rPr>
        <sz val="10"/>
        <color theme="1"/>
        <rFont val="돋움"/>
        <family val="3"/>
        <charset val="129"/>
      </rPr>
      <t>적용됩니다</t>
    </r>
    <r>
      <rPr>
        <sz val="10"/>
        <color theme="1"/>
        <rFont val="Calibri"/>
        <family val="2"/>
      </rPr>
      <t>.</t>
    </r>
    <phoneticPr fontId="5" type="noConversion"/>
  </si>
  <si>
    <r>
      <rPr>
        <sz val="9"/>
        <color theme="1"/>
        <rFont val="돋움"/>
        <family val="3"/>
        <charset val="129"/>
      </rPr>
      <t>총</t>
    </r>
    <r>
      <rPr>
        <sz val="9"/>
        <color theme="1"/>
        <rFont val="Calibri"/>
        <family val="2"/>
      </rPr>
      <t>__</t>
    </r>
    <r>
      <rPr>
        <sz val="9"/>
        <color theme="1"/>
        <rFont val="돋움"/>
        <family val="3"/>
        <charset val="129"/>
      </rPr>
      <t>기간</t>
    </r>
    <phoneticPr fontId="5" type="noConversion"/>
  </si>
  <si>
    <t>Total__Work</t>
    <phoneticPr fontId="5" type="noConversion"/>
  </si>
  <si>
    <t>Would you like to update the schedule before saving?</t>
    <phoneticPr fontId="5" type="noConversion"/>
  </si>
  <si>
    <r>
      <rPr>
        <sz val="10"/>
        <color theme="1"/>
        <rFont val="돋움"/>
        <family val="3"/>
        <charset val="129"/>
      </rPr>
      <t>저장하기</t>
    </r>
    <r>
      <rPr>
        <sz val="10"/>
        <color theme="1"/>
        <rFont val="Calibri"/>
        <family val="2"/>
      </rPr>
      <t xml:space="preserve"> </t>
    </r>
    <r>
      <rPr>
        <sz val="10"/>
        <color theme="1"/>
        <rFont val="돋움"/>
        <family val="3"/>
        <charset val="129"/>
      </rPr>
      <t>전에</t>
    </r>
    <r>
      <rPr>
        <sz val="10"/>
        <color theme="1"/>
        <rFont val="Calibri"/>
        <family val="2"/>
      </rPr>
      <t xml:space="preserve"> </t>
    </r>
    <r>
      <rPr>
        <sz val="10"/>
        <color theme="1"/>
        <rFont val="돋움"/>
        <family val="3"/>
        <charset val="129"/>
      </rPr>
      <t>스케줄을</t>
    </r>
    <r>
      <rPr>
        <sz val="10"/>
        <color theme="1"/>
        <rFont val="Calibri"/>
        <family val="2"/>
      </rPr>
      <t xml:space="preserve"> </t>
    </r>
    <r>
      <rPr>
        <sz val="10"/>
        <color theme="1"/>
        <rFont val="돋움"/>
        <family val="3"/>
        <charset val="129"/>
      </rPr>
      <t>업데이트하시겠습니까</t>
    </r>
    <r>
      <rPr>
        <sz val="10"/>
        <color theme="1"/>
        <rFont val="Calibri"/>
        <family val="2"/>
      </rPr>
      <t>?\n\n[</t>
    </r>
    <r>
      <rPr>
        <sz val="10"/>
        <color theme="1"/>
        <rFont val="돋움"/>
        <family val="3"/>
        <charset val="129"/>
      </rPr>
      <t>스케줄업데이트</t>
    </r>
    <r>
      <rPr>
        <sz val="10"/>
        <color theme="1"/>
        <rFont val="Calibri"/>
        <family val="2"/>
      </rPr>
      <t>]</t>
    </r>
    <r>
      <rPr>
        <sz val="10"/>
        <color theme="1"/>
        <rFont val="돋움"/>
        <family val="3"/>
        <charset val="129"/>
      </rPr>
      <t>메뉴를</t>
    </r>
    <r>
      <rPr>
        <sz val="10"/>
        <color theme="1"/>
        <rFont val="Calibri"/>
        <family val="2"/>
      </rPr>
      <t xml:space="preserve"> </t>
    </r>
    <r>
      <rPr>
        <sz val="10"/>
        <color theme="1"/>
        <rFont val="돋움"/>
        <family val="3"/>
        <charset val="129"/>
      </rPr>
      <t>클릭할</t>
    </r>
    <r>
      <rPr>
        <sz val="10"/>
        <color theme="1"/>
        <rFont val="Calibri"/>
        <family val="2"/>
      </rPr>
      <t xml:space="preserve"> </t>
    </r>
    <r>
      <rPr>
        <sz val="10"/>
        <color theme="1"/>
        <rFont val="돋움"/>
        <family val="3"/>
        <charset val="129"/>
      </rPr>
      <t>때와</t>
    </r>
    <r>
      <rPr>
        <sz val="10"/>
        <color theme="1"/>
        <rFont val="Calibri"/>
        <family val="2"/>
      </rPr>
      <t xml:space="preserve"> </t>
    </r>
    <r>
      <rPr>
        <sz val="10"/>
        <color theme="1"/>
        <rFont val="돋움"/>
        <family val="3"/>
        <charset val="129"/>
      </rPr>
      <t>동일한</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수행합니다</t>
    </r>
    <r>
      <rPr>
        <sz val="10"/>
        <color theme="1"/>
        <rFont val="Calibri"/>
        <family val="2"/>
      </rPr>
      <t>.</t>
    </r>
    <phoneticPr fontId="5" type="noConversion"/>
  </si>
  <si>
    <t>Name:groupRows</t>
  </si>
  <si>
    <t>Group rows</t>
    <phoneticPr fontId="2" type="noConversion"/>
  </si>
  <si>
    <t>1.1.1</t>
  </si>
  <si>
    <t>2.1.0</t>
    <phoneticPr fontId="2" type="noConversion"/>
  </si>
  <si>
    <t>2.1.1</t>
  </si>
  <si>
    <t>2.2.1</t>
  </si>
  <si>
    <r>
      <rPr>
        <sz val="9"/>
        <color theme="1"/>
        <rFont val="돋움"/>
        <family val="3"/>
        <charset val="129"/>
      </rPr>
      <t>작업을</t>
    </r>
    <r>
      <rPr>
        <sz val="9"/>
        <color theme="1"/>
        <rFont val="Calibri"/>
        <family val="2"/>
      </rPr>
      <t xml:space="preserve"> </t>
    </r>
    <r>
      <rPr>
        <sz val="9"/>
        <color theme="1"/>
        <rFont val="돋움"/>
        <family val="3"/>
        <charset val="129"/>
      </rPr>
      <t>그룹으로</t>
    </r>
    <r>
      <rPr>
        <sz val="9"/>
        <color theme="1"/>
        <rFont val="Calibri"/>
        <family val="2"/>
      </rPr>
      <t xml:space="preserve"> </t>
    </r>
    <r>
      <rPr>
        <sz val="9"/>
        <color theme="1"/>
        <rFont val="돋움"/>
        <family val="3"/>
        <charset val="129"/>
      </rPr>
      <t>묶기</t>
    </r>
    <phoneticPr fontId="2" type="noConversion"/>
  </si>
  <si>
    <t>분석</t>
  </si>
  <si>
    <t>설계</t>
  </si>
  <si>
    <t>구현</t>
  </si>
  <si>
    <t>C:\Temp</t>
    <phoneticPr fontId="5" type="noConversion"/>
  </si>
  <si>
    <r>
      <t>2019</t>
    </r>
    <r>
      <rPr>
        <sz val="11"/>
        <rFont val="맑은 고딕"/>
        <family val="3"/>
        <charset val="129"/>
      </rPr>
      <t>년</t>
    </r>
    <r>
      <rPr>
        <sz val="11"/>
        <rFont val="Calibri"/>
        <family val="2"/>
      </rPr>
      <t xml:space="preserve"> </t>
    </r>
    <r>
      <rPr>
        <sz val="11"/>
        <rFont val="맑은 고딕"/>
        <family val="3"/>
        <charset val="129"/>
      </rPr>
      <t>신정</t>
    </r>
    <phoneticPr fontId="2" type="noConversion"/>
  </si>
  <si>
    <r>
      <t>2019</t>
    </r>
    <r>
      <rPr>
        <sz val="11"/>
        <rFont val="맑은 고딕"/>
        <family val="3"/>
        <charset val="129"/>
      </rPr>
      <t>년</t>
    </r>
    <r>
      <rPr>
        <sz val="11"/>
        <rFont val="Calibri"/>
        <family val="2"/>
      </rPr>
      <t xml:space="preserve"> </t>
    </r>
    <r>
      <rPr>
        <sz val="11"/>
        <rFont val="맑은 고딕"/>
        <family val="3"/>
        <charset val="129"/>
      </rPr>
      <t>설연휴</t>
    </r>
    <phoneticPr fontId="2" type="noConversion"/>
  </si>
  <si>
    <r>
      <t>2019</t>
    </r>
    <r>
      <rPr>
        <sz val="11"/>
        <rFont val="맑은 고딕"/>
        <family val="3"/>
        <charset val="129"/>
      </rPr>
      <t>년</t>
    </r>
    <r>
      <rPr>
        <sz val="11"/>
        <rFont val="Calibri"/>
        <family val="2"/>
      </rPr>
      <t xml:space="preserve"> </t>
    </r>
    <r>
      <rPr>
        <sz val="11"/>
        <rFont val="맑은 고딕"/>
        <family val="3"/>
        <charset val="129"/>
      </rPr>
      <t>설날</t>
    </r>
    <phoneticPr fontId="2" type="noConversion"/>
  </si>
  <si>
    <r>
      <t>2019</t>
    </r>
    <r>
      <rPr>
        <sz val="11"/>
        <rFont val="맑은 고딕"/>
        <family val="3"/>
        <charset val="129"/>
      </rPr>
      <t>년</t>
    </r>
    <r>
      <rPr>
        <sz val="11"/>
        <rFont val="Calibri"/>
        <family val="2"/>
      </rPr>
      <t xml:space="preserve"> </t>
    </r>
    <r>
      <rPr>
        <sz val="11"/>
        <rFont val="맑은 고딕"/>
        <family val="3"/>
        <charset val="129"/>
      </rPr>
      <t>삼일절</t>
    </r>
  </si>
  <si>
    <r>
      <t>2019</t>
    </r>
    <r>
      <rPr>
        <sz val="11"/>
        <rFont val="맑은 고딕"/>
        <family val="3"/>
        <charset val="129"/>
      </rPr>
      <t>년</t>
    </r>
    <r>
      <rPr>
        <sz val="11"/>
        <rFont val="Calibri"/>
        <family val="2"/>
      </rPr>
      <t xml:space="preserve"> </t>
    </r>
    <r>
      <rPr>
        <sz val="11"/>
        <rFont val="맑은 고딕"/>
        <family val="3"/>
        <charset val="129"/>
      </rPr>
      <t>어린이날</t>
    </r>
    <r>
      <rPr>
        <sz val="11"/>
        <rFont val="Calibri"/>
        <family val="2"/>
      </rPr>
      <t xml:space="preserve"> </t>
    </r>
    <r>
      <rPr>
        <sz val="11"/>
        <rFont val="맑은 고딕"/>
        <family val="3"/>
        <charset val="129"/>
      </rPr>
      <t>대체휴일</t>
    </r>
  </si>
  <si>
    <r>
      <t>2019</t>
    </r>
    <r>
      <rPr>
        <sz val="11"/>
        <rFont val="맑은 고딕"/>
        <family val="3"/>
        <charset val="129"/>
      </rPr>
      <t>년</t>
    </r>
    <r>
      <rPr>
        <sz val="11"/>
        <rFont val="Calibri"/>
        <family val="2"/>
      </rPr>
      <t xml:space="preserve"> </t>
    </r>
    <r>
      <rPr>
        <sz val="11"/>
        <rFont val="맑은 고딕"/>
        <family val="3"/>
        <charset val="129"/>
      </rPr>
      <t>현충일</t>
    </r>
  </si>
  <si>
    <r>
      <t>2019</t>
    </r>
    <r>
      <rPr>
        <sz val="11"/>
        <rFont val="맑은 고딕"/>
        <family val="3"/>
        <charset val="129"/>
      </rPr>
      <t>년</t>
    </r>
    <r>
      <rPr>
        <sz val="11"/>
        <rFont val="Calibri"/>
        <family val="2"/>
      </rPr>
      <t xml:space="preserve"> </t>
    </r>
    <r>
      <rPr>
        <sz val="11"/>
        <rFont val="맑은 고딕"/>
        <family val="3"/>
        <charset val="129"/>
      </rPr>
      <t>광복절</t>
    </r>
  </si>
  <si>
    <r>
      <t>2019</t>
    </r>
    <r>
      <rPr>
        <sz val="11"/>
        <rFont val="맑은 고딕"/>
        <family val="3"/>
        <charset val="129"/>
      </rPr>
      <t>년</t>
    </r>
    <r>
      <rPr>
        <sz val="11"/>
        <rFont val="Calibri"/>
        <family val="2"/>
      </rPr>
      <t xml:space="preserve"> </t>
    </r>
    <r>
      <rPr>
        <sz val="11"/>
        <rFont val="맑은 고딕"/>
        <family val="3"/>
        <charset val="129"/>
      </rPr>
      <t>추석연휴</t>
    </r>
  </si>
  <si>
    <r>
      <t>2019</t>
    </r>
    <r>
      <rPr>
        <sz val="11"/>
        <rFont val="맑은 고딕"/>
        <family val="3"/>
        <charset val="129"/>
      </rPr>
      <t>년</t>
    </r>
    <r>
      <rPr>
        <sz val="11"/>
        <rFont val="Calibri"/>
        <family val="2"/>
      </rPr>
      <t xml:space="preserve"> </t>
    </r>
    <r>
      <rPr>
        <sz val="11"/>
        <rFont val="맑은 고딕"/>
        <family val="3"/>
        <charset val="129"/>
      </rPr>
      <t>추석</t>
    </r>
    <phoneticPr fontId="2" type="noConversion"/>
  </si>
  <si>
    <r>
      <t>2019</t>
    </r>
    <r>
      <rPr>
        <sz val="11"/>
        <rFont val="맑은 고딕"/>
        <family val="3"/>
        <charset val="129"/>
      </rPr>
      <t>년</t>
    </r>
    <r>
      <rPr>
        <sz val="11"/>
        <rFont val="Calibri"/>
        <family val="2"/>
      </rPr>
      <t xml:space="preserve"> </t>
    </r>
    <r>
      <rPr>
        <sz val="11"/>
        <rFont val="맑은 고딕"/>
        <family val="3"/>
        <charset val="129"/>
      </rPr>
      <t>개천절</t>
    </r>
  </si>
  <si>
    <r>
      <t>2019</t>
    </r>
    <r>
      <rPr>
        <sz val="11"/>
        <rFont val="맑은 고딕"/>
        <family val="3"/>
        <charset val="129"/>
      </rPr>
      <t>년</t>
    </r>
    <r>
      <rPr>
        <sz val="11"/>
        <rFont val="Calibri"/>
        <family val="2"/>
      </rPr>
      <t xml:space="preserve"> </t>
    </r>
    <r>
      <rPr>
        <sz val="11"/>
        <rFont val="맑은 고딕"/>
        <family val="3"/>
        <charset val="129"/>
      </rPr>
      <t>한글날</t>
    </r>
  </si>
  <si>
    <r>
      <t>2019</t>
    </r>
    <r>
      <rPr>
        <sz val="11"/>
        <rFont val="맑은 고딕"/>
        <family val="3"/>
        <charset val="129"/>
      </rPr>
      <t>년</t>
    </r>
    <r>
      <rPr>
        <sz val="11"/>
        <rFont val="Calibri"/>
        <family val="2"/>
      </rPr>
      <t xml:space="preserve"> </t>
    </r>
    <r>
      <rPr>
        <sz val="11"/>
        <rFont val="맑은 고딕"/>
        <family val="3"/>
        <charset val="129"/>
      </rPr>
      <t>성탄절</t>
    </r>
  </si>
  <si>
    <t>G</t>
  </si>
  <si>
    <t>1</t>
  </si>
  <si>
    <t>1.1</t>
  </si>
  <si>
    <t>2</t>
  </si>
  <si>
    <t>2.1</t>
  </si>
  <si>
    <t>2.1.2</t>
  </si>
  <si>
    <t>2.2</t>
  </si>
  <si>
    <t>2.2.2</t>
  </si>
  <si>
    <t>Display font color to the gray for the completed tasks</t>
    <phoneticPr fontId="2" type="noConversion"/>
  </si>
  <si>
    <r>
      <t xml:space="preserve">  XLGantt 2.1.0 </t>
    </r>
    <r>
      <rPr>
        <b/>
        <sz val="14"/>
        <color rgb="FFFF8800"/>
        <rFont val="돋움"/>
        <family val="3"/>
        <charset val="129"/>
      </rPr>
      <t>ⓒ</t>
    </r>
    <r>
      <rPr>
        <b/>
        <sz val="14"/>
        <color rgb="FFFF8800"/>
        <rFont val="Calibri"/>
        <family val="2"/>
      </rPr>
      <t>XLWorks</t>
    </r>
  </si>
  <si>
    <t>실제 진행된 작업량</t>
    <phoneticPr fontId="5" type="noConversion"/>
  </si>
  <si>
    <t>* 프로젝트 작업량과 진척율을 보여줍니다.</t>
    <phoneticPr fontId="5" type="noConversion"/>
  </si>
  <si>
    <t>* "스케줄업데이트" 버튼 클릭 시 아래 항목이 자동계산됩니다.</t>
    <phoneticPr fontId="5" type="noConversion"/>
  </si>
  <si>
    <t>프로젝트 전체 작업량</t>
    <phoneticPr fontId="5" type="noConversion"/>
  </si>
  <si>
    <t>프로젝트 전체의 작업량을 Man/Day로 표시한다. 가중치를 적용한 값이다.</t>
    <phoneticPr fontId="5" type="noConversion"/>
  </si>
  <si>
    <t>현재일까지 계획된 작업량</t>
    <phoneticPr fontId="5" type="noConversion"/>
  </si>
  <si>
    <t>해당작업의 시작일부터 현재일까지의 작업기간을 의미함(현재 날짜까지 진행되었어야 할 기간)</t>
    <phoneticPr fontId="5" type="noConversion"/>
  </si>
  <si>
    <t>일정변경 관리할 때 현재까지 실제로 투입된 작업기간을 표시함</t>
    <phoneticPr fontId="5" type="noConversion"/>
  </si>
  <si>
    <t>계획 진척율(A)</t>
    <phoneticPr fontId="5" type="noConversion"/>
  </si>
  <si>
    <t>현재날짜까지 계획된 진척율, WBS의 "계획진척율"의 전체 합계 진척율을 표시함</t>
    <phoneticPr fontId="5" type="noConversion"/>
  </si>
  <si>
    <t>실적 진척율(B)</t>
    <phoneticPr fontId="5" type="noConversion"/>
  </si>
  <si>
    <t>현재날짜까지 실제로 진행된 진척율, WBS의 "실적진척율"의 전체 합계 진척율을 표시함</t>
    <phoneticPr fontId="5" type="noConversion"/>
  </si>
  <si>
    <t>차이(B-A)</t>
    <phoneticPr fontId="5" type="noConversion"/>
  </si>
  <si>
    <t>양수이면 계획보다 빨리 진행, 음수이면 지연</t>
    <phoneticPr fontId="5" type="noConversion"/>
  </si>
  <si>
    <t xml:space="preserve">  주별보기, Zoom 100%</t>
  </si>
  <si>
    <t>시작일</t>
  </si>
  <si>
    <t>완료일</t>
  </si>
  <si>
    <t>[담당자미지정]</t>
  </si>
  <si>
    <t xml:space="preserve"> 프로젝트 휴무일 Calendar 설정</t>
    <phoneticPr fontId="5"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</si>
  <si>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5" type="noConversion"/>
  </si>
  <si>
    <t>표준캘린더</t>
    <phoneticPr fontId="5" type="noConversion"/>
  </si>
  <si>
    <t>사용자정의 캘린더1</t>
    <phoneticPr fontId="5" type="noConversion"/>
  </si>
  <si>
    <t>사용자정의 캘린더2</t>
    <phoneticPr fontId="5" type="noConversion"/>
  </si>
  <si>
    <t>휴무일명</t>
    <phoneticPr fontId="5" type="noConversion"/>
  </si>
  <si>
    <t>휴무일명</t>
    <phoneticPr fontId="5" type="noConversion"/>
  </si>
  <si>
    <t>휴무일자</t>
    <phoneticPr fontId="5" type="noConversion"/>
  </si>
  <si>
    <t>휴무일자</t>
    <phoneticPr fontId="5" type="noConversion"/>
  </si>
  <si>
    <t>더 이상 입력불가</t>
    <phoneticPr fontId="5" type="noConversion"/>
  </si>
  <si>
    <t>TODAY</t>
    <phoneticPr fontId="2" type="noConversion"/>
  </si>
  <si>
    <t>c:\cad\cad\cad.exe</t>
    <phoneticPr fontId="5" type="noConversion"/>
  </si>
  <si>
    <t>착수</t>
  </si>
  <si>
    <t>테스트</t>
  </si>
  <si>
    <t>검수</t>
  </si>
  <si>
    <t>킥오프 / 일정 협의</t>
  </si>
  <si>
    <t>요구 분석</t>
  </si>
  <si>
    <t>실행 방법 수립</t>
  </si>
  <si>
    <t>서비스 전략 수립</t>
  </si>
  <si>
    <t>커텐츠 수용 협의 계획</t>
  </si>
  <si>
    <t>3</t>
  </si>
  <si>
    <t>4</t>
  </si>
  <si>
    <t>5</t>
  </si>
  <si>
    <t>6</t>
  </si>
  <si>
    <t>맵 메뉴 구조도 fix</t>
  </si>
  <si>
    <t>기초 설계</t>
  </si>
  <si>
    <t>앱 메뉴/구조도 설계</t>
  </si>
  <si>
    <t>컨텐츠 수정/보완</t>
  </si>
  <si>
    <t>메인 시안 화면 설계서 작업</t>
  </si>
  <si>
    <t>메인 디자인 시안 작업</t>
  </si>
  <si>
    <t>메인 시안 검토</t>
  </si>
  <si>
    <t>메인 시안 검토 및 수정</t>
  </si>
  <si>
    <t>메인 시안 fix</t>
  </si>
  <si>
    <t>3.1</t>
  </si>
  <si>
    <t>3.1.1</t>
  </si>
  <si>
    <t>3.1.2</t>
  </si>
  <si>
    <t>3.1.3</t>
  </si>
  <si>
    <t>3.1.4</t>
  </si>
  <si>
    <t>3.1.5</t>
  </si>
  <si>
    <t>3.1.6</t>
  </si>
  <si>
    <t>3.1.7</t>
  </si>
  <si>
    <t>3.1.8</t>
  </si>
  <si>
    <t>상세 설계</t>
  </si>
  <si>
    <t>화면 설계서 작성</t>
  </si>
  <si>
    <t>화면 설계서 검토</t>
  </si>
  <si>
    <t>화면 설계서 수정 및 보완</t>
  </si>
  <si>
    <t>화면 설계서 최종 fix</t>
  </si>
  <si>
    <t>3.2</t>
  </si>
  <si>
    <t>3.2.1</t>
  </si>
  <si>
    <t>3.2.1.1</t>
  </si>
  <si>
    <t>3.2.1.2</t>
  </si>
  <si>
    <t>3.2.1.3</t>
  </si>
  <si>
    <t>3.2.1.4</t>
  </si>
  <si>
    <t>데이터베이스 설계</t>
  </si>
  <si>
    <t>아키텍처 설계</t>
  </si>
  <si>
    <t>클래스 설계</t>
  </si>
  <si>
    <t>다이어그램 정의 (다이어그램) -&gt; DB설계</t>
  </si>
  <si>
    <t>3.2.2</t>
  </si>
  <si>
    <t>3.2.2.1</t>
  </si>
  <si>
    <t>3.2.2.2</t>
  </si>
  <si>
    <t>3.2.2.3</t>
  </si>
  <si>
    <t>3.2.3</t>
  </si>
  <si>
    <t>3.2.3.1</t>
  </si>
  <si>
    <t>3.2.3.2</t>
  </si>
  <si>
    <t>3.2.3.3</t>
  </si>
  <si>
    <t>퍼블리싱(모듈별)</t>
  </si>
  <si>
    <t>운동</t>
  </si>
  <si>
    <t>음주</t>
  </si>
  <si>
    <t>수면</t>
  </si>
  <si>
    <t>식단</t>
  </si>
  <si>
    <t>4.1</t>
  </si>
  <si>
    <t>4.1.1</t>
  </si>
  <si>
    <t>4.1.2</t>
  </si>
  <si>
    <t>4.1.3</t>
  </si>
  <si>
    <t>통합 테스트 및 디버깅</t>
  </si>
  <si>
    <t>메인</t>
  </si>
  <si>
    <t>단위 테스트 / 디버깅</t>
  </si>
  <si>
    <t>시나리오 작성</t>
  </si>
  <si>
    <t>유저 테스트(비개발자)</t>
  </si>
  <si>
    <t>디자인 지침</t>
  </si>
  <si>
    <t>퍼블리싱 지침</t>
  </si>
  <si>
    <t>개발 지침</t>
  </si>
  <si>
    <t>내부 검수</t>
  </si>
  <si>
    <t>내부 토론</t>
  </si>
  <si>
    <t>최종 검수</t>
  </si>
  <si>
    <t>데모 준비</t>
  </si>
  <si>
    <t>4.2</t>
  </si>
  <si>
    <t>4.2.1</t>
  </si>
  <si>
    <t>4.2.2</t>
  </si>
  <si>
    <t>4.2.3</t>
  </si>
  <si>
    <t>4.2.4</t>
  </si>
  <si>
    <t>4.2.5</t>
  </si>
  <si>
    <t>4.2.6</t>
  </si>
  <si>
    <t>5.1</t>
  </si>
  <si>
    <t>5.1.1</t>
  </si>
  <si>
    <t>5.1.2</t>
  </si>
  <si>
    <t>5.1.3</t>
  </si>
  <si>
    <t>5.1.4</t>
  </si>
  <si>
    <t>5.1.5</t>
  </si>
  <si>
    <t>6.1</t>
  </si>
  <si>
    <t>6.1.1</t>
  </si>
  <si>
    <t>6.1.2</t>
  </si>
  <si>
    <t>6.1.3</t>
  </si>
  <si>
    <t>6.1.4</t>
  </si>
  <si>
    <t>DEFINED</t>
    <phoneticPr fontId="5" type="noConversion"/>
  </si>
  <si>
    <t>파워포인트</t>
    <phoneticPr fontId="5" type="noConversion"/>
  </si>
  <si>
    <t>ppt*</t>
    <phoneticPr fontId="5" type="noConversion"/>
  </si>
  <si>
    <t>자동지정</t>
    <phoneticPr fontId="5" type="noConversion"/>
  </si>
  <si>
    <t>워드</t>
    <phoneticPr fontId="5" type="noConversion"/>
  </si>
  <si>
    <t>doc*</t>
    <phoneticPr fontId="5" type="noConversion"/>
  </si>
  <si>
    <t>xls*</t>
    <phoneticPr fontId="5" type="noConversion"/>
  </si>
  <si>
    <t>Auto CAD</t>
    <phoneticPr fontId="5" type="noConversion"/>
  </si>
  <si>
    <t>ace</t>
    <phoneticPr fontId="5" type="noConversion"/>
  </si>
  <si>
    <t>txt</t>
    <phoneticPr fontId="5" type="noConversion"/>
  </si>
  <si>
    <t>C:\WINDOWS\system32\notepad.exe</t>
    <phoneticPr fontId="5" type="noConversion"/>
  </si>
  <si>
    <t>E</t>
    <phoneticPr fontId="2" type="noConversion"/>
  </si>
  <si>
    <t>1:English,82:Korean</t>
    <phoneticPr fontId="2" type="noConversion"/>
  </si>
  <si>
    <t>엑셀</t>
    <phoneticPr fontId="5" type="noConversion"/>
  </si>
  <si>
    <t>cad</t>
    <phoneticPr fontId="5" type="noConversion"/>
  </si>
  <si>
    <t>아크로에디터</t>
    <phoneticPr fontId="5" type="noConversion"/>
  </si>
  <si>
    <t>메모장</t>
    <phoneticPr fontId="5" type="noConversion"/>
  </si>
  <si>
    <t>건강 관리 앱 제작 프로젝트</t>
    <phoneticPr fontId="2" type="noConversion"/>
  </si>
  <si>
    <t>C:\Temp</t>
    <phoneticPr fontId="5" type="noConversion"/>
  </si>
  <si>
    <t>c:\ace\aaa.exe</t>
    <phoneticPr fontId="5" type="noConversion"/>
  </si>
  <si>
    <t>조향덕</t>
    <phoneticPr fontId="2" type="noConversion"/>
  </si>
  <si>
    <t>최기현</t>
  </si>
  <si>
    <t>최기현</t>
    <phoneticPr fontId="2" type="noConversion"/>
  </si>
  <si>
    <t>지준혁</t>
  </si>
  <si>
    <t>지준혁</t>
    <phoneticPr fontId="2" type="noConversion"/>
  </si>
  <si>
    <t>이승헌</t>
  </si>
  <si>
    <t>이승헌</t>
    <phoneticPr fontId="2" type="noConversion"/>
  </si>
  <si>
    <t>이남희</t>
    <phoneticPr fontId="2" type="noConversion"/>
  </si>
  <si>
    <t>백종화</t>
    <phoneticPr fontId="2" type="noConversion"/>
  </si>
  <si>
    <t>팀원</t>
    <phoneticPr fontId="2" type="noConversion"/>
  </si>
  <si>
    <t>운동</t>
    <phoneticPr fontId="2" type="noConversion"/>
  </si>
  <si>
    <t>식단</t>
    <phoneticPr fontId="2" type="noConversion"/>
  </si>
  <si>
    <t>음주</t>
    <phoneticPr fontId="2" type="noConversion"/>
  </si>
  <si>
    <t>수면</t>
    <phoneticPr fontId="2" type="noConversion"/>
  </si>
  <si>
    <t>SNS</t>
    <phoneticPr fontId="2" type="noConversion"/>
  </si>
  <si>
    <t>모듈</t>
    <phoneticPr fontId="2" type="noConversion"/>
  </si>
  <si>
    <t>계획진척율(주별)</t>
  </si>
  <si>
    <t>* 주별로 프로젝트의 계획진적율을 보여줍니다.</t>
  </si>
  <si>
    <t>* "계획진척율" 메뉴를 클릭해야 갱신됨</t>
  </si>
  <si>
    <t>누적_x000D_
Man-Day</t>
  </si>
  <si>
    <t>진척율</t>
  </si>
  <si>
    <t>화면 설계서 시안</t>
  </si>
  <si>
    <t>상세 화면 설계서</t>
  </si>
  <si>
    <t>DB관계다이어그램</t>
  </si>
  <si>
    <t>클래스 다이어그램</t>
  </si>
  <si>
    <t>화면 캡쳐 API</t>
  </si>
  <si>
    <t>GPS 연동</t>
  </si>
  <si>
    <t>칼로리 계산 API</t>
  </si>
  <si>
    <t>데시벨 측정 API</t>
  </si>
  <si>
    <t>모듈 통합</t>
  </si>
  <si>
    <t>아두이노 연동</t>
  </si>
  <si>
    <t>음주 측정 로직 설계</t>
  </si>
  <si>
    <t>운동량 칼로리 구현</t>
  </si>
  <si>
    <t>수정 및 보완점 정리</t>
  </si>
  <si>
    <t>개발 환경 설정</t>
  </si>
  <si>
    <t>4.3</t>
  </si>
  <si>
    <t>4.3.1</t>
  </si>
  <si>
    <t>4.3.1.1</t>
  </si>
  <si>
    <t>4.3.1.2</t>
  </si>
  <si>
    <t>4.3.2</t>
  </si>
  <si>
    <t>4.3.2.1</t>
  </si>
  <si>
    <t>4.3.2.2</t>
  </si>
  <si>
    <t>4.3.3</t>
  </si>
  <si>
    <t>4.3.3.1</t>
  </si>
  <si>
    <t>4.3.4</t>
  </si>
  <si>
    <t>4.3.4.1</t>
  </si>
  <si>
    <t>4.3.4.2</t>
  </si>
  <si>
    <t>4.3.5</t>
  </si>
  <si>
    <t>4.3.5.1</t>
  </si>
  <si>
    <t>4.3.5.2</t>
  </si>
  <si>
    <t>4.3.6</t>
  </si>
  <si>
    <t>4.3.6.1</t>
  </si>
  <si>
    <t>4.3.7</t>
  </si>
  <si>
    <t>백종화</t>
  </si>
  <si>
    <t>VCS 교육 준비</t>
  </si>
  <si>
    <t>VCS 교육, 설치 및 테스트</t>
  </si>
  <si>
    <t>서버 환경 세팅</t>
  </si>
  <si>
    <t>4.3.6.2</t>
  </si>
  <si>
    <t>4.3.7.1</t>
  </si>
  <si>
    <t>4.3.8</t>
  </si>
  <si>
    <t>{"TASK_FIRST_COL":"5","START_ROW":"5","WBS_AREA_LAST_COL":"28"}</t>
    <phoneticPr fontId="5" type="noConversion"/>
  </si>
  <si>
    <t>SCHEDULE_SHEET_POSITION:3545121314151617181920212223242526272829</t>
    <phoneticPr fontId="2" type="noConversion"/>
  </si>
  <si>
    <t>알람</t>
  </si>
  <si>
    <t>WEB-Main</t>
  </si>
  <si>
    <t>Web-Login</t>
  </si>
  <si>
    <t>로그인</t>
  </si>
  <si>
    <t>Web-AboutUs</t>
  </si>
  <si>
    <t>Web-Contact</t>
  </si>
  <si>
    <t>시간 측정</t>
  </si>
  <si>
    <t>코골이 측정</t>
  </si>
  <si>
    <t>4.3.5.3</t>
  </si>
  <si>
    <t>4.3.7.2</t>
  </si>
  <si>
    <t>4.3.9</t>
  </si>
  <si>
    <t>4.3.10</t>
  </si>
  <si>
    <t>4.3.11</t>
  </si>
  <si>
    <t>4.3.12</t>
  </si>
  <si>
    <t>4.3.13</t>
  </si>
  <si>
    <t>4.3.14</t>
  </si>
  <si>
    <t>reserved</t>
    <phoneticPr fontId="5" type="noConversion"/>
  </si>
  <si>
    <t>실제_x000D_
완료일</t>
    <phoneticPr fontId="5" type="noConversion"/>
  </si>
  <si>
    <t>Web-MyData</t>
  </si>
  <si>
    <t>WBS</t>
    <phoneticPr fontId="5" type="noConversion"/>
  </si>
  <si>
    <t>김승현</t>
  </si>
  <si>
    <t>김승현</t>
    <phoneticPr fontId="2" type="noConversion"/>
  </si>
  <si>
    <t>웹</t>
    <phoneticPr fontId="2" type="noConversion"/>
  </si>
  <si>
    <t>메인</t>
    <phoneticPr fontId="2" type="noConversion"/>
  </si>
  <si>
    <t>about-us</t>
    <phoneticPr fontId="2" type="noConversion"/>
  </si>
  <si>
    <t>user-data</t>
    <phoneticPr fontId="2" type="noConversion"/>
  </si>
  <si>
    <t>customer-info</t>
    <phoneticPr fontId="2" type="noConversion"/>
  </si>
  <si>
    <t>notice</t>
    <phoneticPr fontId="2" type="noConversion"/>
  </si>
  <si>
    <t>contact</t>
    <phoneticPr fontId="2" type="noConversion"/>
  </si>
  <si>
    <t>이남희</t>
  </si>
  <si>
    <t>계획</t>
    <phoneticPr fontId="5" type="noConversion"/>
  </si>
  <si>
    <t>각 모듈별 통계값 구현</t>
  </si>
  <si>
    <t>운동량 통계 그래프</t>
  </si>
  <si>
    <t>식단 통계 그래프</t>
  </si>
  <si>
    <t>음주량 통계 그래프</t>
  </si>
  <si>
    <t>realTime 그래프</t>
  </si>
  <si>
    <t>수면 통계 그래프</t>
  </si>
  <si>
    <t>4.3.1.3</t>
  </si>
  <si>
    <t>4.3.2.3</t>
  </si>
  <si>
    <t>4.3.3.2</t>
  </si>
  <si>
    <t>4.3.4.3</t>
  </si>
  <si>
    <t>공유</t>
  </si>
  <si>
    <t>크롤링</t>
  </si>
  <si>
    <t>워드 클라우드</t>
  </si>
  <si>
    <t>작업*</t>
    <phoneticPr fontId="5" type="noConversion"/>
  </si>
  <si>
    <t>식단 검색및 저장</t>
  </si>
  <si>
    <t>4.3.3.3</t>
  </si>
  <si>
    <t>회원가입</t>
  </si>
  <si>
    <t>회원탈퇴</t>
  </si>
  <si>
    <t>계획_x000D_
기간</t>
    <phoneticPr fontId="5" type="noConversion"/>
  </si>
  <si>
    <t>4.3.2.4</t>
  </si>
  <si>
    <t>4.3.2.5</t>
  </si>
  <si>
    <t>4.3.2.6</t>
  </si>
  <si>
    <t>4.3.6.3</t>
  </si>
  <si>
    <t>4.3.6.4</t>
  </si>
  <si>
    <t>4.3.6.5</t>
  </si>
  <si>
    <t>4.3.6.6</t>
  </si>
  <si>
    <t>세션 유지</t>
  </si>
  <si>
    <t>시작일*</t>
    <phoneticPr fontId="5" type="noConversion"/>
  </si>
  <si>
    <t>wbs_level</t>
    <phoneticPr fontId="5" type="noConversion"/>
  </si>
  <si>
    <t>실제_x000D_
시작일</t>
    <phoneticPr fontId="5" type="noConversion"/>
  </si>
  <si>
    <t>Mail Service</t>
  </si>
  <si>
    <t>쓰기</t>
  </si>
  <si>
    <t>읽기</t>
  </si>
  <si>
    <t>업데이트</t>
  </si>
  <si>
    <t>삭제</t>
  </si>
  <si>
    <t>Web-NoticeBoard</t>
  </si>
  <si>
    <t>개발 (모듈별 기능 구현)</t>
  </si>
  <si>
    <t>웹 디자인</t>
  </si>
  <si>
    <t>동영상 첨부</t>
  </si>
  <si>
    <t>모듈별 그래프 적용</t>
  </si>
  <si>
    <t>유저 데이터 통계 및 그래프 적용</t>
  </si>
  <si>
    <t>일정변경관리 하지 않을 때 현재까지 실제로 진행된 작업기간을 표시함(총기간 x 총실적진행율)</t>
    <phoneticPr fontId="5" type="noConversion"/>
  </si>
  <si>
    <t>4.3.8.1</t>
  </si>
  <si>
    <t>4.3.8.2</t>
  </si>
  <si>
    <t>4.3.10.1</t>
  </si>
  <si>
    <t>4.3.11.1</t>
  </si>
  <si>
    <t>4.3.12.1</t>
  </si>
  <si>
    <t>4.3.12.2</t>
  </si>
  <si>
    <t>4.3.12.3</t>
  </si>
  <si>
    <t>4.3.12.4</t>
  </si>
  <si>
    <t>4.3.13.1</t>
  </si>
  <si>
    <t>4.1.4</t>
  </si>
  <si>
    <t>안드로이드 RestAPI 제작</t>
  </si>
  <si>
    <t>데이터베이스 구현</t>
  </si>
  <si>
    <t>4.1.5</t>
  </si>
  <si>
    <t>Web-UserInfo( 관리자 화면)</t>
  </si>
  <si>
    <t>유저 삭제 기능</t>
  </si>
  <si>
    <t>4.3.11.2</t>
  </si>
  <si>
    <t>칼로그(공통)</t>
  </si>
  <si>
    <t>칼로그(공통)</t>
    <phoneticPr fontId="2" type="noConversion"/>
  </si>
  <si>
    <t>완료일*</t>
    <phoneticPr fontId="5" type="noConversion"/>
  </si>
  <si>
    <t>Android - 로그인</t>
  </si>
  <si>
    <t>Android - 메인</t>
  </si>
  <si>
    <t>Android - 운동</t>
  </si>
  <si>
    <t>Android - 식단</t>
  </si>
  <si>
    <t>Android - 음주</t>
  </si>
  <si>
    <t>Android - 수면</t>
  </si>
  <si>
    <t>4.2.7</t>
  </si>
  <si>
    <t>안드로이드 화면 (운동,수면,음주,식단,메인 외)</t>
  </si>
  <si>
    <t>웹 관리자 화면</t>
  </si>
  <si>
    <t>관리자 웹 화면(유저정보)</t>
  </si>
  <si>
    <t>4.2.8</t>
  </si>
  <si>
    <t>워드</t>
  </si>
  <si>
    <t>계획_x000D_
작업량</t>
    <phoneticPr fontId="5" type="noConversion"/>
  </si>
  <si>
    <t>산출물</t>
    <phoneticPr fontId="5" type="noConversion"/>
  </si>
  <si>
    <t>task_group</t>
    <phoneticPr fontId="5" type="noConversion"/>
  </si>
  <si>
    <t>비고</t>
    <phoneticPr fontId="5" type="noConversion"/>
  </si>
  <si>
    <t>Calendar</t>
    <phoneticPr fontId="5" type="noConversion"/>
  </si>
  <si>
    <t>총_x000D_
작업량</t>
    <phoneticPr fontId="5" type="noConversion"/>
  </si>
  <si>
    <t>총_x000D_
기간</t>
    <phoneticPr fontId="5" type="noConversion"/>
  </si>
  <si>
    <t>실제_x000D_
총작업량</t>
    <phoneticPr fontId="5" type="noConversion"/>
  </si>
  <si>
    <t>실제_x000D_
총기간</t>
    <phoneticPr fontId="5" type="noConversion"/>
  </si>
  <si>
    <t>가중치</t>
    <phoneticPr fontId="5" type="noConversion"/>
  </si>
  <si>
    <t>담당</t>
    <phoneticPr fontId="5" type="noConversion"/>
  </si>
  <si>
    <t>실적*</t>
    <phoneticPr fontId="5" type="noConversion"/>
  </si>
  <si>
    <t>프로젝트 진행율 - 일정변경 관리하지 않을때</t>
    <phoneticPr fontId="5"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</si>
</sst>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76" formatCode="0_);[Red]\(0\)"/>
    <numFmt numFmtId="177" formatCode="0.0"/>
    <numFmt numFmtId="178" formatCode="mm\/dd"/>
    <numFmt numFmtId="179" formatCode="0.0_);[Red]\(0.0\)"/>
    <numFmt numFmtId="180" formatCode="0.00_);[Red]\(0.00\)"/>
  </numFmts>
  <fonts count="42">
    <font>
      <sz val="11"/>
      <color theme="1"/>
      <name val="맑은 고딕"/>
      <family val="2"/>
      <scheme val="minor"/>
    </font>
    <font>
      <sz val="10"/>
      <color theme="0"/>
      <name val="맑은 고딕"/>
      <family val="2"/>
      <charset val="129"/>
    </font>
    <font>
      <sz val="8"/>
      <name val="맑은 고딕"/>
      <family val="3"/>
      <charset val="129"/>
      <scheme val="minor"/>
    </font>
    <font>
      <u/>
      <sz val="11"/>
      <color theme="10"/>
      <name val="돋움"/>
      <family val="3"/>
      <charset val="129"/>
    </font>
    <font>
      <b/>
      <sz val="14"/>
      <color rgb="FFFF8800"/>
      <name val="Calibri"/>
      <family val="2"/>
    </font>
    <font>
      <sz val="8"/>
      <name val="돋움"/>
      <family val="3"/>
      <charset val="129"/>
    </font>
    <font>
      <sz val="11"/>
      <name val="돋움"/>
      <family val="3"/>
      <charset val="129"/>
    </font>
    <font>
      <sz val="9"/>
      <color rgb="FF0070C0"/>
      <name val="Calibri"/>
      <family val="2"/>
    </font>
    <font>
      <sz val="9"/>
      <color theme="0"/>
      <name val="Calibri"/>
      <family val="2"/>
    </font>
    <font>
      <sz val="9"/>
      <name val="Calibri"/>
      <family val="2"/>
    </font>
    <font>
      <sz val="9"/>
      <color rgb="FFFF880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2"/>
      <color rgb="FF222222"/>
      <name val="Calibri"/>
      <family val="2"/>
    </font>
    <font>
      <sz val="11"/>
      <color theme="1"/>
      <name val="맑은 고딕"/>
      <family val="3"/>
      <charset val="129"/>
      <scheme val="minor"/>
    </font>
    <font>
      <sz val="10"/>
      <color theme="1"/>
      <name val="Calibri"/>
      <family val="2"/>
    </font>
    <font>
      <sz val="11"/>
      <name val="CA"/>
      <family val="2"/>
    </font>
    <font>
      <sz val="11"/>
      <color theme="1"/>
      <name val="맑은 고딕"/>
      <family val="2"/>
      <scheme val="minor"/>
    </font>
    <font>
      <b/>
      <sz val="9"/>
      <color rgb="FFFF8800"/>
      <name val="Calibri"/>
      <family val="2"/>
    </font>
    <font>
      <sz val="9"/>
      <color theme="1" tint="0.34998626667073579"/>
      <name val="Calibri"/>
      <family val="2"/>
    </font>
    <font>
      <b/>
      <sz val="9"/>
      <color theme="1" tint="0.34998626667073579"/>
      <name val="Calibri"/>
      <family val="2"/>
    </font>
    <font>
      <sz val="9"/>
      <color theme="1"/>
      <name val="맑은 고딕"/>
      <family val="2"/>
      <scheme val="minor"/>
    </font>
    <font>
      <sz val="9"/>
      <color theme="1"/>
      <name val="Calibri"/>
      <family val="2"/>
    </font>
    <font>
      <sz val="9"/>
      <color theme="1"/>
      <name val="돋움"/>
      <family val="3"/>
      <charset val="129"/>
    </font>
    <font>
      <sz val="10"/>
      <color theme="1"/>
      <name val="돋움"/>
      <family val="3"/>
      <charset val="129"/>
    </font>
    <font>
      <sz val="9"/>
      <color rgb="FFFF0000"/>
      <name val="Calibri"/>
      <family val="2"/>
    </font>
    <font>
      <sz val="9"/>
      <color rgb="FFFF0000"/>
      <name val="맑은 고딕"/>
      <family val="2"/>
      <scheme val="minor"/>
    </font>
    <font>
      <sz val="10"/>
      <color rgb="FFFF0000"/>
      <name val="Calibri"/>
      <family val="2"/>
    </font>
    <font>
      <sz val="9"/>
      <color theme="1"/>
      <name val="맑은 고딕"/>
      <family val="2"/>
    </font>
    <font>
      <sz val="11"/>
      <name val="맑은 고딕"/>
      <family val="3"/>
      <charset val="129"/>
    </font>
    <font>
      <b/>
      <sz val="14"/>
      <color rgb="FFFF8800"/>
      <name val="돋움"/>
      <family val="3"/>
      <charset val="129"/>
    </font>
    <font>
      <b/>
      <sz val="9"/>
      <name val="Calibri"/>
      <family val="2"/>
    </font>
    <font>
      <sz val="9"/>
      <name val="돋움"/>
      <family val="3"/>
      <charset val="129"/>
    </font>
    <font>
      <b/>
      <sz val="9"/>
      <color rgb="FF0070C0"/>
      <name val="Calibri"/>
      <family val="2"/>
    </font>
    <font>
      <b/>
      <sz val="9"/>
      <color theme="1"/>
      <name val="Calibri"/>
      <family val="2"/>
    </font>
  </fonts>
  <fills count="12">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rgb="FFFF880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rgb="FFF2F2FF"/>
        <bgColor indexed="64"/>
      </patternFill>
    </fill>
  </fills>
  <borders count="31">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left>
      <right style="thin">
        <color theme="0"/>
      </right>
      <top style="thin">
        <color theme="0"/>
      </top>
      <bottom style="thin">
        <color theme="0"/>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right/>
      <top/>
      <bottom style="thin">
        <color theme="0"/>
      </bottom>
      <diagonal/>
    </border>
    <border>
      <left style="thin">
        <color indexed="64"/>
      </left>
      <right style="thin">
        <color indexed="64"/>
      </right>
      <top style="thin">
        <color indexed="64"/>
      </top>
      <bottom/>
      <diagonal/>
    </border>
    <border>
      <left style="thin">
        <color theme="0" tint="-0.1498764000366222"/>
      </left>
      <right style="thin">
        <color theme="0" tint="-0.1498764000366222"/>
      </right>
      <top/>
      <bottom style="thin">
        <color theme="0" tint="-0.1498764000366222"/>
      </bottom>
      <diagonal/>
    </border>
    <border>
      <left/>
      <right/>
      <top style="thin">
        <color theme="0" tint="-0.14993743705557422"/>
      </top>
      <bottom style="thin">
        <color theme="0" tint="-0.14993743705557422"/>
      </bottom>
      <diagonal/>
    </border>
    <border>
      <left style="thin">
        <color theme="0" tint="-0.1498764000366222"/>
      </left>
      <right/>
      <top style="thin">
        <color theme="0" tint="-0.1498764000366222"/>
      </top>
      <bottom style="thin">
        <color theme="0" tint="-0.1498764000366222"/>
      </bottom>
      <diagonal/>
    </border>
    <border>
      <left/>
      <right style="thin">
        <color theme="0" tint="-0.1498764000366222"/>
      </right>
      <top style="thin">
        <color theme="0" tint="-0.1498764000366222"/>
      </top>
      <bottom style="thin">
        <color theme="0" tint="-0.1498764000366222"/>
      </bottom>
      <diagonal/>
    </border>
    <border>
      <left style="thin">
        <color theme="0" tint="-0.1498764000366222"/>
      </left>
      <right/>
      <top/>
      <bottom style="thin">
        <color theme="0" tint="-0.1498764000366222"/>
      </bottom>
      <diagonal/>
    </border>
    <border>
      <left/>
      <right style="thin">
        <color theme="0" tint="-0.1498764000366222"/>
      </right>
      <top/>
      <bottom style="thin">
        <color theme="0" tint="-0.1498764000366222"/>
      </bottom>
      <diagonal/>
    </border>
  </borders>
  <cellStyleXfs count="7">
    <xf numFmtId="0" fontId="0" fillId="0" borderId="0"/>
    <xf numFmtId="0" fontId="1" fillId="2" borderId="0" applyNumberFormat="0" applyBorder="0" applyAlignment="0" applyProtection="0">
      <alignment vertical="center"/>
    </xf>
    <xf numFmtId="0" fontId="3" fillId="0" borderId="0" applyNumberFormat="0" applyFill="0" applyBorder="0" applyAlignment="0" applyProtection="0"/>
    <xf numFmtId="9" fontId="6" fillId="0" borderId="0" applyFont="0" applyFill="0" applyBorder="0" applyAlignment="0" applyProtection="0">
      <alignment vertical="center"/>
    </xf>
    <xf numFmtId="0" fontId="6" fillId="0" borderId="0"/>
    <xf numFmtId="0" fontId="21" fillId="0" borderId="0"/>
    <xf numFmtId="9" fontId="24" fillId="0" borderId="0" applyFont="0" applyFill="0" applyBorder="0" applyAlignment="0" applyProtection="0">
      <alignment vertical="center"/>
    </xf>
  </cellStyleXfs>
  <cellXfs count="263">
    <xf numFmtId="0" fontId="0" fillId="0" borderId="0" xfId="0"/>
    <xf numFmtId="0" fontId="9" fillId="0" borderId="0" xfId="1" applyFont="1" applyFill="1" applyBorder="1" applyAlignment="1">
      <alignment horizontal="left" vertical="center"/>
    </xf>
    <xf numFmtId="0" fontId="9" fillId="0" borderId="2" xfId="4" applyFont="1" applyFill="1" applyBorder="1" applyAlignment="1" applyProtection="1">
      <alignment horizontal="left" vertical="center"/>
    </xf>
    <xf numFmtId="0" fontId="9" fillId="0" borderId="7" xfId="4" quotePrefix="1" applyFont="1" applyFill="1" applyBorder="1" applyAlignment="1" applyProtection="1">
      <alignment horizontal="right" vertical="top"/>
      <protection locked="0"/>
    </xf>
    <xf numFmtId="0" fontId="9" fillId="0" borderId="8" xfId="4" applyFont="1" applyFill="1" applyBorder="1" applyAlignment="1" applyProtection="1">
      <alignment horizontal="left" vertical="center"/>
      <protection locked="0"/>
    </xf>
    <xf numFmtId="0" fontId="9" fillId="0" borderId="10" xfId="4" applyFont="1" applyFill="1" applyBorder="1" applyAlignment="1" applyProtection="1">
      <alignment horizontal="right" vertical="top"/>
      <protection locked="0"/>
    </xf>
    <xf numFmtId="0" fontId="9" fillId="0" borderId="10" xfId="4" applyFont="1" applyFill="1" applyBorder="1" applyAlignment="1" applyProtection="1">
      <alignment horizontal="left" vertical="top"/>
      <protection locked="0"/>
    </xf>
    <xf numFmtId="14" fontId="9" fillId="0" borderId="10" xfId="4" applyNumberFormat="1" applyFont="1" applyFill="1" applyBorder="1" applyAlignment="1" applyProtection="1">
      <alignment horizontal="center" vertical="top"/>
      <protection locked="0"/>
    </xf>
    <xf numFmtId="0" fontId="9" fillId="0" borderId="10" xfId="4" applyNumberFormat="1" applyFont="1" applyFill="1" applyBorder="1" applyAlignment="1" applyProtection="1">
      <alignment horizontal="left" vertical="top"/>
      <protection locked="0"/>
    </xf>
    <xf numFmtId="176" fontId="9" fillId="0" borderId="10" xfId="4" applyNumberFormat="1" applyFont="1" applyFill="1" applyBorder="1" applyAlignment="1" applyProtection="1">
      <alignment horizontal="center" vertical="top"/>
      <protection locked="0"/>
    </xf>
    <xf numFmtId="0" fontId="9" fillId="0" borderId="10" xfId="4" applyNumberFormat="1" applyFont="1" applyFill="1" applyBorder="1" applyAlignment="1" applyProtection="1">
      <alignment horizontal="center" vertical="top"/>
      <protection locked="0"/>
    </xf>
    <xf numFmtId="177" fontId="9" fillId="0" borderId="10" xfId="4" applyNumberFormat="1" applyFont="1" applyFill="1" applyBorder="1" applyAlignment="1" applyProtection="1">
      <alignment horizontal="center" vertical="top"/>
      <protection locked="0"/>
    </xf>
    <xf numFmtId="1" fontId="9" fillId="0" borderId="10" xfId="4" applyNumberFormat="1" applyFont="1" applyFill="1" applyBorder="1" applyAlignment="1" applyProtection="1">
      <alignment horizontal="center" vertical="top"/>
      <protection locked="0"/>
    </xf>
    <xf numFmtId="179" fontId="9" fillId="0" borderId="10" xfId="4" applyNumberFormat="1" applyFont="1" applyFill="1" applyBorder="1" applyAlignment="1" applyProtection="1">
      <alignment horizontal="center" vertical="top"/>
      <protection locked="0"/>
    </xf>
    <xf numFmtId="14" fontId="9" fillId="0" borderId="10" xfId="4" applyNumberFormat="1" applyFont="1" applyFill="1" applyBorder="1" applyAlignment="1" applyProtection="1">
      <alignment horizontal="left" vertical="top"/>
      <protection locked="0"/>
    </xf>
    <xf numFmtId="10" fontId="9" fillId="0" borderId="10" xfId="3" applyNumberFormat="1" applyFont="1" applyFill="1" applyBorder="1" applyAlignment="1" applyProtection="1">
      <alignment horizontal="right" vertical="top" wrapText="1"/>
      <protection locked="0"/>
    </xf>
    <xf numFmtId="10" fontId="9" fillId="0" borderId="10" xfId="3" applyNumberFormat="1" applyFont="1" applyFill="1" applyBorder="1" applyAlignment="1" applyProtection="1">
      <alignment horizontal="right" vertical="top"/>
      <protection locked="0"/>
    </xf>
    <xf numFmtId="0" fontId="11" fillId="0" borderId="0" xfId="1" applyFont="1" applyFill="1" applyBorder="1" applyAlignment="1">
      <alignment vertical="center"/>
    </xf>
    <xf numFmtId="0" fontId="7" fillId="0" borderId="0" xfId="1" applyFont="1" applyFill="1" applyBorder="1" applyAlignment="1">
      <alignment vertical="center"/>
    </xf>
    <xf numFmtId="14" fontId="12" fillId="0" borderId="0" xfId="4" applyNumberFormat="1" applyFont="1" applyFill="1" applyBorder="1" applyAlignment="1" applyProtection="1">
      <alignment vertical="center"/>
    </xf>
    <xf numFmtId="14" fontId="13" fillId="0" borderId="0" xfId="4" applyNumberFormat="1" applyFont="1" applyFill="1" applyBorder="1" applyAlignment="1" applyProtection="1">
      <alignment vertical="center"/>
    </xf>
    <xf numFmtId="14" fontId="14" fillId="3" borderId="0" xfId="4" quotePrefix="1" applyNumberFormat="1" applyFont="1" applyFill="1" applyBorder="1" applyProtection="1"/>
    <xf numFmtId="14" fontId="14" fillId="3" borderId="0" xfId="4" applyNumberFormat="1" applyFont="1" applyFill="1" applyBorder="1" applyAlignment="1" applyProtection="1">
      <alignment vertical="center"/>
    </xf>
    <xf numFmtId="0" fontId="14" fillId="3" borderId="0" xfId="4" applyFont="1" applyFill="1" applyBorder="1" applyProtection="1"/>
    <xf numFmtId="176" fontId="16" fillId="3" borderId="0" xfId="4" applyNumberFormat="1" applyFont="1" applyFill="1" applyBorder="1" applyAlignment="1" applyProtection="1">
      <alignment vertical="center"/>
      <protection locked="0"/>
    </xf>
    <xf numFmtId="14" fontId="15" fillId="3" borderId="0" xfId="4" applyNumberFormat="1" applyFont="1" applyFill="1" applyBorder="1" applyAlignment="1" applyProtection="1">
      <alignment vertical="center"/>
    </xf>
    <xf numFmtId="14" fontId="14" fillId="0" borderId="11" xfId="4" applyNumberFormat="1" applyFont="1" applyFill="1" applyBorder="1" applyAlignment="1" applyProtection="1">
      <alignment vertical="top"/>
      <protection locked="0"/>
    </xf>
    <xf numFmtId="14" fontId="14" fillId="0" borderId="11" xfId="4" applyNumberFormat="1" applyFont="1" applyFill="1" applyBorder="1" applyAlignment="1" applyProtection="1">
      <alignment vertical="center"/>
      <protection locked="0"/>
    </xf>
    <xf numFmtId="0" fontId="14" fillId="0" borderId="11" xfId="4" applyFont="1" applyFill="1" applyBorder="1" applyAlignment="1" applyProtection="1">
      <alignment vertical="top"/>
      <protection locked="0"/>
    </xf>
    <xf numFmtId="0" fontId="14" fillId="0" borderId="11" xfId="4" applyFont="1" applyFill="1" applyBorder="1" applyAlignment="1" applyProtection="1">
      <alignment vertical="center" wrapText="1"/>
      <protection locked="0"/>
    </xf>
    <xf numFmtId="0" fontId="14" fillId="0" borderId="11" xfId="4" applyFont="1" applyFill="1" applyBorder="1" applyAlignment="1" applyProtection="1">
      <alignment vertical="center"/>
      <protection locked="0"/>
    </xf>
    <xf numFmtId="0" fontId="14" fillId="0" borderId="0" xfId="4" applyFont="1" applyFill="1" applyBorder="1" applyAlignment="1" applyProtection="1">
      <alignment vertical="top"/>
      <protection locked="0"/>
    </xf>
    <xf numFmtId="14" fontId="17" fillId="0" borderId="0" xfId="4" applyNumberFormat="1" applyFont="1" applyFill="1" applyBorder="1" applyAlignment="1" applyProtection="1">
      <alignment horizontal="right" vertical="top"/>
      <protection locked="0"/>
    </xf>
    <xf numFmtId="180" fontId="14" fillId="6" borderId="12" xfId="4" applyNumberFormat="1" applyFont="1" applyFill="1" applyBorder="1" applyAlignment="1" applyProtection="1">
      <alignment vertical="center"/>
      <protection locked="0"/>
    </xf>
    <xf numFmtId="14" fontId="17" fillId="0" borderId="13" xfId="4" applyNumberFormat="1" applyFont="1" applyFill="1" applyBorder="1" applyAlignment="1" applyProtection="1">
      <alignment horizontal="right" vertical="top"/>
      <protection locked="0"/>
    </xf>
    <xf numFmtId="14" fontId="14" fillId="0" borderId="13" xfId="4" applyNumberFormat="1" applyFont="1" applyFill="1" applyBorder="1" applyAlignment="1" applyProtection="1">
      <alignment vertical="center"/>
      <protection locked="0"/>
    </xf>
    <xf numFmtId="0" fontId="14" fillId="0" borderId="13" xfId="4" applyFont="1" applyFill="1" applyBorder="1" applyAlignment="1" applyProtection="1">
      <alignment vertical="top"/>
      <protection locked="0"/>
    </xf>
    <xf numFmtId="0" fontId="14" fillId="0" borderId="13" xfId="4" applyFont="1" applyFill="1" applyBorder="1" applyAlignment="1" applyProtection="1">
      <alignment vertical="center"/>
      <protection locked="0"/>
    </xf>
    <xf numFmtId="14" fontId="17" fillId="0" borderId="0" xfId="4" applyNumberFormat="1" applyFont="1" applyFill="1" applyBorder="1" applyAlignment="1" applyProtection="1">
      <alignment vertical="top"/>
      <protection locked="0"/>
    </xf>
    <xf numFmtId="14" fontId="14" fillId="0" borderId="0" xfId="4" applyNumberFormat="1" applyFont="1" applyFill="1" applyBorder="1" applyAlignment="1" applyProtection="1">
      <alignment vertical="center"/>
      <protection locked="0"/>
    </xf>
    <xf numFmtId="0" fontId="14" fillId="0" borderId="14" xfId="4" applyFont="1" applyFill="1" applyBorder="1" applyAlignment="1" applyProtection="1">
      <alignment vertical="center" wrapText="1"/>
      <protection locked="0"/>
    </xf>
    <xf numFmtId="14" fontId="14" fillId="0" borderId="0" xfId="4" applyNumberFormat="1" applyFont="1" applyFill="1" applyBorder="1" applyAlignment="1" applyProtection="1">
      <alignment vertical="top"/>
      <protection locked="0"/>
    </xf>
    <xf numFmtId="14" fontId="17" fillId="0" borderId="13" xfId="4" applyNumberFormat="1" applyFont="1" applyFill="1" applyBorder="1" applyAlignment="1" applyProtection="1">
      <alignment vertical="top"/>
      <protection locked="0"/>
    </xf>
    <xf numFmtId="0" fontId="14" fillId="0" borderId="13" xfId="4" applyFont="1" applyFill="1" applyBorder="1" applyAlignment="1" applyProtection="1">
      <alignment vertical="center" wrapText="1"/>
      <protection locked="0"/>
    </xf>
    <xf numFmtId="14" fontId="17" fillId="0" borderId="14" xfId="4" applyNumberFormat="1" applyFont="1" applyFill="1" applyBorder="1" applyAlignment="1" applyProtection="1">
      <alignment vertical="center" wrapText="1"/>
      <protection locked="0"/>
    </xf>
    <xf numFmtId="14" fontId="17" fillId="0" borderId="0" xfId="4" applyNumberFormat="1" applyFont="1" applyFill="1" applyBorder="1" applyAlignment="1" applyProtection="1">
      <alignment horizontal="right" vertical="center" wrapText="1"/>
      <protection locked="0"/>
    </xf>
    <xf numFmtId="14" fontId="17" fillId="0" borderId="13" xfId="4" applyNumberFormat="1" applyFont="1" applyFill="1" applyBorder="1" applyAlignment="1" applyProtection="1">
      <alignment vertical="center" wrapText="1"/>
      <protection locked="0"/>
    </xf>
    <xf numFmtId="0" fontId="14" fillId="0" borderId="13" xfId="4" applyFont="1" applyFill="1" applyBorder="1" applyProtection="1">
      <protection locked="0"/>
    </xf>
    <xf numFmtId="0" fontId="14" fillId="0" borderId="0" xfId="4" applyFont="1" applyFill="1" applyBorder="1" applyProtection="1">
      <protection locked="0"/>
    </xf>
    <xf numFmtId="14" fontId="14" fillId="0" borderId="0" xfId="4" applyNumberFormat="1" applyFont="1" applyFill="1" applyBorder="1" applyProtection="1">
      <protection locked="0"/>
    </xf>
    <xf numFmtId="14" fontId="14" fillId="0" borderId="14" xfId="4" applyNumberFormat="1" applyFont="1" applyFill="1" applyBorder="1" applyAlignment="1" applyProtection="1">
      <alignment vertical="center"/>
      <protection locked="0"/>
    </xf>
    <xf numFmtId="0" fontId="14" fillId="0" borderId="14" xfId="4" applyFont="1" applyFill="1" applyBorder="1" applyProtection="1">
      <protection locked="0"/>
    </xf>
    <xf numFmtId="14" fontId="14" fillId="0" borderId="15" xfId="4" applyNumberFormat="1" applyFont="1" applyFill="1" applyBorder="1" applyAlignment="1" applyProtection="1">
      <alignment vertical="center"/>
      <protection locked="0"/>
    </xf>
    <xf numFmtId="0" fontId="14" fillId="0" borderId="15" xfId="4" applyFont="1" applyFill="1" applyBorder="1" applyAlignment="1" applyProtection="1">
      <alignment vertical="top"/>
      <protection locked="0"/>
    </xf>
    <xf numFmtId="14" fontId="17" fillId="0" borderId="14" xfId="4" applyNumberFormat="1" applyFont="1" applyFill="1" applyBorder="1" applyProtection="1">
      <protection locked="0"/>
    </xf>
    <xf numFmtId="10" fontId="14" fillId="6" borderId="12" xfId="3" applyNumberFormat="1" applyFont="1" applyFill="1" applyBorder="1" applyAlignment="1" applyProtection="1">
      <alignment vertical="center"/>
      <protection locked="0"/>
    </xf>
    <xf numFmtId="14" fontId="17" fillId="0" borderId="15" xfId="4" applyNumberFormat="1" applyFont="1" applyFill="1" applyBorder="1" applyAlignment="1" applyProtection="1">
      <alignment horizontal="right" vertical="top"/>
      <protection locked="0"/>
    </xf>
    <xf numFmtId="14" fontId="17" fillId="0" borderId="11" xfId="4" applyNumberFormat="1" applyFont="1" applyFill="1" applyBorder="1" applyAlignment="1" applyProtection="1">
      <alignment horizontal="right" vertical="top"/>
      <protection locked="0"/>
    </xf>
    <xf numFmtId="14" fontId="17" fillId="0" borderId="16" xfId="4" applyNumberFormat="1" applyFont="1" applyFill="1" applyBorder="1" applyAlignment="1" applyProtection="1">
      <alignment horizontal="right" vertical="top"/>
      <protection locked="0"/>
    </xf>
    <xf numFmtId="14" fontId="14" fillId="0" borderId="16" xfId="4" applyNumberFormat="1" applyFont="1" applyFill="1" applyBorder="1" applyAlignment="1" applyProtection="1">
      <alignment vertical="center"/>
      <protection locked="0"/>
    </xf>
    <xf numFmtId="0" fontId="14" fillId="0" borderId="16" xfId="4" applyFont="1" applyFill="1" applyBorder="1" applyAlignment="1" applyProtection="1">
      <alignment vertical="top"/>
      <protection locked="0"/>
    </xf>
    <xf numFmtId="14" fontId="17" fillId="0" borderId="17" xfId="4" applyNumberFormat="1" applyFont="1" applyFill="1" applyBorder="1" applyAlignment="1" applyProtection="1">
      <alignment vertical="top"/>
      <protection locked="0"/>
    </xf>
    <xf numFmtId="14" fontId="14" fillId="0" borderId="17" xfId="4" applyNumberFormat="1" applyFont="1" applyFill="1" applyBorder="1" applyAlignment="1" applyProtection="1">
      <alignment vertical="center"/>
      <protection locked="0"/>
    </xf>
    <xf numFmtId="0" fontId="14" fillId="0" borderId="17" xfId="4" applyFont="1" applyFill="1" applyBorder="1" applyAlignment="1" applyProtection="1">
      <alignment vertical="top"/>
      <protection locked="0"/>
    </xf>
    <xf numFmtId="0" fontId="14" fillId="0" borderId="14" xfId="4" applyFont="1" applyFill="1" applyBorder="1" applyAlignment="1" applyProtection="1">
      <alignment vertical="center"/>
      <protection locked="0"/>
    </xf>
    <xf numFmtId="10" fontId="14" fillId="6" borderId="12" xfId="3" applyNumberFormat="1" applyFont="1" applyFill="1" applyBorder="1" applyAlignment="1" applyProtection="1">
      <alignment vertical="center"/>
    </xf>
    <xf numFmtId="14" fontId="14" fillId="0" borderId="18" xfId="4" applyNumberFormat="1" applyFont="1" applyFill="1" applyBorder="1" applyAlignment="1" applyProtection="1">
      <alignment horizontal="right" vertical="top"/>
      <protection locked="0"/>
    </xf>
    <xf numFmtId="14" fontId="14" fillId="0" borderId="18" xfId="4" applyNumberFormat="1" applyFont="1" applyFill="1" applyBorder="1" applyAlignment="1" applyProtection="1">
      <alignment vertical="center"/>
      <protection locked="0"/>
    </xf>
    <xf numFmtId="0" fontId="14" fillId="0" borderId="18" xfId="4" applyFont="1" applyFill="1" applyBorder="1" applyAlignment="1" applyProtection="1">
      <alignment vertical="top"/>
      <protection locked="0"/>
    </xf>
    <xf numFmtId="0" fontId="14" fillId="0" borderId="18" xfId="4" applyFont="1" applyFill="1" applyBorder="1" applyAlignment="1" applyProtection="1">
      <alignment vertical="center"/>
      <protection locked="0"/>
    </xf>
    <xf numFmtId="14" fontId="13" fillId="0" borderId="0" xfId="4" applyNumberFormat="1" applyFont="1" applyFill="1" applyBorder="1" applyAlignment="1" applyProtection="1">
      <alignment vertical="top"/>
      <protection locked="0"/>
    </xf>
    <xf numFmtId="14" fontId="13" fillId="0" borderId="0" xfId="4" applyNumberFormat="1" applyFont="1" applyFill="1" applyBorder="1" applyAlignment="1" applyProtection="1">
      <alignment vertical="center"/>
      <protection locked="0"/>
    </xf>
    <xf numFmtId="0" fontId="13" fillId="0" borderId="0" xfId="4" applyFont="1" applyFill="1" applyBorder="1" applyAlignment="1" applyProtection="1">
      <alignment vertical="top"/>
      <protection locked="0"/>
    </xf>
    <xf numFmtId="14" fontId="13" fillId="0" borderId="0" xfId="4" applyNumberFormat="1" applyFont="1" applyFill="1" applyBorder="1" applyProtection="1">
      <protection locked="0"/>
    </xf>
    <xf numFmtId="180" fontId="13" fillId="0" borderId="0" xfId="3" applyNumberFormat="1" applyFont="1" applyFill="1" applyBorder="1" applyAlignment="1" applyProtection="1">
      <alignment vertical="center"/>
      <protection locked="0"/>
    </xf>
    <xf numFmtId="0" fontId="13" fillId="0" borderId="0" xfId="4" applyFont="1" applyFill="1" applyBorder="1" applyProtection="1">
      <protection locked="0"/>
    </xf>
    <xf numFmtId="1" fontId="13" fillId="0" borderId="0" xfId="4" applyNumberFormat="1" applyFont="1" applyFill="1" applyBorder="1" applyAlignment="1" applyProtection="1">
      <alignment vertical="center"/>
      <protection locked="0"/>
    </xf>
    <xf numFmtId="176" fontId="13" fillId="0" borderId="0" xfId="4" applyNumberFormat="1" applyFont="1" applyFill="1" applyBorder="1" applyAlignment="1" applyProtection="1">
      <alignment vertical="center"/>
      <protection locked="0"/>
    </xf>
    <xf numFmtId="0" fontId="11" fillId="0" borderId="0" xfId="4" applyFont="1" applyFill="1" applyBorder="1" applyAlignment="1">
      <alignment vertical="center"/>
    </xf>
    <xf numFmtId="0" fontId="13" fillId="7" borderId="1" xfId="4" applyFont="1" applyFill="1" applyBorder="1" applyAlignment="1">
      <alignment horizontal="left" wrapText="1"/>
    </xf>
    <xf numFmtId="14" fontId="13" fillId="0" borderId="0" xfId="4" applyNumberFormat="1" applyFont="1" applyFill="1" applyProtection="1"/>
    <xf numFmtId="14" fontId="13" fillId="3" borderId="0" xfId="4" applyNumberFormat="1" applyFont="1" applyFill="1" applyAlignment="1" applyProtection="1">
      <alignment vertical="top"/>
    </xf>
    <xf numFmtId="14" fontId="19" fillId="4" borderId="19" xfId="4" applyNumberFormat="1" applyFont="1" applyFill="1" applyBorder="1" applyAlignment="1" applyProtection="1">
      <alignment horizontal="center" vertical="center"/>
    </xf>
    <xf numFmtId="14" fontId="13" fillId="0" borderId="0" xfId="4" applyNumberFormat="1" applyFont="1" applyAlignment="1" applyProtection="1">
      <alignment horizontal="center" vertical="center"/>
    </xf>
    <xf numFmtId="14" fontId="13" fillId="8" borderId="19" xfId="4" applyNumberFormat="1" applyFont="1" applyFill="1" applyBorder="1" applyProtection="1">
      <protection locked="0"/>
    </xf>
    <xf numFmtId="14" fontId="13" fillId="0" borderId="19" xfId="4" applyNumberFormat="1" applyFont="1" applyBorder="1" applyProtection="1">
      <protection locked="0"/>
    </xf>
    <xf numFmtId="14" fontId="13" fillId="0" borderId="0" xfId="4" applyNumberFormat="1" applyFont="1" applyProtection="1"/>
    <xf numFmtId="0" fontId="20" fillId="0" borderId="0" xfId="4" applyFont="1"/>
    <xf numFmtId="14" fontId="13" fillId="0" borderId="19" xfId="4" applyNumberFormat="1" applyFont="1" applyBorder="1" applyProtection="1"/>
    <xf numFmtId="0" fontId="23" fillId="0" borderId="0" xfId="4" applyNumberFormat="1" applyFont="1" applyFill="1" applyBorder="1" applyAlignment="1" applyProtection="1">
      <alignment horizontal="center"/>
      <protection locked="0"/>
    </xf>
    <xf numFmtId="14" fontId="23" fillId="0" borderId="0" xfId="4" applyNumberFormat="1" applyFont="1" applyFill="1" applyBorder="1" applyAlignment="1" applyProtection="1">
      <alignment horizontal="center"/>
      <protection locked="0"/>
    </xf>
    <xf numFmtId="0" fontId="23" fillId="0" borderId="0" xfId="4" applyFont="1" applyFill="1" applyBorder="1" applyAlignment="1" applyProtection="1">
      <alignment horizontal="center"/>
      <protection locked="0"/>
    </xf>
    <xf numFmtId="0" fontId="23" fillId="0" borderId="0" xfId="4" applyFont="1" applyFill="1" applyBorder="1" applyProtection="1">
      <protection locked="0"/>
    </xf>
    <xf numFmtId="0" fontId="23" fillId="0" borderId="0" xfId="4" applyNumberFormat="1" applyFont="1" applyFill="1" applyBorder="1" applyAlignment="1" applyProtection="1">
      <alignment horizontal="right"/>
      <protection locked="0"/>
    </xf>
    <xf numFmtId="0" fontId="23" fillId="0" borderId="0" xfId="4" applyNumberFormat="1" applyFont="1" applyFill="1" applyBorder="1" applyAlignment="1" applyProtection="1">
      <alignment horizontal="left"/>
      <protection locked="0"/>
    </xf>
    <xf numFmtId="14" fontId="23" fillId="0" borderId="0" xfId="4" applyNumberFormat="1" applyFont="1" applyFill="1" applyBorder="1" applyProtection="1">
      <protection locked="0"/>
    </xf>
    <xf numFmtId="14" fontId="23" fillId="0" borderId="0" xfId="4" applyNumberFormat="1" applyFont="1" applyFill="1" applyBorder="1" applyAlignment="1" applyProtection="1">
      <alignment horizontal="left"/>
      <protection locked="0"/>
    </xf>
    <xf numFmtId="10" fontId="9" fillId="0" borderId="7" xfId="6" applyNumberFormat="1" applyFont="1" applyFill="1" applyBorder="1" applyAlignment="1" applyProtection="1">
      <alignment horizontal="right" vertical="top" wrapText="1"/>
      <protection locked="0"/>
    </xf>
    <xf numFmtId="0" fontId="14" fillId="9" borderId="20" xfId="4" applyFont="1" applyFill="1" applyBorder="1" applyAlignment="1">
      <alignment horizontal="left" vertical="top"/>
    </xf>
    <xf numFmtId="0" fontId="14" fillId="0" borderId="0" xfId="4" applyFont="1" applyFill="1" applyAlignment="1">
      <alignment horizontal="left" vertical="top"/>
    </xf>
    <xf numFmtId="0" fontId="14" fillId="0" borderId="0" xfId="4" applyFont="1" applyFill="1" applyBorder="1" applyAlignment="1">
      <alignment vertical="top"/>
    </xf>
    <xf numFmtId="0" fontId="14" fillId="0" borderId="0" xfId="4" applyFont="1" applyFill="1" applyBorder="1" applyAlignment="1">
      <alignment horizontal="left" vertical="top"/>
    </xf>
    <xf numFmtId="0" fontId="14" fillId="0" borderId="0" xfId="4" applyFont="1" applyFill="1" applyAlignment="1">
      <alignment vertical="top"/>
    </xf>
    <xf numFmtId="0" fontId="14" fillId="0" borderId="0" xfId="4" quotePrefix="1" applyFont="1" applyFill="1" applyBorder="1" applyAlignment="1">
      <alignment horizontal="left" vertical="top"/>
    </xf>
    <xf numFmtId="14" fontId="14" fillId="0" borderId="0" xfId="4" applyNumberFormat="1" applyFont="1" applyFill="1" applyBorder="1" applyAlignment="1">
      <alignment horizontal="left" vertical="top"/>
    </xf>
    <xf numFmtId="0" fontId="14" fillId="0" borderId="20" xfId="4" applyFont="1" applyFill="1" applyBorder="1" applyAlignment="1">
      <alignment vertical="top"/>
    </xf>
    <xf numFmtId="0" fontId="14" fillId="0" borderId="20" xfId="4" applyFont="1" applyFill="1" applyBorder="1" applyAlignment="1">
      <alignment horizontal="left" vertical="top"/>
    </xf>
    <xf numFmtId="14" fontId="14" fillId="0" borderId="0" xfId="4" applyNumberFormat="1" applyFont="1" applyFill="1" applyAlignment="1">
      <alignment horizontal="left" vertical="top"/>
    </xf>
    <xf numFmtId="1" fontId="14" fillId="0" borderId="0" xfId="4" applyNumberFormat="1" applyFont="1" applyFill="1" applyAlignment="1">
      <alignment horizontal="left" vertical="top"/>
    </xf>
    <xf numFmtId="22" fontId="14" fillId="0" borderId="0" xfId="4" applyNumberFormat="1" applyFont="1" applyFill="1" applyAlignment="1">
      <alignment horizontal="left" vertical="top"/>
    </xf>
    <xf numFmtId="14" fontId="14" fillId="0" borderId="0" xfId="4" applyNumberFormat="1" applyFont="1" applyFill="1" applyAlignment="1">
      <alignment vertical="top"/>
    </xf>
    <xf numFmtId="0" fontId="22" fillId="0" borderId="0" xfId="0" applyFont="1" applyAlignment="1"/>
    <xf numFmtId="178" fontId="10" fillId="5" borderId="4" xfId="4" applyNumberFormat="1" applyFont="1" applyFill="1" applyBorder="1" applyAlignment="1" applyProtection="1">
      <alignment horizontal="left" vertical="center"/>
    </xf>
    <xf numFmtId="178" fontId="10" fillId="5" borderId="5" xfId="4" applyNumberFormat="1" applyFont="1" applyFill="1" applyBorder="1" applyAlignment="1" applyProtection="1">
      <alignment horizontal="left" vertical="center"/>
    </xf>
    <xf numFmtId="0" fontId="9" fillId="0" borderId="9" xfId="4" applyFont="1" applyFill="1" applyBorder="1" applyAlignment="1" applyProtection="1">
      <alignment horizontal="left" vertical="center"/>
      <protection locked="0"/>
    </xf>
    <xf numFmtId="178" fontId="10" fillId="5" borderId="6" xfId="4" applyNumberFormat="1" applyFont="1" applyFill="1" applyBorder="1" applyAlignment="1" applyProtection="1">
      <alignment horizontal="left" vertical="center"/>
    </xf>
    <xf numFmtId="0" fontId="9" fillId="0" borderId="7" xfId="4" applyFont="1" applyFill="1" applyBorder="1" applyAlignment="1" applyProtection="1">
      <alignment vertical="top"/>
      <protection locked="0"/>
    </xf>
    <xf numFmtId="0" fontId="9" fillId="0" borderId="10" xfId="4" applyFont="1" applyFill="1" applyBorder="1" applyAlignment="1" applyProtection="1">
      <alignment vertical="top"/>
      <protection locked="0"/>
    </xf>
    <xf numFmtId="14" fontId="13" fillId="8" borderId="19" xfId="0" applyNumberFormat="1" applyFont="1" applyFill="1" applyBorder="1" applyProtection="1">
      <protection locked="0"/>
    </xf>
    <xf numFmtId="14" fontId="13" fillId="0" borderId="19" xfId="0" applyNumberFormat="1" applyFont="1" applyBorder="1" applyProtection="1">
      <protection locked="0"/>
    </xf>
    <xf numFmtId="14" fontId="13" fillId="0" borderId="19" xfId="0" applyNumberFormat="1" applyFont="1" applyFill="1" applyBorder="1" applyProtection="1">
      <protection locked="0"/>
    </xf>
    <xf numFmtId="0" fontId="10" fillId="0" borderId="1" xfId="4" applyFont="1" applyFill="1" applyBorder="1" applyAlignment="1" applyProtection="1">
      <alignment horizontal="left" vertical="center"/>
    </xf>
    <xf numFmtId="0" fontId="10" fillId="0" borderId="2" xfId="4" applyFont="1" applyFill="1" applyBorder="1" applyAlignment="1" applyProtection="1">
      <alignment horizontal="left" vertical="center"/>
    </xf>
    <xf numFmtId="0" fontId="9" fillId="0" borderId="21" xfId="4" applyFont="1" applyFill="1" applyBorder="1" applyAlignment="1" applyProtection="1">
      <alignment horizontal="left" vertical="center"/>
      <protection locked="0"/>
    </xf>
    <xf numFmtId="0" fontId="8" fillId="4" borderId="1" xfId="4" applyFont="1" applyFill="1" applyBorder="1" applyAlignment="1">
      <alignment horizontal="center" vertical="center"/>
    </xf>
    <xf numFmtId="0" fontId="8" fillId="4" borderId="1" xfId="4" applyFont="1" applyFill="1" applyBorder="1" applyAlignment="1">
      <alignment horizontal="center" vertical="center" wrapText="1"/>
    </xf>
    <xf numFmtId="0" fontId="28" fillId="0" borderId="0" xfId="0" applyFont="1" applyAlignment="1">
      <alignment vertical="top"/>
    </xf>
    <xf numFmtId="0" fontId="28" fillId="0" borderId="0" xfId="0" applyFont="1" applyAlignment="1">
      <alignment vertical="top" wrapText="1"/>
    </xf>
    <xf numFmtId="0" fontId="29" fillId="0" borderId="0" xfId="5" applyFont="1" applyFill="1" applyBorder="1" applyAlignment="1">
      <alignment horizontal="left" vertical="top" wrapText="1"/>
    </xf>
    <xf numFmtId="0" fontId="29" fillId="0" borderId="0" xfId="5" applyFont="1" applyFill="1" applyBorder="1" applyAlignment="1">
      <alignment horizontal="left" vertical="top"/>
    </xf>
    <xf numFmtId="0" fontId="9" fillId="0" borderId="0" xfId="4" applyFont="1" applyAlignment="1">
      <alignment vertical="top"/>
    </xf>
    <xf numFmtId="0" fontId="9" fillId="0" borderId="0" xfId="5" applyFont="1" applyFill="1" applyBorder="1" applyAlignment="1">
      <alignment horizontal="left" vertical="top"/>
    </xf>
    <xf numFmtId="0" fontId="29" fillId="0" borderId="0" xfId="5" applyNumberFormat="1" applyFont="1" applyFill="1" applyBorder="1" applyAlignment="1">
      <alignment horizontal="left" vertical="top" wrapText="1"/>
    </xf>
    <xf numFmtId="14" fontId="29" fillId="0" borderId="0" xfId="5" applyNumberFormat="1" applyFont="1" applyFill="1" applyBorder="1" applyAlignment="1">
      <alignment horizontal="left" vertical="top" wrapText="1"/>
    </xf>
    <xf numFmtId="0" fontId="22" fillId="0" borderId="0" xfId="5" applyFont="1" applyFill="1" applyBorder="1" applyAlignment="1">
      <alignment horizontal="left" vertical="top" wrapText="1"/>
    </xf>
    <xf numFmtId="0" fontId="13" fillId="0" borderId="0" xfId="4" applyFont="1" applyAlignment="1">
      <alignment vertical="top"/>
    </xf>
    <xf numFmtId="0" fontId="33" fillId="0" borderId="0" xfId="0" applyFont="1" applyAlignment="1">
      <alignment vertical="top"/>
    </xf>
    <xf numFmtId="0" fontId="34" fillId="0" borderId="0" xfId="5" applyFont="1" applyFill="1" applyBorder="1" applyAlignment="1">
      <alignment horizontal="left" vertical="top" wrapText="1"/>
    </xf>
    <xf numFmtId="0" fontId="32" fillId="0" borderId="0" xfId="5" applyFont="1" applyFill="1" applyBorder="1" applyAlignment="1">
      <alignment horizontal="left" vertical="top"/>
    </xf>
    <xf numFmtId="0" fontId="28" fillId="0" borderId="0" xfId="0" applyFont="1" applyAlignment="1">
      <alignment horizontal="center" vertical="top"/>
    </xf>
    <xf numFmtId="0" fontId="29" fillId="0" borderId="0" xfId="0" applyFont="1" applyAlignment="1">
      <alignment vertical="top" wrapText="1"/>
    </xf>
    <xf numFmtId="0" fontId="26" fillId="11" borderId="0" xfId="2" applyNumberFormat="1" applyFont="1" applyFill="1" applyBorder="1" applyAlignment="1">
      <alignment horizontal="right" vertical="center"/>
    </xf>
    <xf numFmtId="10" fontId="26" fillId="11" borderId="0" xfId="3" applyNumberFormat="1" applyFont="1" applyFill="1" applyBorder="1" applyAlignment="1">
      <alignment horizontal="right" vertical="center"/>
    </xf>
    <xf numFmtId="0" fontId="27" fillId="11" borderId="0" xfId="2" applyNumberFormat="1" applyFont="1" applyFill="1" applyBorder="1" applyAlignment="1">
      <alignment vertical="top"/>
    </xf>
    <xf numFmtId="0" fontId="27" fillId="11" borderId="0" xfId="2" applyNumberFormat="1" applyFont="1" applyFill="1" applyBorder="1" applyAlignment="1">
      <alignment horizontal="right" vertical="top"/>
    </xf>
    <xf numFmtId="0" fontId="25" fillId="11" borderId="0" xfId="1" applyFont="1" applyFill="1" applyBorder="1" applyAlignment="1">
      <alignment horizontal="left" vertical="center"/>
    </xf>
    <xf numFmtId="0" fontId="30" fillId="0" borderId="0" xfId="0" applyFont="1" applyAlignment="1">
      <alignment vertical="top" wrapText="1"/>
    </xf>
    <xf numFmtId="0" fontId="35" fillId="0" borderId="0" xfId="0" applyFont="1" applyAlignment="1">
      <alignment vertical="top" wrapText="1"/>
    </xf>
    <xf numFmtId="0" fontId="31" fillId="0" borderId="0" xfId="5" applyFont="1" applyFill="1" applyBorder="1" applyAlignment="1">
      <alignment horizontal="left" vertical="top" wrapText="1"/>
    </xf>
    <xf numFmtId="0" fontId="9" fillId="0" borderId="22" xfId="4" applyFont="1" applyFill="1" applyBorder="1" applyAlignment="1" applyProtection="1">
      <alignment vertical="top"/>
      <protection locked="0"/>
    </xf>
    <xf numFmtId="0" fontId="9" fillId="0" borderId="22" xfId="4" applyFont="1" applyFill="1" applyBorder="1" applyAlignment="1" applyProtection="1">
      <alignment horizontal="right" vertical="top"/>
      <protection locked="0"/>
    </xf>
    <xf numFmtId="0" fontId="9" fillId="0" borderId="22" xfId="4" applyFont="1" applyFill="1" applyBorder="1" applyAlignment="1" applyProtection="1">
      <alignment horizontal="left" vertical="top"/>
      <protection locked="0"/>
    </xf>
    <xf numFmtId="14" fontId="9" fillId="0" borderId="22" xfId="4" applyNumberFormat="1" applyFont="1" applyFill="1" applyBorder="1" applyAlignment="1" applyProtection="1">
      <alignment horizontal="center" vertical="top"/>
      <protection locked="0"/>
    </xf>
    <xf numFmtId="0" fontId="9" fillId="0" borderId="22" xfId="4" applyNumberFormat="1" applyFont="1" applyFill="1" applyBorder="1" applyAlignment="1" applyProtection="1">
      <alignment horizontal="left" vertical="top"/>
      <protection locked="0"/>
    </xf>
    <xf numFmtId="176" fontId="9" fillId="0" borderId="22" xfId="4" applyNumberFormat="1" applyFont="1" applyFill="1" applyBorder="1" applyAlignment="1" applyProtection="1">
      <alignment horizontal="center" vertical="top"/>
      <protection locked="0"/>
    </xf>
    <xf numFmtId="0" fontId="9" fillId="0" borderId="22" xfId="4" applyNumberFormat="1" applyFont="1" applyFill="1" applyBorder="1" applyAlignment="1" applyProtection="1">
      <alignment horizontal="center" vertical="top"/>
      <protection locked="0"/>
    </xf>
    <xf numFmtId="177" fontId="9" fillId="0" borderId="22" xfId="4" applyNumberFormat="1" applyFont="1" applyFill="1" applyBorder="1" applyAlignment="1" applyProtection="1">
      <alignment horizontal="center" vertical="top"/>
      <protection locked="0"/>
    </xf>
    <xf numFmtId="1" fontId="9" fillId="0" borderId="22" xfId="4" applyNumberFormat="1" applyFont="1" applyFill="1" applyBorder="1" applyAlignment="1" applyProtection="1">
      <alignment horizontal="center" vertical="top"/>
      <protection locked="0"/>
    </xf>
    <xf numFmtId="179" fontId="9" fillId="0" borderId="22" xfId="4" applyNumberFormat="1" applyFont="1" applyFill="1" applyBorder="1" applyAlignment="1" applyProtection="1">
      <alignment horizontal="center" vertical="top"/>
      <protection locked="0"/>
    </xf>
    <xf numFmtId="14" fontId="9" fillId="0" borderId="22" xfId="4" applyNumberFormat="1" applyFont="1" applyFill="1" applyBorder="1" applyAlignment="1" applyProtection="1">
      <alignment horizontal="left" vertical="top"/>
      <protection locked="0"/>
    </xf>
    <xf numFmtId="10" fontId="9" fillId="0" borderId="22" xfId="3" applyNumberFormat="1" applyFont="1" applyFill="1" applyBorder="1" applyAlignment="1" applyProtection="1">
      <alignment horizontal="right" vertical="top" wrapText="1"/>
      <protection locked="0"/>
    </xf>
    <xf numFmtId="10" fontId="9" fillId="0" borderId="22" xfId="3" applyNumberFormat="1" applyFont="1" applyFill="1" applyBorder="1" applyAlignment="1" applyProtection="1">
      <alignment horizontal="right" vertical="top"/>
      <protection locked="0"/>
    </xf>
    <xf numFmtId="0" fontId="9" fillId="0" borderId="23" xfId="4" applyFont="1" applyFill="1" applyBorder="1" applyAlignment="1" applyProtection="1">
      <alignment horizontal="left" vertical="center"/>
      <protection locked="0"/>
    </xf>
    <xf numFmtId="0" fontId="9" fillId="0" borderId="7" xfId="4" applyFont="1" applyFill="1" applyBorder="1" applyAlignment="1" applyProtection="1">
      <alignment horizontal="left" vertical="top"/>
      <protection locked="0"/>
    </xf>
    <xf numFmtId="14" fontId="9" fillId="0" borderId="7" xfId="4" applyNumberFormat="1" applyFont="1" applyFill="1" applyBorder="1" applyAlignment="1" applyProtection="1">
      <alignment horizontal="center" vertical="top"/>
      <protection locked="0"/>
    </xf>
    <xf numFmtId="0" fontId="9" fillId="0" borderId="7" xfId="4" applyNumberFormat="1" applyFont="1" applyFill="1" applyBorder="1" applyAlignment="1" applyProtection="1">
      <alignment horizontal="left" vertical="top"/>
      <protection locked="0"/>
    </xf>
    <xf numFmtId="176" fontId="9" fillId="0" borderId="7" xfId="4" applyNumberFormat="1" applyFont="1" applyFill="1" applyBorder="1" applyAlignment="1" applyProtection="1">
      <alignment horizontal="center" vertical="top"/>
      <protection locked="0"/>
    </xf>
    <xf numFmtId="0" fontId="9" fillId="0" borderId="7" xfId="4" applyNumberFormat="1" applyFont="1" applyFill="1" applyBorder="1" applyAlignment="1" applyProtection="1">
      <alignment horizontal="center" vertical="top"/>
      <protection locked="0"/>
    </xf>
    <xf numFmtId="177" fontId="9" fillId="0" borderId="7" xfId="4" applyNumberFormat="1" applyFont="1" applyFill="1" applyBorder="1" applyAlignment="1" applyProtection="1">
      <alignment horizontal="center" vertical="top"/>
      <protection locked="0"/>
    </xf>
    <xf numFmtId="1" fontId="9" fillId="0" borderId="7" xfId="4" applyNumberFormat="1" applyFont="1" applyFill="1" applyBorder="1" applyAlignment="1" applyProtection="1">
      <alignment horizontal="center" vertical="top"/>
      <protection locked="0"/>
    </xf>
    <xf numFmtId="179" fontId="9" fillId="0" borderId="7" xfId="4" applyNumberFormat="1" applyFont="1" applyFill="1" applyBorder="1" applyAlignment="1" applyProtection="1">
      <alignment horizontal="center" vertical="top"/>
      <protection locked="0"/>
    </xf>
    <xf numFmtId="14" fontId="9" fillId="0" borderId="7" xfId="4" applyNumberFormat="1" applyFont="1" applyFill="1" applyBorder="1" applyAlignment="1" applyProtection="1">
      <alignment horizontal="left" vertical="top"/>
      <protection locked="0"/>
    </xf>
    <xf numFmtId="10" fontId="9" fillId="0" borderId="7" xfId="6" applyNumberFormat="1" applyFont="1" applyFill="1" applyBorder="1" applyAlignment="1" applyProtection="1">
      <alignment horizontal="right" vertical="top"/>
      <protection locked="0"/>
    </xf>
    <xf numFmtId="0" fontId="9" fillId="0" borderId="25" xfId="4" applyFont="1" applyFill="1" applyBorder="1" applyAlignment="1" applyProtection="1">
      <alignment vertical="top"/>
      <protection locked="0"/>
    </xf>
    <xf numFmtId="0" fontId="9" fillId="0" borderId="25" xfId="4" quotePrefix="1" applyFont="1" applyFill="1" applyBorder="1" applyAlignment="1" applyProtection="1">
      <alignment horizontal="right" vertical="top"/>
      <protection locked="0"/>
    </xf>
    <xf numFmtId="0" fontId="9" fillId="0" borderId="25" xfId="4" applyFont="1" applyFill="1" applyBorder="1" applyAlignment="1" applyProtection="1">
      <alignment horizontal="left" vertical="top"/>
      <protection locked="0"/>
    </xf>
    <xf numFmtId="14" fontId="9" fillId="0" borderId="25" xfId="4" applyNumberFormat="1" applyFont="1" applyFill="1" applyBorder="1" applyAlignment="1" applyProtection="1">
      <alignment horizontal="center" vertical="top"/>
      <protection locked="0"/>
    </xf>
    <xf numFmtId="0" fontId="9" fillId="0" borderId="25" xfId="4" applyNumberFormat="1" applyFont="1" applyFill="1" applyBorder="1" applyAlignment="1" applyProtection="1">
      <alignment horizontal="left" vertical="top"/>
      <protection locked="0"/>
    </xf>
    <xf numFmtId="176" fontId="9" fillId="0" borderId="25" xfId="4" applyNumberFormat="1" applyFont="1" applyFill="1" applyBorder="1" applyAlignment="1" applyProtection="1">
      <alignment horizontal="center" vertical="top"/>
      <protection locked="0"/>
    </xf>
    <xf numFmtId="0" fontId="9" fillId="0" borderId="25" xfId="4" applyNumberFormat="1" applyFont="1" applyFill="1" applyBorder="1" applyAlignment="1" applyProtection="1">
      <alignment horizontal="center" vertical="top"/>
      <protection locked="0"/>
    </xf>
    <xf numFmtId="177" fontId="9" fillId="0" borderId="25" xfId="4" applyNumberFormat="1" applyFont="1" applyFill="1" applyBorder="1" applyAlignment="1" applyProtection="1">
      <alignment horizontal="center" vertical="top"/>
      <protection locked="0"/>
    </xf>
    <xf numFmtId="1" fontId="9" fillId="0" borderId="25" xfId="4" applyNumberFormat="1" applyFont="1" applyFill="1" applyBorder="1" applyAlignment="1" applyProtection="1">
      <alignment horizontal="center" vertical="top"/>
      <protection locked="0"/>
    </xf>
    <xf numFmtId="179" fontId="9" fillId="0" borderId="25" xfId="4" applyNumberFormat="1" applyFont="1" applyFill="1" applyBorder="1" applyAlignment="1" applyProtection="1">
      <alignment horizontal="center" vertical="top"/>
      <protection locked="0"/>
    </xf>
    <xf numFmtId="14" fontId="9" fillId="0" borderId="25" xfId="4" applyNumberFormat="1" applyFont="1" applyFill="1" applyBorder="1" applyAlignment="1" applyProtection="1">
      <alignment horizontal="left" vertical="top"/>
      <protection locked="0"/>
    </xf>
    <xf numFmtId="10" fontId="9" fillId="0" borderId="25" xfId="6" applyNumberFormat="1" applyFont="1" applyFill="1" applyBorder="1" applyAlignment="1" applyProtection="1">
      <alignment horizontal="right" vertical="top" wrapText="1"/>
      <protection locked="0"/>
    </xf>
    <xf numFmtId="10" fontId="9" fillId="0" borderId="25" xfId="6" applyNumberFormat="1" applyFont="1" applyFill="1" applyBorder="1" applyAlignment="1" applyProtection="1">
      <alignment horizontal="right" vertical="top"/>
      <protection locked="0"/>
    </xf>
    <xf numFmtId="0" fontId="9" fillId="0" borderId="7" xfId="4" applyFont="1" applyFill="1" applyBorder="1" applyAlignment="1" applyProtection="1">
      <alignment horizontal="right" vertical="top"/>
      <protection locked="0"/>
    </xf>
    <xf numFmtId="14" fontId="13" fillId="0" borderId="15" xfId="4" applyNumberFormat="1" applyFont="1" applyBorder="1"/>
    <xf numFmtId="0" fontId="13" fillId="0" borderId="15" xfId="4" applyFont="1" applyBorder="1"/>
    <xf numFmtId="14" fontId="13" fillId="0" borderId="26" xfId="4" applyNumberFormat="1" applyFont="1" applyBorder="1"/>
    <xf numFmtId="0" fontId="13" fillId="0" borderId="26" xfId="4" applyFont="1" applyBorder="1"/>
    <xf numFmtId="0" fontId="13" fillId="0" borderId="0" xfId="4" applyFont="1" applyBorder="1"/>
    <xf numFmtId="0" fontId="9" fillId="0" borderId="28" xfId="4" applyFont="1" applyFill="1" applyBorder="1" applyAlignment="1" applyProtection="1">
      <alignment horizontal="left" vertical="top"/>
      <protection locked="0"/>
    </xf>
    <xf numFmtId="0" fontId="9" fillId="0" borderId="27" xfId="4" applyFont="1" applyFill="1" applyBorder="1" applyAlignment="1" applyProtection="1">
      <alignment vertical="top"/>
      <protection locked="0"/>
    </xf>
    <xf numFmtId="0" fontId="9" fillId="0" borderId="29" xfId="4" applyFont="1" applyFill="1" applyBorder="1" applyAlignment="1" applyProtection="1">
      <alignment vertical="top"/>
      <protection locked="0"/>
    </xf>
    <xf numFmtId="0" fontId="9" fillId="0" borderId="30" xfId="4" applyFont="1" applyFill="1" applyBorder="1" applyAlignment="1" applyProtection="1">
      <alignment horizontal="left" vertical="top"/>
      <protection locked="0"/>
    </xf>
    <xf numFmtId="0" fontId="9" fillId="0" borderId="0" xfId="4" quotePrefix="1" applyFont="1" applyFill="1" applyBorder="1" applyAlignment="1" applyProtection="1">
      <alignment horizontal="right" vertical="top"/>
      <protection locked="0"/>
    </xf>
    <xf numFmtId="0" fontId="38" fillId="11" borderId="0" xfId="1" applyFont="1" applyFill="1" applyBorder="1" applyAlignment="1">
      <alignment horizontal="left" vertical="center"/>
    </xf>
    <xf numFmtId="0" fontId="9" fillId="0" borderId="7" xfId="4" applyFont="1" applyFill="1" applyBorder="1" applyAlignment="1" applyProtection="1">
      <alignment horizontal="left" vertical="center"/>
      <protection locked="0"/>
    </xf>
    <xf numFmtId="0" fontId="9" fillId="0" borderId="7" xfId="4" quotePrefix="1" applyFont="1" applyFill="1" applyBorder="1" applyAlignment="1" applyProtection="1">
      <alignment horizontal="right" vertical="center"/>
      <protection locked="0"/>
    </xf>
    <xf numFmtId="0" fontId="13" fillId="7" borderId="2" xfId="4" applyFont="1" applyFill="1" applyBorder="1" applyAlignment="1">
      <alignment horizontal="left" wrapText="1"/>
    </xf>
    <xf numFmtId="0" fontId="13" fillId="7" borderId="3" xfId="4" applyFont="1" applyFill="1" applyBorder="1" applyAlignment="1">
      <alignment horizontal="left" wrapText="1"/>
    </xf>
    <xf numFmtId="0" fontId="9" fillId="0" borderId="7" xfId="4" applyFont="1" applyBorder="1" applyAlignment="1">
      <alignment horizontal="left" vertical="center"/>
    </xf>
    <xf numFmtId="0" fontId="40" fillId="11" borderId="0" xfId="1" applyFont="1" applyFill="1" applyBorder="1" applyAlignment="1">
      <alignment horizontal="left" vertical="top"/>
    </xf>
    <xf numFmtId="0" fontId="40" fillId="11" borderId="0" xfId="1" applyFont="1" applyFill="1" applyBorder="1" applyAlignment="1">
      <alignment horizontal="left" vertical="center"/>
    </xf>
    <xf numFmtId="0" fontId="40" fillId="11" borderId="0" xfId="1" applyFont="1" applyFill="1" applyBorder="1" applyAlignment="1">
      <alignment vertical="center"/>
    </xf>
    <xf numFmtId="14" fontId="40" fillId="11" borderId="0" xfId="1" applyNumberFormat="1" applyFont="1" applyFill="1" applyBorder="1" applyAlignment="1">
      <alignment vertical="top"/>
    </xf>
    <xf numFmtId="14" fontId="7" fillId="11" borderId="0" xfId="1" applyNumberFormat="1" applyFont="1" applyFill="1" applyBorder="1" applyAlignment="1">
      <alignment horizontal="left" vertical="top" wrapText="1"/>
    </xf>
    <xf numFmtId="0" fontId="40" fillId="11" borderId="0" xfId="1" applyFont="1" applyFill="1" applyBorder="1" applyAlignment="1">
      <alignment horizontal="center" vertical="top"/>
    </xf>
    <xf numFmtId="0" fontId="40" fillId="11" borderId="0" xfId="1" applyNumberFormat="1" applyFont="1" applyFill="1" applyBorder="1" applyAlignment="1">
      <alignment horizontal="center" vertical="top"/>
    </xf>
    <xf numFmtId="14" fontId="40" fillId="11" borderId="0" xfId="1" applyNumberFormat="1" applyFont="1" applyFill="1" applyBorder="1" applyAlignment="1">
      <alignment horizontal="center" vertical="top"/>
    </xf>
    <xf numFmtId="1" fontId="40" fillId="11" borderId="0" xfId="1" applyNumberFormat="1" applyFont="1" applyFill="1" applyBorder="1" applyAlignment="1">
      <alignment horizontal="center" vertical="top"/>
    </xf>
    <xf numFmtId="0" fontId="40" fillId="11" borderId="0" xfId="2" applyFont="1" applyFill="1" applyBorder="1" applyAlignment="1">
      <alignment vertical="top" wrapText="1"/>
    </xf>
    <xf numFmtId="0" fontId="40" fillId="11" borderId="0" xfId="2" applyNumberFormat="1" applyFont="1" applyFill="1" applyBorder="1" applyAlignment="1">
      <alignment vertical="top"/>
    </xf>
    <xf numFmtId="0" fontId="40" fillId="11" borderId="0" xfId="2" applyFont="1" applyFill="1" applyBorder="1" applyAlignment="1">
      <alignment vertical="top"/>
    </xf>
    <xf numFmtId="0" fontId="40" fillId="11" borderId="0" xfId="2" applyFont="1" applyFill="1" applyBorder="1" applyAlignment="1">
      <alignment horizontal="right" vertical="top"/>
    </xf>
    <xf numFmtId="0" fontId="40" fillId="11" borderId="0" xfId="2" applyFont="1" applyFill="1" applyBorder="1" applyAlignment="1">
      <alignment horizontal="right" vertical="center"/>
    </xf>
    <xf numFmtId="0" fontId="27" fillId="11" borderId="0" xfId="1" applyFont="1" applyFill="1" applyBorder="1" applyAlignment="1">
      <alignment horizontal="left" vertical="top"/>
    </xf>
    <xf numFmtId="0" fontId="29" fillId="0" borderId="7" xfId="0" quotePrefix="1" applyFont="1" applyBorder="1" applyAlignment="1">
      <alignment horizontal="right" vertical="center"/>
    </xf>
    <xf numFmtId="0" fontId="29" fillId="0" borderId="7" xfId="0" applyFont="1" applyBorder="1" applyAlignment="1">
      <alignment horizontal="right" vertical="center"/>
    </xf>
    <xf numFmtId="0" fontId="29" fillId="0" borderId="7" xfId="0" applyFont="1" applyBorder="1" applyAlignment="1">
      <alignment horizontal="left" vertical="center"/>
    </xf>
    <xf numFmtId="0" fontId="29" fillId="0" borderId="7" xfId="0" applyFont="1" applyFill="1" applyBorder="1" applyAlignment="1">
      <alignment horizontal="left" vertical="center"/>
    </xf>
    <xf numFmtId="0" fontId="29" fillId="0" borderId="25" xfId="0" applyFont="1" applyBorder="1" applyAlignment="1">
      <alignment horizontal="right" vertical="center"/>
    </xf>
    <xf numFmtId="0" fontId="39" fillId="0" borderId="7" xfId="4" applyNumberFormat="1" applyFont="1" applyFill="1" applyBorder="1" applyAlignment="1" applyProtection="1">
      <alignment horizontal="left" vertical="top"/>
      <protection locked="0"/>
    </xf>
    <xf numFmtId="10" fontId="13" fillId="0" borderId="15" xfId="6" applyNumberFormat="1" applyFont="1" applyBorder="1" applyAlignment="1"/>
    <xf numFmtId="10" fontId="13" fillId="0" borderId="26" xfId="6" applyNumberFormat="1" applyFont="1" applyBorder="1" applyAlignment="1"/>
    <xf numFmtId="0" fontId="39" fillId="0" borderId="7" xfId="4" applyFont="1" applyFill="1" applyBorder="1" applyAlignment="1" applyProtection="1">
      <alignment horizontal="left" vertical="top"/>
      <protection locked="0"/>
    </xf>
    <xf numFmtId="176" fontId="8" fillId="5" borderId="2" xfId="4" applyNumberFormat="1" applyFont="1" applyFill="1" applyBorder="1" applyAlignment="1" applyProtection="1">
      <alignment horizontal="center" vertical="center" wrapText="1"/>
    </xf>
    <xf numFmtId="14" fontId="8" fillId="10" borderId="2" xfId="4" applyNumberFormat="1" applyFont="1" applyFill="1" applyBorder="1" applyAlignment="1" applyProtection="1">
      <alignment horizontal="center" vertical="center"/>
    </xf>
    <xf numFmtId="10" fontId="8" fillId="10" borderId="3" xfId="3" applyNumberFormat="1" applyFont="1" applyFill="1" applyBorder="1" applyAlignment="1" applyProtection="1">
      <alignment horizontal="center" vertical="center" wrapText="1"/>
    </xf>
    <xf numFmtId="14" fontId="8" fillId="10" borderId="2" xfId="4" applyNumberFormat="1" applyFont="1" applyFill="1" applyBorder="1" applyAlignment="1" applyProtection="1">
      <alignment horizontal="center" vertical="center" wrapText="1"/>
    </xf>
    <xf numFmtId="177" fontId="8" fillId="5" borderId="2" xfId="4" applyNumberFormat="1" applyFont="1" applyFill="1" applyBorder="1" applyAlignment="1" applyProtection="1">
      <alignment horizontal="center" vertical="center" wrapText="1"/>
    </xf>
    <xf numFmtId="1" fontId="8" fillId="5" borderId="2" xfId="4" applyNumberFormat="1" applyFont="1" applyFill="1" applyBorder="1" applyAlignment="1" applyProtection="1">
      <alignment horizontal="center" vertical="center" wrapText="1"/>
    </xf>
    <xf numFmtId="176" fontId="8" fillId="10" borderId="2" xfId="4" applyNumberFormat="1" applyFont="1" applyFill="1" applyBorder="1" applyAlignment="1" applyProtection="1">
      <alignment horizontal="center" vertical="center"/>
    </xf>
    <xf numFmtId="10" fontId="8" fillId="5" borderId="2" xfId="3" applyNumberFormat="1" applyFont="1" applyFill="1" applyBorder="1" applyAlignment="1" applyProtection="1">
      <alignment horizontal="center" vertical="center" wrapText="1"/>
    </xf>
    <xf numFmtId="178" fontId="8" fillId="5" borderId="4" xfId="1" applyNumberFormat="1" applyFont="1" applyFill="1" applyBorder="1" applyAlignment="1">
      <alignment horizontal="left" vertical="center"/>
    </xf>
    <xf numFmtId="178" fontId="8" fillId="5" borderId="5" xfId="1" applyNumberFormat="1" applyFont="1" applyFill="1" applyBorder="1" applyAlignment="1">
      <alignment horizontal="left" vertical="center"/>
    </xf>
    <xf numFmtId="0" fontId="4" fillId="11" borderId="0" xfId="2" applyFont="1" applyFill="1" applyBorder="1" applyAlignment="1">
      <alignment horizontal="left" vertical="center"/>
    </xf>
    <xf numFmtId="178" fontId="8" fillId="5" borderId="6" xfId="1" applyNumberFormat="1" applyFont="1" applyFill="1" applyBorder="1" applyAlignment="1">
      <alignment horizontal="left" vertical="center"/>
    </xf>
    <xf numFmtId="0" fontId="8" fillId="10" borderId="1" xfId="4" applyFont="1" applyFill="1" applyBorder="1" applyAlignment="1" applyProtection="1">
      <alignment horizontal="center" vertical="center" wrapText="1"/>
    </xf>
    <xf numFmtId="0" fontId="8" fillId="10" borderId="0" xfId="4" applyFont="1" applyFill="1" applyBorder="1" applyAlignment="1" applyProtection="1">
      <alignment horizontal="center" vertical="center" wrapText="1"/>
    </xf>
    <xf numFmtId="0" fontId="8" fillId="10" borderId="2" xfId="4" applyFont="1" applyFill="1" applyBorder="1" applyAlignment="1" applyProtection="1">
      <alignment horizontal="center" vertical="center"/>
    </xf>
    <xf numFmtId="0" fontId="8" fillId="10" borderId="24" xfId="4" applyFont="1" applyFill="1" applyBorder="1" applyAlignment="1" applyProtection="1">
      <alignment horizontal="center" vertical="center"/>
    </xf>
    <xf numFmtId="0" fontId="8" fillId="10" borderId="2" xfId="4" applyFont="1" applyFill="1" applyBorder="1" applyAlignment="1" applyProtection="1">
      <alignment horizontal="center" vertical="center" wrapText="1"/>
    </xf>
    <xf numFmtId="0" fontId="8" fillId="5" borderId="2" xfId="4" applyFont="1" applyFill="1" applyBorder="1" applyAlignment="1" applyProtection="1">
      <alignment horizontal="center" vertical="center"/>
    </xf>
    <xf numFmtId="0" fontId="8" fillId="10" borderId="3" xfId="4" applyFont="1" applyFill="1" applyBorder="1" applyAlignment="1" applyProtection="1">
      <alignment horizontal="center" vertical="center"/>
    </xf>
    <xf numFmtId="0" fontId="8" fillId="10" borderId="0" xfId="4" applyFont="1" applyFill="1" applyBorder="1" applyAlignment="1" applyProtection="1">
      <alignment horizontal="center" vertical="center"/>
    </xf>
    <xf numFmtId="0" fontId="8" fillId="10" borderId="1" xfId="4" applyFont="1" applyFill="1" applyBorder="1" applyAlignment="1" applyProtection="1">
      <alignment horizontal="center" vertical="center"/>
    </xf>
    <xf numFmtId="14" fontId="26" fillId="11" borderId="0" xfId="3" applyNumberFormat="1" applyFont="1" applyFill="1" applyBorder="1" applyAlignment="1">
      <alignment horizontal="center" vertical="center" wrapText="1"/>
    </xf>
    <xf numFmtId="0" fontId="8" fillId="10" borderId="2" xfId="4" applyNumberFormat="1" applyFont="1" applyFill="1" applyBorder="1" applyAlignment="1" applyProtection="1">
      <alignment horizontal="center" vertical="center"/>
    </xf>
    <xf numFmtId="0" fontId="14" fillId="0" borderId="0" xfId="4" applyFont="1" applyFill="1" applyBorder="1" applyAlignment="1" applyProtection="1">
      <alignment horizontal="left" vertical="center" wrapText="1"/>
      <protection locked="0"/>
    </xf>
    <xf numFmtId="0" fontId="14" fillId="0" borderId="0" xfId="4" applyFont="1" applyFill="1" applyBorder="1" applyAlignment="1" applyProtection="1">
      <alignment horizontal="left" vertical="center"/>
      <protection locked="0"/>
    </xf>
    <xf numFmtId="0" fontId="11" fillId="0" borderId="0" xfId="1" applyFont="1" applyFill="1" applyBorder="1" applyAlignment="1">
      <alignment horizontal="left" vertical="center"/>
    </xf>
    <xf numFmtId="0" fontId="7" fillId="0" borderId="0" xfId="1" applyFont="1" applyFill="1" applyBorder="1" applyAlignment="1">
      <alignment horizontal="left" vertical="center"/>
    </xf>
    <xf numFmtId="14" fontId="15" fillId="3" borderId="0" xfId="4" applyNumberFormat="1" applyFont="1" applyFill="1" applyBorder="1" applyAlignment="1" applyProtection="1">
      <alignment horizontal="right" vertical="center"/>
    </xf>
    <xf numFmtId="14" fontId="13" fillId="3" borderId="0" xfId="4" applyNumberFormat="1" applyFont="1" applyFill="1" applyBorder="1" applyAlignment="1" applyProtection="1">
      <alignment horizontal="left" vertical="top" wrapText="1"/>
    </xf>
    <xf numFmtId="14" fontId="18" fillId="8" borderId="19" xfId="4" applyNumberFormat="1" applyFont="1" applyFill="1" applyBorder="1" applyAlignment="1" applyProtection="1">
      <alignment horizontal="center" vertical="center"/>
      <protection locked="0"/>
    </xf>
    <xf numFmtId="0" fontId="0" fillId="0" borderId="0" xfId="0" applyAlignment="1">
      <alignment horizontal="center" vertical="center"/>
    </xf>
    <xf numFmtId="0" fontId="30" fillId="0" borderId="7" xfId="0" quotePrefix="1" applyFont="1" applyBorder="1" applyAlignment="1">
      <alignment horizontal="right" vertical="center"/>
    </xf>
    <xf numFmtId="0" fontId="41" fillId="0" borderId="7" xfId="0" applyFont="1" applyBorder="1" applyAlignment="1">
      <alignment horizontal="left" vertical="center"/>
    </xf>
    <xf numFmtId="0" fontId="38" fillId="0" borderId="7" xfId="4" applyFont="1" applyFill="1" applyBorder="1" applyAlignment="1" applyProtection="1">
      <alignment horizontal="left" vertical="top"/>
      <protection locked="0"/>
    </xf>
    <xf numFmtId="0" fontId="39" fillId="0" borderId="7" xfId="4" applyFont="1" applyBorder="1" applyAlignment="1">
      <alignment horizontal="left" vertical="center"/>
    </xf>
    <xf numFmtId="14" fontId="9" fillId="0" borderId="7" xfId="4" applyNumberFormat="1" applyFont="1" applyFill="1" applyBorder="1" applyAlignment="1" applyProtection="1">
      <alignment horizontal="left" vertical="center"/>
      <protection locked="0"/>
    </xf>
  </cellXfs>
  <cellStyles count="7">
    <cellStyle name="강조색5 2" xfId="1"/>
    <cellStyle name="백분율" xfId="6" builtinId="5"/>
    <cellStyle name="백분율 2" xfId="3"/>
    <cellStyle name="표준" xfId="0" builtinId="0"/>
    <cellStyle name="표준 2" xfId="4"/>
    <cellStyle name="표준 2 2" xfId="5"/>
    <cellStyle name="하이퍼링크" xfId="2" builtinId="8"/>
  </cellStyles>
  <dxfs count="9">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8"/>
      <tableStyleElement type="headerRow" dxfId="7"/>
    </tableStyle>
  </tableStyles>
  <colors>
    <mruColors>
      <color rgb="FFFF8800"/>
      <color rgb="FFFF6600"/>
      <color rgb="FFFF9933"/>
      <color rgb="FFFF3300"/>
      <color rgb="FFE2ECFF"/>
      <color rgb="FF3399FF"/>
      <color rgb="FFF2F2FF"/>
      <color rgb="FFF3FFF9"/>
      <color rgb="FFE5FFF2"/>
      <color rgb="FFD9FF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lineChart>
        <c:grouping val="standard"/>
        <c:varyColors val="0"/>
        <c:ser>
          <c:idx val="0"/>
          <c:order val="0"/>
          <c:tx>
            <c:strRef>
              <c:f>AnalysisReport!$F$6</c:f>
              <c:strCache>
                <c:ptCount val="1"/>
                <c:pt idx="0">
                  <c:v>진척율</c:v>
                </c:pt>
              </c:strCache>
            </c:strRef>
          </c:tx>
          <c:cat>
            <c:numRef>
              <c:f>AnalysisReport!$C$7:$C$14</c:f>
              <c:numCache>
                <c:formatCode>m/d/yyyy</c:formatCode>
                <c:ptCount val="8"/>
                <c:pt idx="0">
                  <c:v>43631</c:v>
                </c:pt>
                <c:pt idx="1">
                  <c:v>43638</c:v>
                </c:pt>
                <c:pt idx="2">
                  <c:v>43645</c:v>
                </c:pt>
                <c:pt idx="3">
                  <c:v>43652</c:v>
                </c:pt>
                <c:pt idx="4">
                  <c:v>43659</c:v>
                </c:pt>
                <c:pt idx="5">
                  <c:v>43666</c:v>
                </c:pt>
                <c:pt idx="6">
                  <c:v>43673</c:v>
                </c:pt>
                <c:pt idx="7">
                  <c:v>43680</c:v>
                </c:pt>
              </c:numCache>
            </c:numRef>
          </c:cat>
          <c:val>
            <c:numRef>
              <c:f>AnalysisReport!$F$7:$F$14</c:f>
              <c:numCache>
                <c:formatCode>0.00%</c:formatCode>
                <c:ptCount val="8"/>
                <c:pt idx="0">
                  <c:v>9.2485549132947972E-2</c:v>
                </c:pt>
                <c:pt idx="1">
                  <c:v>0.2947976878612717</c:v>
                </c:pt>
                <c:pt idx="2">
                  <c:v>0.46820809248554912</c:v>
                </c:pt>
                <c:pt idx="3">
                  <c:v>0.68208092485549132</c:v>
                </c:pt>
                <c:pt idx="4">
                  <c:v>0.79190751445086704</c:v>
                </c:pt>
                <c:pt idx="5">
                  <c:v>0.91329479768786126</c:v>
                </c:pt>
                <c:pt idx="6">
                  <c:v>1</c:v>
                </c:pt>
                <c:pt idx="7">
                  <c:v>1</c:v>
                </c:pt>
              </c:numCache>
            </c:numRef>
          </c:val>
          <c:smooth val="0"/>
        </c:ser>
        <c:dLbls>
          <c:showLegendKey val="0"/>
          <c:showVal val="0"/>
          <c:showCatName val="0"/>
          <c:showSerName val="0"/>
          <c:showPercent val="0"/>
          <c:showBubbleSize val="0"/>
        </c:dLbls>
        <c:marker val="1"/>
        <c:smooth val="0"/>
        <c:axId val="541310776"/>
        <c:axId val="541309992"/>
      </c:lineChart>
      <c:dateAx>
        <c:axId val="541310776"/>
        <c:scaling>
          <c:orientation val="minMax"/>
        </c:scaling>
        <c:delete val="0"/>
        <c:axPos val="b"/>
        <c:numFmt formatCode="m/d/yyyy" sourceLinked="1"/>
        <c:majorTickMark val="out"/>
        <c:minorTickMark val="none"/>
        <c:tickLblPos val="nextTo"/>
        <c:txPr>
          <a:bodyPr rot="-2700000" vert="horz"/>
          <a:lstStyle/>
          <a:p>
            <a:pPr>
              <a:defRPr/>
            </a:pPr>
            <a:endParaRPr lang="ko-KR"/>
          </a:p>
        </c:txPr>
        <c:crossAx val="541309992"/>
        <c:crosses val="autoZero"/>
        <c:auto val="1"/>
        <c:lblOffset val="100"/>
        <c:baseTimeUnit val="days"/>
      </c:dateAx>
      <c:valAx>
        <c:axId val="541309992"/>
        <c:scaling>
          <c:orientation val="minMax"/>
        </c:scaling>
        <c:delete val="0"/>
        <c:axPos val="l"/>
        <c:majorGridlines/>
        <c:numFmt formatCode="0.00%" sourceLinked="1"/>
        <c:majorTickMark val="out"/>
        <c:minorTickMark val="none"/>
        <c:tickLblPos val="nextTo"/>
        <c:crossAx val="541310776"/>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34</xdr:col>
      <xdr:colOff>20410</xdr:colOff>
      <xdr:row>3</xdr:row>
      <xdr:rowOff>55880</xdr:rowOff>
    </xdr:from>
    <xdr:to>
      <xdr:col>34</xdr:col>
      <xdr:colOff>20410</xdr:colOff>
      <xdr:row>119</xdr:row>
      <xdr:rowOff>0</xdr:rowOff>
    </xdr:to>
    <xdr:cxnSp macro="">
      <xdr:nvCxnSpPr>
        <xdr:cNvPr id="30796" name="직선 화살표 연결선 30795"/>
        <xdr:cNvCxnSpPr/>
      </xdr:nvCxnSpPr>
      <xdr:spPr>
        <a:xfrm>
          <a:off x="9440635" y="741680"/>
          <a:ext cx="0" cy="17527270"/>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20410</xdr:colOff>
      <xdr:row>111</xdr:row>
      <xdr:rowOff>19050</xdr:rowOff>
    </xdr:from>
    <xdr:to>
      <xdr:col>35</xdr:col>
      <xdr:colOff>20410</xdr:colOff>
      <xdr:row>111</xdr:row>
      <xdr:rowOff>133350</xdr:rowOff>
    </xdr:to>
    <xdr:sp macro="" textlink="">
      <xdr:nvSpPr>
        <xdr:cNvPr id="30797" name="직사각형 30796"/>
        <xdr:cNvSpPr/>
      </xdr:nvSpPr>
      <xdr:spPr>
        <a:xfrm>
          <a:off x="8583385" y="17068800"/>
          <a:ext cx="100012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20410</xdr:colOff>
      <xdr:row>111</xdr:row>
      <xdr:rowOff>76200</xdr:rowOff>
    </xdr:from>
    <xdr:to>
      <xdr:col>28</xdr:col>
      <xdr:colOff>20410</xdr:colOff>
      <xdr:row>111</xdr:row>
      <xdr:rowOff>76200</xdr:rowOff>
    </xdr:to>
    <xdr:cxnSp macro="">
      <xdr:nvCxnSpPr>
        <xdr:cNvPr id="30798" name="직선 화살표 연결선 30797"/>
        <xdr:cNvCxnSpPr/>
      </xdr:nvCxnSpPr>
      <xdr:spPr>
        <a:xfrm>
          <a:off x="8583385" y="17125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20410</xdr:colOff>
      <xdr:row>110</xdr:row>
      <xdr:rowOff>19050</xdr:rowOff>
    </xdr:from>
    <xdr:to>
      <xdr:col>35</xdr:col>
      <xdr:colOff>20410</xdr:colOff>
      <xdr:row>110</xdr:row>
      <xdr:rowOff>133350</xdr:rowOff>
    </xdr:to>
    <xdr:sp macro="" textlink="">
      <xdr:nvSpPr>
        <xdr:cNvPr id="30799" name="직사각형 30798"/>
        <xdr:cNvSpPr/>
      </xdr:nvSpPr>
      <xdr:spPr>
        <a:xfrm>
          <a:off x="8583385" y="16916400"/>
          <a:ext cx="100012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20410</xdr:colOff>
      <xdr:row>110</xdr:row>
      <xdr:rowOff>76200</xdr:rowOff>
    </xdr:from>
    <xdr:to>
      <xdr:col>28</xdr:col>
      <xdr:colOff>20410</xdr:colOff>
      <xdr:row>110</xdr:row>
      <xdr:rowOff>76200</xdr:rowOff>
    </xdr:to>
    <xdr:cxnSp macro="">
      <xdr:nvCxnSpPr>
        <xdr:cNvPr id="30800" name="직선 화살표 연결선 30799"/>
        <xdr:cNvCxnSpPr/>
      </xdr:nvCxnSpPr>
      <xdr:spPr>
        <a:xfrm>
          <a:off x="8583385" y="16973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20410</xdr:colOff>
      <xdr:row>109</xdr:row>
      <xdr:rowOff>19050</xdr:rowOff>
    </xdr:from>
    <xdr:to>
      <xdr:col>35</xdr:col>
      <xdr:colOff>20410</xdr:colOff>
      <xdr:row>109</xdr:row>
      <xdr:rowOff>133350</xdr:rowOff>
    </xdr:to>
    <xdr:sp macro="" textlink="">
      <xdr:nvSpPr>
        <xdr:cNvPr id="30801" name="직사각형 30800"/>
        <xdr:cNvSpPr/>
      </xdr:nvSpPr>
      <xdr:spPr>
        <a:xfrm>
          <a:off x="8583385" y="16764000"/>
          <a:ext cx="100012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20410</xdr:colOff>
      <xdr:row>109</xdr:row>
      <xdr:rowOff>76200</xdr:rowOff>
    </xdr:from>
    <xdr:to>
      <xdr:col>28</xdr:col>
      <xdr:colOff>20410</xdr:colOff>
      <xdr:row>109</xdr:row>
      <xdr:rowOff>76200</xdr:rowOff>
    </xdr:to>
    <xdr:cxnSp macro="">
      <xdr:nvCxnSpPr>
        <xdr:cNvPr id="30802" name="직선 화살표 연결선 30801"/>
        <xdr:cNvCxnSpPr/>
      </xdr:nvCxnSpPr>
      <xdr:spPr>
        <a:xfrm>
          <a:off x="8583385" y="16821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20410</xdr:colOff>
      <xdr:row>106</xdr:row>
      <xdr:rowOff>19050</xdr:rowOff>
    </xdr:from>
    <xdr:to>
      <xdr:col>35</xdr:col>
      <xdr:colOff>20410</xdr:colOff>
      <xdr:row>106</xdr:row>
      <xdr:rowOff>133350</xdr:rowOff>
    </xdr:to>
    <xdr:sp macro="" textlink="">
      <xdr:nvSpPr>
        <xdr:cNvPr id="30803" name="직사각형 30802"/>
        <xdr:cNvSpPr/>
      </xdr:nvSpPr>
      <xdr:spPr>
        <a:xfrm>
          <a:off x="8583385" y="16306800"/>
          <a:ext cx="100012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20410</xdr:colOff>
      <xdr:row>106</xdr:row>
      <xdr:rowOff>76200</xdr:rowOff>
    </xdr:from>
    <xdr:to>
      <xdr:col>28</xdr:col>
      <xdr:colOff>20410</xdr:colOff>
      <xdr:row>106</xdr:row>
      <xdr:rowOff>76200</xdr:rowOff>
    </xdr:to>
    <xdr:cxnSp macro="">
      <xdr:nvCxnSpPr>
        <xdr:cNvPr id="30804" name="직선 화살표 연결선 30803"/>
        <xdr:cNvCxnSpPr/>
      </xdr:nvCxnSpPr>
      <xdr:spPr>
        <a:xfrm>
          <a:off x="8583385" y="16363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20410</xdr:colOff>
      <xdr:row>105</xdr:row>
      <xdr:rowOff>19050</xdr:rowOff>
    </xdr:from>
    <xdr:to>
      <xdr:col>35</xdr:col>
      <xdr:colOff>20410</xdr:colOff>
      <xdr:row>105</xdr:row>
      <xdr:rowOff>133350</xdr:rowOff>
    </xdr:to>
    <xdr:sp macro="" textlink="">
      <xdr:nvSpPr>
        <xdr:cNvPr id="30805" name="직사각형 30804"/>
        <xdr:cNvSpPr/>
      </xdr:nvSpPr>
      <xdr:spPr>
        <a:xfrm>
          <a:off x="8583385" y="16154400"/>
          <a:ext cx="100012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20410</xdr:colOff>
      <xdr:row>105</xdr:row>
      <xdr:rowOff>76200</xdr:rowOff>
    </xdr:from>
    <xdr:to>
      <xdr:col>28</xdr:col>
      <xdr:colOff>20410</xdr:colOff>
      <xdr:row>105</xdr:row>
      <xdr:rowOff>76200</xdr:rowOff>
    </xdr:to>
    <xdr:cxnSp macro="">
      <xdr:nvCxnSpPr>
        <xdr:cNvPr id="30806" name="직선 화살표 연결선 30805"/>
        <xdr:cNvCxnSpPr/>
      </xdr:nvCxnSpPr>
      <xdr:spPr>
        <a:xfrm>
          <a:off x="8583385" y="16211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20410</xdr:colOff>
      <xdr:row>65</xdr:row>
      <xdr:rowOff>19050</xdr:rowOff>
    </xdr:from>
    <xdr:to>
      <xdr:col>32</xdr:col>
      <xdr:colOff>40822</xdr:colOff>
      <xdr:row>65</xdr:row>
      <xdr:rowOff>133350</xdr:rowOff>
    </xdr:to>
    <xdr:sp macro="" textlink="">
      <xdr:nvSpPr>
        <xdr:cNvPr id="30807" name="직사각형 30806"/>
        <xdr:cNvSpPr/>
      </xdr:nvSpPr>
      <xdr:spPr>
        <a:xfrm>
          <a:off x="9154885" y="10058400"/>
          <a:ext cx="204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20410</xdr:colOff>
      <xdr:row>65</xdr:row>
      <xdr:rowOff>76200</xdr:rowOff>
    </xdr:from>
    <xdr:to>
      <xdr:col>32</xdr:col>
      <xdr:colOff>40822</xdr:colOff>
      <xdr:row>65</xdr:row>
      <xdr:rowOff>76200</xdr:rowOff>
    </xdr:to>
    <xdr:cxnSp macro="">
      <xdr:nvCxnSpPr>
        <xdr:cNvPr id="30808" name="직선 화살표 연결선 30807"/>
        <xdr:cNvCxnSpPr/>
      </xdr:nvCxnSpPr>
      <xdr:spPr>
        <a:xfrm>
          <a:off x="9154885" y="10115550"/>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40822</xdr:colOff>
      <xdr:row>64</xdr:row>
      <xdr:rowOff>19050</xdr:rowOff>
    </xdr:from>
    <xdr:to>
      <xdr:col>32</xdr:col>
      <xdr:colOff>81643</xdr:colOff>
      <xdr:row>64</xdr:row>
      <xdr:rowOff>133350</xdr:rowOff>
    </xdr:to>
    <xdr:sp macro="" textlink="">
      <xdr:nvSpPr>
        <xdr:cNvPr id="30809" name="직사각형 30808"/>
        <xdr:cNvSpPr/>
      </xdr:nvSpPr>
      <xdr:spPr>
        <a:xfrm>
          <a:off x="9175297" y="9906000"/>
          <a:ext cx="4082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40822</xdr:colOff>
      <xdr:row>64</xdr:row>
      <xdr:rowOff>76200</xdr:rowOff>
    </xdr:from>
    <xdr:to>
      <xdr:col>32</xdr:col>
      <xdr:colOff>40822</xdr:colOff>
      <xdr:row>64</xdr:row>
      <xdr:rowOff>76200</xdr:rowOff>
    </xdr:to>
    <xdr:cxnSp macro="">
      <xdr:nvCxnSpPr>
        <xdr:cNvPr id="30810" name="직선 화살표 연결선 30809"/>
        <xdr:cNvCxnSpPr/>
      </xdr:nvCxnSpPr>
      <xdr:spPr>
        <a:xfrm>
          <a:off x="9175297" y="9963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20410</xdr:colOff>
      <xdr:row>59</xdr:row>
      <xdr:rowOff>19050</xdr:rowOff>
    </xdr:from>
    <xdr:to>
      <xdr:col>32</xdr:col>
      <xdr:colOff>81643</xdr:colOff>
      <xdr:row>59</xdr:row>
      <xdr:rowOff>133350</xdr:rowOff>
    </xdr:to>
    <xdr:sp macro="" textlink="">
      <xdr:nvSpPr>
        <xdr:cNvPr id="30811" name="직사각형 30810"/>
        <xdr:cNvSpPr/>
      </xdr:nvSpPr>
      <xdr:spPr>
        <a:xfrm>
          <a:off x="9154885" y="9144000"/>
          <a:ext cx="6123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20410</xdr:colOff>
      <xdr:row>59</xdr:row>
      <xdr:rowOff>76200</xdr:rowOff>
    </xdr:from>
    <xdr:to>
      <xdr:col>32</xdr:col>
      <xdr:colOff>40822</xdr:colOff>
      <xdr:row>59</xdr:row>
      <xdr:rowOff>76200</xdr:rowOff>
    </xdr:to>
    <xdr:cxnSp macro="">
      <xdr:nvCxnSpPr>
        <xdr:cNvPr id="30812" name="직선 화살표 연결선 30811"/>
        <xdr:cNvCxnSpPr/>
      </xdr:nvCxnSpPr>
      <xdr:spPr>
        <a:xfrm>
          <a:off x="9154885" y="9201150"/>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20410</xdr:colOff>
      <xdr:row>54</xdr:row>
      <xdr:rowOff>19050</xdr:rowOff>
    </xdr:from>
    <xdr:to>
      <xdr:col>32</xdr:col>
      <xdr:colOff>81643</xdr:colOff>
      <xdr:row>54</xdr:row>
      <xdr:rowOff>133350</xdr:rowOff>
    </xdr:to>
    <xdr:sp macro="" textlink="">
      <xdr:nvSpPr>
        <xdr:cNvPr id="30813" name="직사각형 30812"/>
        <xdr:cNvSpPr/>
      </xdr:nvSpPr>
      <xdr:spPr>
        <a:xfrm>
          <a:off x="9154885" y="8382000"/>
          <a:ext cx="6123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20410</xdr:colOff>
      <xdr:row>54</xdr:row>
      <xdr:rowOff>76200</xdr:rowOff>
    </xdr:from>
    <xdr:to>
      <xdr:col>32</xdr:col>
      <xdr:colOff>40822</xdr:colOff>
      <xdr:row>54</xdr:row>
      <xdr:rowOff>76200</xdr:rowOff>
    </xdr:to>
    <xdr:cxnSp macro="">
      <xdr:nvCxnSpPr>
        <xdr:cNvPr id="30814" name="직선 화살표 연결선 30813"/>
        <xdr:cNvCxnSpPr/>
      </xdr:nvCxnSpPr>
      <xdr:spPr>
        <a:xfrm>
          <a:off x="9154885" y="8439150"/>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53</xdr:row>
      <xdr:rowOff>19050</xdr:rowOff>
    </xdr:from>
    <xdr:to>
      <xdr:col>31</xdr:col>
      <xdr:colOff>122465</xdr:colOff>
      <xdr:row>53</xdr:row>
      <xdr:rowOff>133350</xdr:rowOff>
    </xdr:to>
    <xdr:sp macro="" textlink="">
      <xdr:nvSpPr>
        <xdr:cNvPr id="30815" name="직사각형 30814"/>
        <xdr:cNvSpPr/>
      </xdr:nvSpPr>
      <xdr:spPr>
        <a:xfrm>
          <a:off x="9073243" y="8229600"/>
          <a:ext cx="4082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53</xdr:row>
      <xdr:rowOff>76200</xdr:rowOff>
    </xdr:from>
    <xdr:to>
      <xdr:col>31</xdr:col>
      <xdr:colOff>81643</xdr:colOff>
      <xdr:row>53</xdr:row>
      <xdr:rowOff>76200</xdr:rowOff>
    </xdr:to>
    <xdr:cxnSp macro="">
      <xdr:nvCxnSpPr>
        <xdr:cNvPr id="30816" name="직선 화살표 연결선 30815"/>
        <xdr:cNvCxnSpPr/>
      </xdr:nvCxnSpPr>
      <xdr:spPr>
        <a:xfrm>
          <a:off x="9073243" y="8286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52</xdr:row>
      <xdr:rowOff>19050</xdr:rowOff>
    </xdr:from>
    <xdr:to>
      <xdr:col>31</xdr:col>
      <xdr:colOff>61232</xdr:colOff>
      <xdr:row>52</xdr:row>
      <xdr:rowOff>133350</xdr:rowOff>
    </xdr:to>
    <xdr:sp macro="" textlink="">
      <xdr:nvSpPr>
        <xdr:cNvPr id="30817" name="직사각형 30816"/>
        <xdr:cNvSpPr/>
      </xdr:nvSpPr>
      <xdr:spPr>
        <a:xfrm>
          <a:off x="9012010" y="8077200"/>
          <a:ext cx="4082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52</xdr:row>
      <xdr:rowOff>76200</xdr:rowOff>
    </xdr:from>
    <xdr:to>
      <xdr:col>31</xdr:col>
      <xdr:colOff>20410</xdr:colOff>
      <xdr:row>52</xdr:row>
      <xdr:rowOff>76200</xdr:rowOff>
    </xdr:to>
    <xdr:cxnSp macro="">
      <xdr:nvCxnSpPr>
        <xdr:cNvPr id="30818" name="직선 화살표 연결선 30817"/>
        <xdr:cNvCxnSpPr/>
      </xdr:nvCxnSpPr>
      <xdr:spPr>
        <a:xfrm>
          <a:off x="9012010" y="8134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51</xdr:row>
      <xdr:rowOff>19050</xdr:rowOff>
    </xdr:from>
    <xdr:to>
      <xdr:col>31</xdr:col>
      <xdr:colOff>61232</xdr:colOff>
      <xdr:row>51</xdr:row>
      <xdr:rowOff>133350</xdr:rowOff>
    </xdr:to>
    <xdr:sp macro="" textlink="">
      <xdr:nvSpPr>
        <xdr:cNvPr id="30819" name="직사각형 30818"/>
        <xdr:cNvSpPr/>
      </xdr:nvSpPr>
      <xdr:spPr>
        <a:xfrm>
          <a:off x="9012010" y="7924800"/>
          <a:ext cx="4082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51</xdr:row>
      <xdr:rowOff>76200</xdr:rowOff>
    </xdr:from>
    <xdr:to>
      <xdr:col>31</xdr:col>
      <xdr:colOff>20410</xdr:colOff>
      <xdr:row>51</xdr:row>
      <xdr:rowOff>76200</xdr:rowOff>
    </xdr:to>
    <xdr:cxnSp macro="">
      <xdr:nvCxnSpPr>
        <xdr:cNvPr id="30820" name="직선 화살표 연결선 30819"/>
        <xdr:cNvCxnSpPr/>
      </xdr:nvCxnSpPr>
      <xdr:spPr>
        <a:xfrm>
          <a:off x="9012010" y="7981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50</xdr:row>
      <xdr:rowOff>19050</xdr:rowOff>
    </xdr:from>
    <xdr:to>
      <xdr:col>31</xdr:col>
      <xdr:colOff>61232</xdr:colOff>
      <xdr:row>50</xdr:row>
      <xdr:rowOff>133350</xdr:rowOff>
    </xdr:to>
    <xdr:sp macro="" textlink="">
      <xdr:nvSpPr>
        <xdr:cNvPr id="30821" name="직사각형 30820"/>
        <xdr:cNvSpPr/>
      </xdr:nvSpPr>
      <xdr:spPr>
        <a:xfrm>
          <a:off x="9012010" y="7772400"/>
          <a:ext cx="4082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50</xdr:row>
      <xdr:rowOff>76200</xdr:rowOff>
    </xdr:from>
    <xdr:to>
      <xdr:col>31</xdr:col>
      <xdr:colOff>20410</xdr:colOff>
      <xdr:row>50</xdr:row>
      <xdr:rowOff>76200</xdr:rowOff>
    </xdr:to>
    <xdr:cxnSp macro="">
      <xdr:nvCxnSpPr>
        <xdr:cNvPr id="30822" name="직선 화살표 연결선 30821"/>
        <xdr:cNvCxnSpPr/>
      </xdr:nvCxnSpPr>
      <xdr:spPr>
        <a:xfrm>
          <a:off x="9012010" y="7829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49</xdr:row>
      <xdr:rowOff>19050</xdr:rowOff>
    </xdr:from>
    <xdr:to>
      <xdr:col>31</xdr:col>
      <xdr:colOff>61232</xdr:colOff>
      <xdr:row>49</xdr:row>
      <xdr:rowOff>133350</xdr:rowOff>
    </xdr:to>
    <xdr:sp macro="" textlink="">
      <xdr:nvSpPr>
        <xdr:cNvPr id="30823" name="직사각형 30822"/>
        <xdr:cNvSpPr/>
      </xdr:nvSpPr>
      <xdr:spPr>
        <a:xfrm>
          <a:off x="9012010" y="7620000"/>
          <a:ext cx="4082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49</xdr:row>
      <xdr:rowOff>76200</xdr:rowOff>
    </xdr:from>
    <xdr:to>
      <xdr:col>31</xdr:col>
      <xdr:colOff>20410</xdr:colOff>
      <xdr:row>49</xdr:row>
      <xdr:rowOff>76200</xdr:rowOff>
    </xdr:to>
    <xdr:cxnSp macro="">
      <xdr:nvCxnSpPr>
        <xdr:cNvPr id="30824" name="직선 화살표 연결선 30823"/>
        <xdr:cNvCxnSpPr/>
      </xdr:nvCxnSpPr>
      <xdr:spPr>
        <a:xfrm>
          <a:off x="9012010" y="7677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48</xdr:row>
      <xdr:rowOff>19050</xdr:rowOff>
    </xdr:from>
    <xdr:to>
      <xdr:col>31</xdr:col>
      <xdr:colOff>61232</xdr:colOff>
      <xdr:row>48</xdr:row>
      <xdr:rowOff>133350</xdr:rowOff>
    </xdr:to>
    <xdr:sp macro="" textlink="">
      <xdr:nvSpPr>
        <xdr:cNvPr id="30825" name="직사각형 30824"/>
        <xdr:cNvSpPr/>
      </xdr:nvSpPr>
      <xdr:spPr>
        <a:xfrm>
          <a:off x="9012010" y="7467600"/>
          <a:ext cx="4082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48</xdr:row>
      <xdr:rowOff>76200</xdr:rowOff>
    </xdr:from>
    <xdr:to>
      <xdr:col>31</xdr:col>
      <xdr:colOff>20410</xdr:colOff>
      <xdr:row>48</xdr:row>
      <xdr:rowOff>76200</xdr:rowOff>
    </xdr:to>
    <xdr:cxnSp macro="">
      <xdr:nvCxnSpPr>
        <xdr:cNvPr id="30826" name="직선 화살표 연결선 30825"/>
        <xdr:cNvCxnSpPr/>
      </xdr:nvCxnSpPr>
      <xdr:spPr>
        <a:xfrm>
          <a:off x="9012010" y="7524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47</xdr:row>
      <xdr:rowOff>19050</xdr:rowOff>
    </xdr:from>
    <xdr:to>
      <xdr:col>31</xdr:col>
      <xdr:colOff>61232</xdr:colOff>
      <xdr:row>47</xdr:row>
      <xdr:rowOff>133350</xdr:rowOff>
    </xdr:to>
    <xdr:sp macro="" textlink="">
      <xdr:nvSpPr>
        <xdr:cNvPr id="30827" name="직사각형 30826"/>
        <xdr:cNvSpPr/>
      </xdr:nvSpPr>
      <xdr:spPr>
        <a:xfrm>
          <a:off x="9012010" y="7315200"/>
          <a:ext cx="4082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47</xdr:row>
      <xdr:rowOff>76200</xdr:rowOff>
    </xdr:from>
    <xdr:to>
      <xdr:col>31</xdr:col>
      <xdr:colOff>61232</xdr:colOff>
      <xdr:row>47</xdr:row>
      <xdr:rowOff>76200</xdr:rowOff>
    </xdr:to>
    <xdr:cxnSp macro="">
      <xdr:nvCxnSpPr>
        <xdr:cNvPr id="30828" name="직선 화살표 연결선 30827"/>
        <xdr:cNvCxnSpPr/>
      </xdr:nvCxnSpPr>
      <xdr:spPr>
        <a:xfrm>
          <a:off x="9012010" y="7372350"/>
          <a:ext cx="408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81643</xdr:colOff>
      <xdr:row>46</xdr:row>
      <xdr:rowOff>19050</xdr:rowOff>
    </xdr:from>
    <xdr:to>
      <xdr:col>33</xdr:col>
      <xdr:colOff>122465</xdr:colOff>
      <xdr:row>46</xdr:row>
      <xdr:rowOff>133350</xdr:rowOff>
    </xdr:to>
    <xdr:sp macro="" textlink="">
      <xdr:nvSpPr>
        <xdr:cNvPr id="30829" name="직사각형 30828"/>
        <xdr:cNvSpPr/>
      </xdr:nvSpPr>
      <xdr:spPr>
        <a:xfrm>
          <a:off x="9358993" y="7162800"/>
          <a:ext cx="4082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81643</xdr:colOff>
      <xdr:row>46</xdr:row>
      <xdr:rowOff>76200</xdr:rowOff>
    </xdr:from>
    <xdr:to>
      <xdr:col>33</xdr:col>
      <xdr:colOff>81643</xdr:colOff>
      <xdr:row>46</xdr:row>
      <xdr:rowOff>76200</xdr:rowOff>
    </xdr:to>
    <xdr:cxnSp macro="">
      <xdr:nvCxnSpPr>
        <xdr:cNvPr id="30830" name="직선 화살표 연결선 30829"/>
        <xdr:cNvCxnSpPr/>
      </xdr:nvCxnSpPr>
      <xdr:spPr>
        <a:xfrm>
          <a:off x="9358993" y="7219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45</xdr:row>
      <xdr:rowOff>19050</xdr:rowOff>
    </xdr:from>
    <xdr:to>
      <xdr:col>33</xdr:col>
      <xdr:colOff>122465</xdr:colOff>
      <xdr:row>45</xdr:row>
      <xdr:rowOff>133350</xdr:rowOff>
    </xdr:to>
    <xdr:sp macro="" textlink="">
      <xdr:nvSpPr>
        <xdr:cNvPr id="30831" name="직사각형 30830"/>
        <xdr:cNvSpPr/>
      </xdr:nvSpPr>
      <xdr:spPr>
        <a:xfrm>
          <a:off x="9012010" y="7010400"/>
          <a:ext cx="38780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45</xdr:row>
      <xdr:rowOff>76200</xdr:rowOff>
    </xdr:from>
    <xdr:to>
      <xdr:col>31</xdr:col>
      <xdr:colOff>68886</xdr:colOff>
      <xdr:row>45</xdr:row>
      <xdr:rowOff>76200</xdr:rowOff>
    </xdr:to>
    <xdr:cxnSp macro="">
      <xdr:nvCxnSpPr>
        <xdr:cNvPr id="30832" name="직선 화살표 연결선 30831"/>
        <xdr:cNvCxnSpPr/>
      </xdr:nvCxnSpPr>
      <xdr:spPr>
        <a:xfrm>
          <a:off x="9012010" y="7067550"/>
          <a:ext cx="4847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43</xdr:row>
      <xdr:rowOff>19050</xdr:rowOff>
    </xdr:from>
    <xdr:to>
      <xdr:col>31</xdr:col>
      <xdr:colOff>122465</xdr:colOff>
      <xdr:row>43</xdr:row>
      <xdr:rowOff>133350</xdr:rowOff>
    </xdr:to>
    <xdr:sp macro="" textlink="">
      <xdr:nvSpPr>
        <xdr:cNvPr id="30833" name="직사각형 30832"/>
        <xdr:cNvSpPr/>
      </xdr:nvSpPr>
      <xdr:spPr>
        <a:xfrm>
          <a:off x="9012010" y="6705600"/>
          <a:ext cx="10205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43</xdr:row>
      <xdr:rowOff>76200</xdr:rowOff>
    </xdr:from>
    <xdr:to>
      <xdr:col>31</xdr:col>
      <xdr:colOff>122465</xdr:colOff>
      <xdr:row>43</xdr:row>
      <xdr:rowOff>76200</xdr:rowOff>
    </xdr:to>
    <xdr:cxnSp macro="">
      <xdr:nvCxnSpPr>
        <xdr:cNvPr id="30834" name="직선 화살표 연결선 30833"/>
        <xdr:cNvCxnSpPr/>
      </xdr:nvCxnSpPr>
      <xdr:spPr>
        <a:xfrm>
          <a:off x="9012010" y="6762750"/>
          <a:ext cx="10205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61232</xdr:colOff>
      <xdr:row>41</xdr:row>
      <xdr:rowOff>19050</xdr:rowOff>
    </xdr:from>
    <xdr:to>
      <xdr:col>31</xdr:col>
      <xdr:colOff>81643</xdr:colOff>
      <xdr:row>41</xdr:row>
      <xdr:rowOff>133350</xdr:rowOff>
    </xdr:to>
    <xdr:sp macro="" textlink="">
      <xdr:nvSpPr>
        <xdr:cNvPr id="30835" name="직사각형 30834"/>
        <xdr:cNvSpPr/>
      </xdr:nvSpPr>
      <xdr:spPr>
        <a:xfrm>
          <a:off x="9052832" y="6400800"/>
          <a:ext cx="2041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61232</xdr:colOff>
      <xdr:row>41</xdr:row>
      <xdr:rowOff>76200</xdr:rowOff>
    </xdr:from>
    <xdr:to>
      <xdr:col>31</xdr:col>
      <xdr:colOff>81643</xdr:colOff>
      <xdr:row>41</xdr:row>
      <xdr:rowOff>76200</xdr:rowOff>
    </xdr:to>
    <xdr:cxnSp macro="">
      <xdr:nvCxnSpPr>
        <xdr:cNvPr id="30836" name="직선 화살표 연결선 30835"/>
        <xdr:cNvCxnSpPr/>
      </xdr:nvCxnSpPr>
      <xdr:spPr>
        <a:xfrm>
          <a:off x="9052832" y="6457950"/>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40</xdr:row>
      <xdr:rowOff>19050</xdr:rowOff>
    </xdr:from>
    <xdr:to>
      <xdr:col>31</xdr:col>
      <xdr:colOff>61232</xdr:colOff>
      <xdr:row>40</xdr:row>
      <xdr:rowOff>133350</xdr:rowOff>
    </xdr:to>
    <xdr:sp macro="" textlink="">
      <xdr:nvSpPr>
        <xdr:cNvPr id="30837" name="직사각형 30836"/>
        <xdr:cNvSpPr/>
      </xdr:nvSpPr>
      <xdr:spPr>
        <a:xfrm>
          <a:off x="9012010" y="6248400"/>
          <a:ext cx="4082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40</xdr:row>
      <xdr:rowOff>76200</xdr:rowOff>
    </xdr:from>
    <xdr:to>
      <xdr:col>31</xdr:col>
      <xdr:colOff>61232</xdr:colOff>
      <xdr:row>40</xdr:row>
      <xdr:rowOff>76200</xdr:rowOff>
    </xdr:to>
    <xdr:cxnSp macro="">
      <xdr:nvCxnSpPr>
        <xdr:cNvPr id="30838" name="직선 화살표 연결선 30837"/>
        <xdr:cNvCxnSpPr/>
      </xdr:nvCxnSpPr>
      <xdr:spPr>
        <a:xfrm>
          <a:off x="9012010" y="6305550"/>
          <a:ext cx="408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39</xdr:row>
      <xdr:rowOff>19050</xdr:rowOff>
    </xdr:from>
    <xdr:to>
      <xdr:col>31</xdr:col>
      <xdr:colOff>122465</xdr:colOff>
      <xdr:row>39</xdr:row>
      <xdr:rowOff>133350</xdr:rowOff>
    </xdr:to>
    <xdr:sp macro="" textlink="">
      <xdr:nvSpPr>
        <xdr:cNvPr id="30839" name="직사각형 30838"/>
        <xdr:cNvSpPr/>
      </xdr:nvSpPr>
      <xdr:spPr>
        <a:xfrm>
          <a:off x="9012010" y="6096000"/>
          <a:ext cx="10205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39</xdr:row>
      <xdr:rowOff>76200</xdr:rowOff>
    </xdr:from>
    <xdr:to>
      <xdr:col>31</xdr:col>
      <xdr:colOff>122465</xdr:colOff>
      <xdr:row>39</xdr:row>
      <xdr:rowOff>76200</xdr:rowOff>
    </xdr:to>
    <xdr:cxnSp macro="">
      <xdr:nvCxnSpPr>
        <xdr:cNvPr id="30840" name="직선 화살표 연결선 30839"/>
        <xdr:cNvCxnSpPr/>
      </xdr:nvCxnSpPr>
      <xdr:spPr>
        <a:xfrm>
          <a:off x="9012010" y="6153150"/>
          <a:ext cx="10205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38</xdr:row>
      <xdr:rowOff>19050</xdr:rowOff>
    </xdr:from>
    <xdr:to>
      <xdr:col>33</xdr:col>
      <xdr:colOff>122465</xdr:colOff>
      <xdr:row>38</xdr:row>
      <xdr:rowOff>133350</xdr:rowOff>
    </xdr:to>
    <xdr:sp macro="" textlink="">
      <xdr:nvSpPr>
        <xdr:cNvPr id="30841" name="직사각형 30840"/>
        <xdr:cNvSpPr/>
      </xdr:nvSpPr>
      <xdr:spPr>
        <a:xfrm>
          <a:off x="9012010" y="5943600"/>
          <a:ext cx="38780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38</xdr:row>
      <xdr:rowOff>76200</xdr:rowOff>
    </xdr:from>
    <xdr:to>
      <xdr:col>32</xdr:col>
      <xdr:colOff>35530</xdr:colOff>
      <xdr:row>38</xdr:row>
      <xdr:rowOff>76200</xdr:rowOff>
    </xdr:to>
    <xdr:cxnSp macro="">
      <xdr:nvCxnSpPr>
        <xdr:cNvPr id="30842" name="직선 화살표 연결선 30841"/>
        <xdr:cNvCxnSpPr/>
      </xdr:nvCxnSpPr>
      <xdr:spPr>
        <a:xfrm>
          <a:off x="9012010" y="6000750"/>
          <a:ext cx="15799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102053</xdr:colOff>
      <xdr:row>37</xdr:row>
      <xdr:rowOff>19050</xdr:rowOff>
    </xdr:from>
    <xdr:to>
      <xdr:col>30</xdr:col>
      <xdr:colOff>81643</xdr:colOff>
      <xdr:row>37</xdr:row>
      <xdr:rowOff>133350</xdr:rowOff>
    </xdr:to>
    <xdr:sp macro="" textlink="">
      <xdr:nvSpPr>
        <xdr:cNvPr id="30843" name="직사각형 30842"/>
        <xdr:cNvSpPr/>
      </xdr:nvSpPr>
      <xdr:spPr>
        <a:xfrm>
          <a:off x="8807903" y="5791200"/>
          <a:ext cx="1224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102053</xdr:colOff>
      <xdr:row>37</xdr:row>
      <xdr:rowOff>76200</xdr:rowOff>
    </xdr:from>
    <xdr:to>
      <xdr:col>30</xdr:col>
      <xdr:colOff>81643</xdr:colOff>
      <xdr:row>37</xdr:row>
      <xdr:rowOff>76200</xdr:rowOff>
    </xdr:to>
    <xdr:cxnSp macro="">
      <xdr:nvCxnSpPr>
        <xdr:cNvPr id="30844" name="직선 화살표 연결선 30843"/>
        <xdr:cNvCxnSpPr/>
      </xdr:nvCxnSpPr>
      <xdr:spPr>
        <a:xfrm>
          <a:off x="8807903" y="5848350"/>
          <a:ext cx="12246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102053</xdr:colOff>
      <xdr:row>36</xdr:row>
      <xdr:rowOff>19050</xdr:rowOff>
    </xdr:from>
    <xdr:to>
      <xdr:col>30</xdr:col>
      <xdr:colOff>81643</xdr:colOff>
      <xdr:row>36</xdr:row>
      <xdr:rowOff>133350</xdr:rowOff>
    </xdr:to>
    <xdr:sp macro="" textlink="">
      <xdr:nvSpPr>
        <xdr:cNvPr id="30845" name="직사각형 30844"/>
        <xdr:cNvSpPr/>
      </xdr:nvSpPr>
      <xdr:spPr>
        <a:xfrm>
          <a:off x="8807903" y="5638800"/>
          <a:ext cx="1224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102053</xdr:colOff>
      <xdr:row>36</xdr:row>
      <xdr:rowOff>76200</xdr:rowOff>
    </xdr:from>
    <xdr:to>
      <xdr:col>30</xdr:col>
      <xdr:colOff>81643</xdr:colOff>
      <xdr:row>36</xdr:row>
      <xdr:rowOff>76200</xdr:rowOff>
    </xdr:to>
    <xdr:cxnSp macro="">
      <xdr:nvCxnSpPr>
        <xdr:cNvPr id="30846" name="직선 화살표 연결선 30845"/>
        <xdr:cNvCxnSpPr/>
      </xdr:nvCxnSpPr>
      <xdr:spPr>
        <a:xfrm>
          <a:off x="8807903" y="5695950"/>
          <a:ext cx="12246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102053</xdr:colOff>
      <xdr:row>35</xdr:row>
      <xdr:rowOff>19050</xdr:rowOff>
    </xdr:from>
    <xdr:to>
      <xdr:col>30</xdr:col>
      <xdr:colOff>81643</xdr:colOff>
      <xdr:row>35</xdr:row>
      <xdr:rowOff>133350</xdr:rowOff>
    </xdr:to>
    <xdr:sp macro="" textlink="">
      <xdr:nvSpPr>
        <xdr:cNvPr id="30847" name="직사각형 30846"/>
        <xdr:cNvSpPr/>
      </xdr:nvSpPr>
      <xdr:spPr>
        <a:xfrm>
          <a:off x="8807903" y="5486400"/>
          <a:ext cx="1224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102053</xdr:colOff>
      <xdr:row>35</xdr:row>
      <xdr:rowOff>76200</xdr:rowOff>
    </xdr:from>
    <xdr:to>
      <xdr:col>30</xdr:col>
      <xdr:colOff>81643</xdr:colOff>
      <xdr:row>35</xdr:row>
      <xdr:rowOff>76200</xdr:rowOff>
    </xdr:to>
    <xdr:cxnSp macro="">
      <xdr:nvCxnSpPr>
        <xdr:cNvPr id="30848" name="직선 화살표 연결선 30847"/>
        <xdr:cNvCxnSpPr/>
      </xdr:nvCxnSpPr>
      <xdr:spPr>
        <a:xfrm>
          <a:off x="8807903" y="5543550"/>
          <a:ext cx="12246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102053</xdr:colOff>
      <xdr:row>34</xdr:row>
      <xdr:rowOff>19050</xdr:rowOff>
    </xdr:from>
    <xdr:to>
      <xdr:col>30</xdr:col>
      <xdr:colOff>81643</xdr:colOff>
      <xdr:row>34</xdr:row>
      <xdr:rowOff>133350</xdr:rowOff>
    </xdr:to>
    <xdr:sp macro="" textlink="">
      <xdr:nvSpPr>
        <xdr:cNvPr id="30849" name="직사각형 30848"/>
        <xdr:cNvSpPr/>
      </xdr:nvSpPr>
      <xdr:spPr>
        <a:xfrm>
          <a:off x="8807903" y="5334000"/>
          <a:ext cx="12246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102053</xdr:colOff>
      <xdr:row>34</xdr:row>
      <xdr:rowOff>76200</xdr:rowOff>
    </xdr:from>
    <xdr:to>
      <xdr:col>30</xdr:col>
      <xdr:colOff>81643</xdr:colOff>
      <xdr:row>34</xdr:row>
      <xdr:rowOff>76200</xdr:rowOff>
    </xdr:to>
    <xdr:cxnSp macro="">
      <xdr:nvCxnSpPr>
        <xdr:cNvPr id="30850" name="직선 화살표 연결선 30849"/>
        <xdr:cNvCxnSpPr/>
      </xdr:nvCxnSpPr>
      <xdr:spPr>
        <a:xfrm>
          <a:off x="8807903" y="5391150"/>
          <a:ext cx="12246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40822</xdr:colOff>
      <xdr:row>33</xdr:row>
      <xdr:rowOff>19050</xdr:rowOff>
    </xdr:from>
    <xdr:to>
      <xdr:col>33</xdr:col>
      <xdr:colOff>61232</xdr:colOff>
      <xdr:row>33</xdr:row>
      <xdr:rowOff>133350</xdr:rowOff>
    </xdr:to>
    <xdr:sp macro="" textlink="">
      <xdr:nvSpPr>
        <xdr:cNvPr id="30851" name="직사각형 30850"/>
        <xdr:cNvSpPr/>
      </xdr:nvSpPr>
      <xdr:spPr>
        <a:xfrm>
          <a:off x="9318172" y="5181600"/>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40822</xdr:colOff>
      <xdr:row>33</xdr:row>
      <xdr:rowOff>76200</xdr:rowOff>
    </xdr:from>
    <xdr:to>
      <xdr:col>33</xdr:col>
      <xdr:colOff>61232</xdr:colOff>
      <xdr:row>33</xdr:row>
      <xdr:rowOff>76200</xdr:rowOff>
    </xdr:to>
    <xdr:cxnSp macro="">
      <xdr:nvCxnSpPr>
        <xdr:cNvPr id="30852" name="직선 화살표 연결선 30851"/>
        <xdr:cNvCxnSpPr/>
      </xdr:nvCxnSpPr>
      <xdr:spPr>
        <a:xfrm>
          <a:off x="9318172" y="5238750"/>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32</xdr:row>
      <xdr:rowOff>19050</xdr:rowOff>
    </xdr:from>
    <xdr:to>
      <xdr:col>33</xdr:col>
      <xdr:colOff>61232</xdr:colOff>
      <xdr:row>32</xdr:row>
      <xdr:rowOff>133350</xdr:rowOff>
    </xdr:to>
    <xdr:sp macro="" textlink="">
      <xdr:nvSpPr>
        <xdr:cNvPr id="30853" name="직사각형 30852"/>
        <xdr:cNvSpPr/>
      </xdr:nvSpPr>
      <xdr:spPr>
        <a:xfrm>
          <a:off x="9297760" y="5029200"/>
          <a:ext cx="4082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32</xdr:row>
      <xdr:rowOff>76200</xdr:rowOff>
    </xdr:from>
    <xdr:to>
      <xdr:col>33</xdr:col>
      <xdr:colOff>61232</xdr:colOff>
      <xdr:row>32</xdr:row>
      <xdr:rowOff>76200</xdr:rowOff>
    </xdr:to>
    <xdr:cxnSp macro="">
      <xdr:nvCxnSpPr>
        <xdr:cNvPr id="30854" name="직선 화살표 연결선 30853"/>
        <xdr:cNvCxnSpPr/>
      </xdr:nvCxnSpPr>
      <xdr:spPr>
        <a:xfrm>
          <a:off x="9297760" y="5086350"/>
          <a:ext cx="408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102053</xdr:colOff>
      <xdr:row>31</xdr:row>
      <xdr:rowOff>19050</xdr:rowOff>
    </xdr:from>
    <xdr:to>
      <xdr:col>33</xdr:col>
      <xdr:colOff>40822</xdr:colOff>
      <xdr:row>31</xdr:row>
      <xdr:rowOff>133350</xdr:rowOff>
    </xdr:to>
    <xdr:sp macro="" textlink="">
      <xdr:nvSpPr>
        <xdr:cNvPr id="30855" name="직사각형 30854"/>
        <xdr:cNvSpPr/>
      </xdr:nvSpPr>
      <xdr:spPr>
        <a:xfrm>
          <a:off x="9236528" y="4876800"/>
          <a:ext cx="816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102053</xdr:colOff>
      <xdr:row>31</xdr:row>
      <xdr:rowOff>76200</xdr:rowOff>
    </xdr:from>
    <xdr:to>
      <xdr:col>33</xdr:col>
      <xdr:colOff>40822</xdr:colOff>
      <xdr:row>31</xdr:row>
      <xdr:rowOff>76200</xdr:rowOff>
    </xdr:to>
    <xdr:cxnSp macro="">
      <xdr:nvCxnSpPr>
        <xdr:cNvPr id="30856" name="직선 화살표 연결선 30855"/>
        <xdr:cNvCxnSpPr/>
      </xdr:nvCxnSpPr>
      <xdr:spPr>
        <a:xfrm>
          <a:off x="9236528" y="4933950"/>
          <a:ext cx="8164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102053</xdr:colOff>
      <xdr:row>30</xdr:row>
      <xdr:rowOff>19050</xdr:rowOff>
    </xdr:from>
    <xdr:to>
      <xdr:col>33</xdr:col>
      <xdr:colOff>61232</xdr:colOff>
      <xdr:row>30</xdr:row>
      <xdr:rowOff>133350</xdr:rowOff>
    </xdr:to>
    <xdr:sp macro="" textlink="">
      <xdr:nvSpPr>
        <xdr:cNvPr id="30857" name="직사각형 30856"/>
        <xdr:cNvSpPr/>
      </xdr:nvSpPr>
      <xdr:spPr>
        <a:xfrm>
          <a:off x="9236528" y="4724400"/>
          <a:ext cx="10205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102053</xdr:colOff>
      <xdr:row>30</xdr:row>
      <xdr:rowOff>76200</xdr:rowOff>
    </xdr:from>
    <xdr:to>
      <xdr:col>33</xdr:col>
      <xdr:colOff>61232</xdr:colOff>
      <xdr:row>30</xdr:row>
      <xdr:rowOff>76200</xdr:rowOff>
    </xdr:to>
    <xdr:cxnSp macro="">
      <xdr:nvCxnSpPr>
        <xdr:cNvPr id="30858" name="직선 화살표 연결선 30857"/>
        <xdr:cNvCxnSpPr/>
      </xdr:nvCxnSpPr>
      <xdr:spPr>
        <a:xfrm>
          <a:off x="9236528" y="4781550"/>
          <a:ext cx="10205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61232</xdr:colOff>
      <xdr:row>29</xdr:row>
      <xdr:rowOff>19050</xdr:rowOff>
    </xdr:from>
    <xdr:to>
      <xdr:col>31</xdr:col>
      <xdr:colOff>0</xdr:colOff>
      <xdr:row>29</xdr:row>
      <xdr:rowOff>133350</xdr:rowOff>
    </xdr:to>
    <xdr:sp macro="" textlink="">
      <xdr:nvSpPr>
        <xdr:cNvPr id="30859" name="직사각형 30858"/>
        <xdr:cNvSpPr/>
      </xdr:nvSpPr>
      <xdr:spPr>
        <a:xfrm>
          <a:off x="8909957" y="4572000"/>
          <a:ext cx="8164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61232</xdr:colOff>
      <xdr:row>29</xdr:row>
      <xdr:rowOff>76200</xdr:rowOff>
    </xdr:from>
    <xdr:to>
      <xdr:col>31</xdr:col>
      <xdr:colOff>0</xdr:colOff>
      <xdr:row>29</xdr:row>
      <xdr:rowOff>76200</xdr:rowOff>
    </xdr:to>
    <xdr:cxnSp macro="">
      <xdr:nvCxnSpPr>
        <xdr:cNvPr id="30860" name="직선 화살표 연결선 30859"/>
        <xdr:cNvCxnSpPr/>
      </xdr:nvCxnSpPr>
      <xdr:spPr>
        <a:xfrm>
          <a:off x="8909957" y="4629150"/>
          <a:ext cx="8164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102053</xdr:colOff>
      <xdr:row>28</xdr:row>
      <xdr:rowOff>19050</xdr:rowOff>
    </xdr:from>
    <xdr:to>
      <xdr:col>30</xdr:col>
      <xdr:colOff>81643</xdr:colOff>
      <xdr:row>28</xdr:row>
      <xdr:rowOff>133350</xdr:rowOff>
    </xdr:to>
    <xdr:sp macro="" textlink="">
      <xdr:nvSpPr>
        <xdr:cNvPr id="30861" name="직사각형 30860"/>
        <xdr:cNvSpPr/>
      </xdr:nvSpPr>
      <xdr:spPr>
        <a:xfrm>
          <a:off x="8807903" y="4419600"/>
          <a:ext cx="1224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102053</xdr:colOff>
      <xdr:row>28</xdr:row>
      <xdr:rowOff>76200</xdr:rowOff>
    </xdr:from>
    <xdr:to>
      <xdr:col>30</xdr:col>
      <xdr:colOff>81643</xdr:colOff>
      <xdr:row>28</xdr:row>
      <xdr:rowOff>76200</xdr:rowOff>
    </xdr:to>
    <xdr:cxnSp macro="">
      <xdr:nvCxnSpPr>
        <xdr:cNvPr id="30862" name="직선 화살표 연결선 30861"/>
        <xdr:cNvCxnSpPr/>
      </xdr:nvCxnSpPr>
      <xdr:spPr>
        <a:xfrm>
          <a:off x="8807903" y="4476750"/>
          <a:ext cx="12246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102053</xdr:colOff>
      <xdr:row>27</xdr:row>
      <xdr:rowOff>19050</xdr:rowOff>
    </xdr:from>
    <xdr:to>
      <xdr:col>29</xdr:col>
      <xdr:colOff>122465</xdr:colOff>
      <xdr:row>27</xdr:row>
      <xdr:rowOff>133350</xdr:rowOff>
    </xdr:to>
    <xdr:sp macro="" textlink="">
      <xdr:nvSpPr>
        <xdr:cNvPr id="30863" name="직사각형 30862"/>
        <xdr:cNvSpPr/>
      </xdr:nvSpPr>
      <xdr:spPr>
        <a:xfrm>
          <a:off x="8807903" y="4267200"/>
          <a:ext cx="204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102053</xdr:colOff>
      <xdr:row>27</xdr:row>
      <xdr:rowOff>76200</xdr:rowOff>
    </xdr:from>
    <xdr:to>
      <xdr:col>29</xdr:col>
      <xdr:colOff>122465</xdr:colOff>
      <xdr:row>27</xdr:row>
      <xdr:rowOff>76200</xdr:rowOff>
    </xdr:to>
    <xdr:cxnSp macro="">
      <xdr:nvCxnSpPr>
        <xdr:cNvPr id="30864" name="직선 화살표 연결선 30863"/>
        <xdr:cNvCxnSpPr/>
      </xdr:nvCxnSpPr>
      <xdr:spPr>
        <a:xfrm>
          <a:off x="8807903" y="4324350"/>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61232</xdr:colOff>
      <xdr:row>26</xdr:row>
      <xdr:rowOff>19050</xdr:rowOff>
    </xdr:from>
    <xdr:to>
      <xdr:col>29</xdr:col>
      <xdr:colOff>122465</xdr:colOff>
      <xdr:row>26</xdr:row>
      <xdr:rowOff>133350</xdr:rowOff>
    </xdr:to>
    <xdr:sp macro="" textlink="">
      <xdr:nvSpPr>
        <xdr:cNvPr id="30865" name="직사각형 30864"/>
        <xdr:cNvSpPr/>
      </xdr:nvSpPr>
      <xdr:spPr>
        <a:xfrm>
          <a:off x="8767082" y="4114800"/>
          <a:ext cx="6123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61232</xdr:colOff>
      <xdr:row>26</xdr:row>
      <xdr:rowOff>76200</xdr:rowOff>
    </xdr:from>
    <xdr:to>
      <xdr:col>29</xdr:col>
      <xdr:colOff>122465</xdr:colOff>
      <xdr:row>26</xdr:row>
      <xdr:rowOff>76200</xdr:rowOff>
    </xdr:to>
    <xdr:cxnSp macro="">
      <xdr:nvCxnSpPr>
        <xdr:cNvPr id="30866" name="직선 화살표 연결선 30865"/>
        <xdr:cNvCxnSpPr/>
      </xdr:nvCxnSpPr>
      <xdr:spPr>
        <a:xfrm>
          <a:off x="8767082" y="4171950"/>
          <a:ext cx="6123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61232</xdr:colOff>
      <xdr:row>25</xdr:row>
      <xdr:rowOff>19050</xdr:rowOff>
    </xdr:from>
    <xdr:to>
      <xdr:col>31</xdr:col>
      <xdr:colOff>0</xdr:colOff>
      <xdr:row>25</xdr:row>
      <xdr:rowOff>133350</xdr:rowOff>
    </xdr:to>
    <xdr:sp macro="" textlink="">
      <xdr:nvSpPr>
        <xdr:cNvPr id="30867" name="직사각형 30866"/>
        <xdr:cNvSpPr/>
      </xdr:nvSpPr>
      <xdr:spPr>
        <a:xfrm>
          <a:off x="8767082" y="3962400"/>
          <a:ext cx="22451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61232</xdr:colOff>
      <xdr:row>25</xdr:row>
      <xdr:rowOff>76200</xdr:rowOff>
    </xdr:from>
    <xdr:to>
      <xdr:col>31</xdr:col>
      <xdr:colOff>0</xdr:colOff>
      <xdr:row>25</xdr:row>
      <xdr:rowOff>76200</xdr:rowOff>
    </xdr:to>
    <xdr:cxnSp macro="">
      <xdr:nvCxnSpPr>
        <xdr:cNvPr id="30868" name="직선 화살표 연결선 30867"/>
        <xdr:cNvCxnSpPr/>
      </xdr:nvCxnSpPr>
      <xdr:spPr>
        <a:xfrm>
          <a:off x="8767082" y="4019550"/>
          <a:ext cx="22451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61232</xdr:colOff>
      <xdr:row>24</xdr:row>
      <xdr:rowOff>19050</xdr:rowOff>
    </xdr:from>
    <xdr:to>
      <xdr:col>33</xdr:col>
      <xdr:colOff>61232</xdr:colOff>
      <xdr:row>24</xdr:row>
      <xdr:rowOff>133350</xdr:rowOff>
    </xdr:to>
    <xdr:sp macro="" textlink="">
      <xdr:nvSpPr>
        <xdr:cNvPr id="30869" name="직사각형 30868"/>
        <xdr:cNvSpPr/>
      </xdr:nvSpPr>
      <xdr:spPr>
        <a:xfrm>
          <a:off x="8767082" y="3810000"/>
          <a:ext cx="57150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61232</xdr:colOff>
      <xdr:row>24</xdr:row>
      <xdr:rowOff>76200</xdr:rowOff>
    </xdr:from>
    <xdr:to>
      <xdr:col>33</xdr:col>
      <xdr:colOff>61232</xdr:colOff>
      <xdr:row>24</xdr:row>
      <xdr:rowOff>76200</xdr:rowOff>
    </xdr:to>
    <xdr:cxnSp macro="">
      <xdr:nvCxnSpPr>
        <xdr:cNvPr id="30870" name="직선 화살표 연결선 30869"/>
        <xdr:cNvCxnSpPr/>
      </xdr:nvCxnSpPr>
      <xdr:spPr>
        <a:xfrm>
          <a:off x="8767082" y="3867150"/>
          <a:ext cx="5715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102053</xdr:colOff>
      <xdr:row>23</xdr:row>
      <xdr:rowOff>19050</xdr:rowOff>
    </xdr:from>
    <xdr:to>
      <xdr:col>29</xdr:col>
      <xdr:colOff>122465</xdr:colOff>
      <xdr:row>23</xdr:row>
      <xdr:rowOff>133350</xdr:rowOff>
    </xdr:to>
    <xdr:sp macro="" textlink="">
      <xdr:nvSpPr>
        <xdr:cNvPr id="30871" name="직사각형 30870"/>
        <xdr:cNvSpPr/>
      </xdr:nvSpPr>
      <xdr:spPr>
        <a:xfrm>
          <a:off x="8807903" y="3657600"/>
          <a:ext cx="204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102053</xdr:colOff>
      <xdr:row>23</xdr:row>
      <xdr:rowOff>76200</xdr:rowOff>
    </xdr:from>
    <xdr:to>
      <xdr:col>29</xdr:col>
      <xdr:colOff>122465</xdr:colOff>
      <xdr:row>23</xdr:row>
      <xdr:rowOff>76200</xdr:rowOff>
    </xdr:to>
    <xdr:cxnSp macro="">
      <xdr:nvCxnSpPr>
        <xdr:cNvPr id="30872" name="직선 화살표 연결선 30871"/>
        <xdr:cNvCxnSpPr/>
      </xdr:nvCxnSpPr>
      <xdr:spPr>
        <a:xfrm>
          <a:off x="8807903" y="3714750"/>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81643</xdr:colOff>
      <xdr:row>22</xdr:row>
      <xdr:rowOff>19050</xdr:rowOff>
    </xdr:from>
    <xdr:to>
      <xdr:col>29</xdr:col>
      <xdr:colOff>122465</xdr:colOff>
      <xdr:row>22</xdr:row>
      <xdr:rowOff>133350</xdr:rowOff>
    </xdr:to>
    <xdr:sp macro="" textlink="">
      <xdr:nvSpPr>
        <xdr:cNvPr id="30873" name="직사각형 30872"/>
        <xdr:cNvSpPr/>
      </xdr:nvSpPr>
      <xdr:spPr>
        <a:xfrm>
          <a:off x="8787493" y="3505200"/>
          <a:ext cx="4082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81643</xdr:colOff>
      <xdr:row>22</xdr:row>
      <xdr:rowOff>76200</xdr:rowOff>
    </xdr:from>
    <xdr:to>
      <xdr:col>29</xdr:col>
      <xdr:colOff>122465</xdr:colOff>
      <xdr:row>22</xdr:row>
      <xdr:rowOff>76200</xdr:rowOff>
    </xdr:to>
    <xdr:cxnSp macro="">
      <xdr:nvCxnSpPr>
        <xdr:cNvPr id="30874" name="직선 화살표 연결선 30873"/>
        <xdr:cNvCxnSpPr/>
      </xdr:nvCxnSpPr>
      <xdr:spPr>
        <a:xfrm>
          <a:off x="8787493" y="3562350"/>
          <a:ext cx="408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40822</xdr:colOff>
      <xdr:row>21</xdr:row>
      <xdr:rowOff>19050</xdr:rowOff>
    </xdr:from>
    <xdr:to>
      <xdr:col>29</xdr:col>
      <xdr:colOff>102053</xdr:colOff>
      <xdr:row>21</xdr:row>
      <xdr:rowOff>133350</xdr:rowOff>
    </xdr:to>
    <xdr:sp macro="" textlink="">
      <xdr:nvSpPr>
        <xdr:cNvPr id="30875" name="직사각형 30874"/>
        <xdr:cNvSpPr/>
      </xdr:nvSpPr>
      <xdr:spPr>
        <a:xfrm>
          <a:off x="8746672" y="3352800"/>
          <a:ext cx="612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40822</xdr:colOff>
      <xdr:row>21</xdr:row>
      <xdr:rowOff>76200</xdr:rowOff>
    </xdr:from>
    <xdr:to>
      <xdr:col>29</xdr:col>
      <xdr:colOff>102053</xdr:colOff>
      <xdr:row>21</xdr:row>
      <xdr:rowOff>76200</xdr:rowOff>
    </xdr:to>
    <xdr:cxnSp macro="">
      <xdr:nvCxnSpPr>
        <xdr:cNvPr id="30876" name="직선 화살표 연결선 30875"/>
        <xdr:cNvCxnSpPr/>
      </xdr:nvCxnSpPr>
      <xdr:spPr>
        <a:xfrm>
          <a:off x="8746672" y="3409950"/>
          <a:ext cx="612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40822</xdr:colOff>
      <xdr:row>20</xdr:row>
      <xdr:rowOff>19050</xdr:rowOff>
    </xdr:from>
    <xdr:to>
      <xdr:col>29</xdr:col>
      <xdr:colOff>102053</xdr:colOff>
      <xdr:row>20</xdr:row>
      <xdr:rowOff>133350</xdr:rowOff>
    </xdr:to>
    <xdr:sp macro="" textlink="">
      <xdr:nvSpPr>
        <xdr:cNvPr id="30877" name="직사각형 30876"/>
        <xdr:cNvSpPr/>
      </xdr:nvSpPr>
      <xdr:spPr>
        <a:xfrm>
          <a:off x="8746672" y="3200400"/>
          <a:ext cx="612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40822</xdr:colOff>
      <xdr:row>20</xdr:row>
      <xdr:rowOff>76200</xdr:rowOff>
    </xdr:from>
    <xdr:to>
      <xdr:col>29</xdr:col>
      <xdr:colOff>102053</xdr:colOff>
      <xdr:row>20</xdr:row>
      <xdr:rowOff>76200</xdr:rowOff>
    </xdr:to>
    <xdr:cxnSp macro="">
      <xdr:nvCxnSpPr>
        <xdr:cNvPr id="30878" name="직선 화살표 연결선 30877"/>
        <xdr:cNvCxnSpPr/>
      </xdr:nvCxnSpPr>
      <xdr:spPr>
        <a:xfrm>
          <a:off x="8746672" y="3257550"/>
          <a:ext cx="612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40822</xdr:colOff>
      <xdr:row>19</xdr:row>
      <xdr:rowOff>19050</xdr:rowOff>
    </xdr:from>
    <xdr:to>
      <xdr:col>29</xdr:col>
      <xdr:colOff>102053</xdr:colOff>
      <xdr:row>19</xdr:row>
      <xdr:rowOff>133350</xdr:rowOff>
    </xdr:to>
    <xdr:sp macro="" textlink="">
      <xdr:nvSpPr>
        <xdr:cNvPr id="30879" name="직사각형 30878"/>
        <xdr:cNvSpPr/>
      </xdr:nvSpPr>
      <xdr:spPr>
        <a:xfrm>
          <a:off x="8746672" y="3048000"/>
          <a:ext cx="612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40822</xdr:colOff>
      <xdr:row>19</xdr:row>
      <xdr:rowOff>76200</xdr:rowOff>
    </xdr:from>
    <xdr:to>
      <xdr:col>29</xdr:col>
      <xdr:colOff>102053</xdr:colOff>
      <xdr:row>19</xdr:row>
      <xdr:rowOff>76200</xdr:rowOff>
    </xdr:to>
    <xdr:cxnSp macro="">
      <xdr:nvCxnSpPr>
        <xdr:cNvPr id="30880" name="직선 화살표 연결선 30879"/>
        <xdr:cNvCxnSpPr/>
      </xdr:nvCxnSpPr>
      <xdr:spPr>
        <a:xfrm>
          <a:off x="8746672" y="3105150"/>
          <a:ext cx="612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40822</xdr:colOff>
      <xdr:row>15</xdr:row>
      <xdr:rowOff>19050</xdr:rowOff>
    </xdr:from>
    <xdr:to>
      <xdr:col>29</xdr:col>
      <xdr:colOff>122465</xdr:colOff>
      <xdr:row>15</xdr:row>
      <xdr:rowOff>133350</xdr:rowOff>
    </xdr:to>
    <xdr:sp macro="" textlink="">
      <xdr:nvSpPr>
        <xdr:cNvPr id="30881" name="직사각형 30880"/>
        <xdr:cNvSpPr/>
      </xdr:nvSpPr>
      <xdr:spPr>
        <a:xfrm>
          <a:off x="8746672" y="2438400"/>
          <a:ext cx="8164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40822</xdr:colOff>
      <xdr:row>15</xdr:row>
      <xdr:rowOff>76200</xdr:rowOff>
    </xdr:from>
    <xdr:to>
      <xdr:col>29</xdr:col>
      <xdr:colOff>122465</xdr:colOff>
      <xdr:row>15</xdr:row>
      <xdr:rowOff>76200</xdr:rowOff>
    </xdr:to>
    <xdr:cxnSp macro="">
      <xdr:nvCxnSpPr>
        <xdr:cNvPr id="30882" name="직선 화살표 연결선 30881"/>
        <xdr:cNvCxnSpPr/>
      </xdr:nvCxnSpPr>
      <xdr:spPr>
        <a:xfrm>
          <a:off x="8746672" y="2495550"/>
          <a:ext cx="8164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40822</xdr:colOff>
      <xdr:row>14</xdr:row>
      <xdr:rowOff>19050</xdr:rowOff>
    </xdr:from>
    <xdr:to>
      <xdr:col>33</xdr:col>
      <xdr:colOff>61232</xdr:colOff>
      <xdr:row>14</xdr:row>
      <xdr:rowOff>133350</xdr:rowOff>
    </xdr:to>
    <xdr:sp macro="" textlink="">
      <xdr:nvSpPr>
        <xdr:cNvPr id="30883" name="직사각형 30882"/>
        <xdr:cNvSpPr/>
      </xdr:nvSpPr>
      <xdr:spPr>
        <a:xfrm>
          <a:off x="8746672" y="2286000"/>
          <a:ext cx="59191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40822</xdr:colOff>
      <xdr:row>14</xdr:row>
      <xdr:rowOff>76200</xdr:rowOff>
    </xdr:from>
    <xdr:to>
      <xdr:col>33</xdr:col>
      <xdr:colOff>61232</xdr:colOff>
      <xdr:row>14</xdr:row>
      <xdr:rowOff>76200</xdr:rowOff>
    </xdr:to>
    <xdr:cxnSp macro="">
      <xdr:nvCxnSpPr>
        <xdr:cNvPr id="30884" name="직선 화살표 연결선 30883"/>
        <xdr:cNvCxnSpPr/>
      </xdr:nvCxnSpPr>
      <xdr:spPr>
        <a:xfrm>
          <a:off x="8746672" y="2343150"/>
          <a:ext cx="5919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20410</xdr:colOff>
      <xdr:row>6</xdr:row>
      <xdr:rowOff>19050</xdr:rowOff>
    </xdr:from>
    <xdr:to>
      <xdr:col>28</xdr:col>
      <xdr:colOff>40822</xdr:colOff>
      <xdr:row>6</xdr:row>
      <xdr:rowOff>133350</xdr:rowOff>
    </xdr:to>
    <xdr:sp macro="" textlink="">
      <xdr:nvSpPr>
        <xdr:cNvPr id="30885" name="직사각형 30884"/>
        <xdr:cNvSpPr/>
      </xdr:nvSpPr>
      <xdr:spPr>
        <a:xfrm>
          <a:off x="8583385" y="1066800"/>
          <a:ext cx="204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20410</xdr:colOff>
      <xdr:row>6</xdr:row>
      <xdr:rowOff>76200</xdr:rowOff>
    </xdr:from>
    <xdr:to>
      <xdr:col>28</xdr:col>
      <xdr:colOff>40822</xdr:colOff>
      <xdr:row>6</xdr:row>
      <xdr:rowOff>76200</xdr:rowOff>
    </xdr:to>
    <xdr:cxnSp macro="">
      <xdr:nvCxnSpPr>
        <xdr:cNvPr id="30886" name="직선 화살표 연결선 30885"/>
        <xdr:cNvCxnSpPr/>
      </xdr:nvCxnSpPr>
      <xdr:spPr>
        <a:xfrm>
          <a:off x="8583385" y="1123950"/>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20410</xdr:colOff>
      <xdr:row>5</xdr:row>
      <xdr:rowOff>19050</xdr:rowOff>
    </xdr:from>
    <xdr:to>
      <xdr:col>28</xdr:col>
      <xdr:colOff>40822</xdr:colOff>
      <xdr:row>5</xdr:row>
      <xdr:rowOff>133350</xdr:rowOff>
    </xdr:to>
    <xdr:sp macro="" textlink="">
      <xdr:nvSpPr>
        <xdr:cNvPr id="30887" name="직사각형 30886"/>
        <xdr:cNvSpPr/>
      </xdr:nvSpPr>
      <xdr:spPr>
        <a:xfrm>
          <a:off x="8583385" y="914400"/>
          <a:ext cx="2041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20410</xdr:colOff>
      <xdr:row>5</xdr:row>
      <xdr:rowOff>76200</xdr:rowOff>
    </xdr:from>
    <xdr:to>
      <xdr:col>28</xdr:col>
      <xdr:colOff>40822</xdr:colOff>
      <xdr:row>5</xdr:row>
      <xdr:rowOff>76200</xdr:rowOff>
    </xdr:to>
    <xdr:cxnSp macro="">
      <xdr:nvCxnSpPr>
        <xdr:cNvPr id="30888" name="직선 화살표 연결선 30887"/>
        <xdr:cNvCxnSpPr/>
      </xdr:nvCxnSpPr>
      <xdr:spPr>
        <a:xfrm>
          <a:off x="8583385" y="971550"/>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20410</xdr:colOff>
      <xdr:row>4</xdr:row>
      <xdr:rowOff>19050</xdr:rowOff>
    </xdr:from>
    <xdr:to>
      <xdr:col>28</xdr:col>
      <xdr:colOff>40822</xdr:colOff>
      <xdr:row>4</xdr:row>
      <xdr:rowOff>133350</xdr:rowOff>
    </xdr:to>
    <xdr:sp macro="" textlink="">
      <xdr:nvSpPr>
        <xdr:cNvPr id="30889" name="직사각형 30888"/>
        <xdr:cNvSpPr/>
      </xdr:nvSpPr>
      <xdr:spPr>
        <a:xfrm>
          <a:off x="8583385" y="762000"/>
          <a:ext cx="2041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20410</xdr:colOff>
      <xdr:row>4</xdr:row>
      <xdr:rowOff>76200</xdr:rowOff>
    </xdr:from>
    <xdr:to>
      <xdr:col>28</xdr:col>
      <xdr:colOff>40822</xdr:colOff>
      <xdr:row>4</xdr:row>
      <xdr:rowOff>76200</xdr:rowOff>
    </xdr:to>
    <xdr:cxnSp macro="">
      <xdr:nvCxnSpPr>
        <xdr:cNvPr id="30890" name="직선 화살표 연결선 30889"/>
        <xdr:cNvCxnSpPr/>
      </xdr:nvCxnSpPr>
      <xdr:spPr>
        <a:xfrm>
          <a:off x="8583385" y="819150"/>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173831</xdr:colOff>
      <xdr:row>5</xdr:row>
      <xdr:rowOff>0</xdr:rowOff>
    </xdr:from>
    <xdr:to>
      <xdr:col>12</xdr:col>
      <xdr:colOff>573881</xdr:colOff>
      <xdr:row>18</xdr:row>
      <xdr:rowOff>76200</xdr:rowOff>
    </xdr:to>
    <xdr:graphicFrame macro="">
      <xdr:nvGraphicFramePr>
        <xdr:cNvPr id="2" name="차트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hjung/Desktop/&#50641;&#49472;&#51089;&#50629;/@&#50641;&#49472;&#51068;&#51221;&#44288;&#47532;/@XLGantt/XLGantt.&#44060;&#48156;&#48376;/backup/XLGantt_v1.1.0_201705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chedule"/>
      <sheetName val="Progress"/>
      <sheetName val="AnalysisReport"/>
      <sheetName val="Calendar"/>
      <sheetName val="Workload"/>
      <sheetName val="Settings"/>
      <sheetName val="TranslatedLanguages"/>
    </sheetNames>
    <sheetDataSet>
      <sheetData sheetId="0"/>
      <sheetData sheetId="1">
        <row r="18">
          <cell r="B18">
            <v>0.21794871794871795</v>
          </cell>
        </row>
        <row r="21">
          <cell r="B21">
            <v>0.15480769230769229</v>
          </cell>
        </row>
      </sheetData>
      <sheetData sheetId="2"/>
      <sheetData sheetId="3">
        <row r="5">
          <cell r="B5">
            <v>42370</v>
          </cell>
        </row>
        <row r="6">
          <cell r="B6">
            <v>42371</v>
          </cell>
        </row>
        <row r="7">
          <cell r="B7">
            <v>42372</v>
          </cell>
        </row>
        <row r="8">
          <cell r="B8">
            <v>42378</v>
          </cell>
        </row>
        <row r="9">
          <cell r="B9">
            <v>42379</v>
          </cell>
        </row>
        <row r="10">
          <cell r="B10">
            <v>42385</v>
          </cell>
        </row>
        <row r="11">
          <cell r="B11">
            <v>42386</v>
          </cell>
        </row>
        <row r="12">
          <cell r="B12">
            <v>42392</v>
          </cell>
        </row>
        <row r="13">
          <cell r="B13">
            <v>42393</v>
          </cell>
        </row>
        <row r="14">
          <cell r="B14">
            <v>42399</v>
          </cell>
        </row>
        <row r="15">
          <cell r="B15">
            <v>42400</v>
          </cell>
        </row>
        <row r="16">
          <cell r="B16">
            <v>42406</v>
          </cell>
        </row>
        <row r="17">
          <cell r="B17">
            <v>42407</v>
          </cell>
        </row>
        <row r="18">
          <cell r="B18">
            <v>42408</v>
          </cell>
        </row>
        <row r="19">
          <cell r="B19">
            <v>42409</v>
          </cell>
        </row>
        <row r="20">
          <cell r="B20">
            <v>42410</v>
          </cell>
        </row>
        <row r="21">
          <cell r="B21">
            <v>42413</v>
          </cell>
        </row>
        <row r="22">
          <cell r="B22">
            <v>42414</v>
          </cell>
        </row>
        <row r="23">
          <cell r="B23">
            <v>42420</v>
          </cell>
        </row>
        <row r="24">
          <cell r="B24">
            <v>42421</v>
          </cell>
        </row>
        <row r="25">
          <cell r="B25">
            <v>42427</v>
          </cell>
        </row>
        <row r="26">
          <cell r="B26">
            <v>42428</v>
          </cell>
        </row>
        <row r="27">
          <cell r="B27">
            <v>42430</v>
          </cell>
        </row>
        <row r="28">
          <cell r="B28">
            <v>42434</v>
          </cell>
        </row>
        <row r="29">
          <cell r="B29">
            <v>42435</v>
          </cell>
        </row>
        <row r="30">
          <cell r="B30">
            <v>42441</v>
          </cell>
        </row>
        <row r="31">
          <cell r="B31">
            <v>42442</v>
          </cell>
        </row>
        <row r="32">
          <cell r="B32">
            <v>42448</v>
          </cell>
        </row>
        <row r="33">
          <cell r="B33">
            <v>42449</v>
          </cell>
        </row>
        <row r="34">
          <cell r="B34">
            <v>42455</v>
          </cell>
        </row>
        <row r="35">
          <cell r="B35">
            <v>42456</v>
          </cell>
        </row>
        <row r="36">
          <cell r="B36">
            <v>42462</v>
          </cell>
        </row>
        <row r="37">
          <cell r="B37">
            <v>42463</v>
          </cell>
        </row>
        <row r="38">
          <cell r="B38">
            <v>42469</v>
          </cell>
        </row>
        <row r="39">
          <cell r="B39">
            <v>42470</v>
          </cell>
        </row>
        <row r="40">
          <cell r="B40">
            <v>42473</v>
          </cell>
        </row>
        <row r="41">
          <cell r="B41">
            <v>42476</v>
          </cell>
        </row>
        <row r="42">
          <cell r="B42">
            <v>42477</v>
          </cell>
        </row>
        <row r="43">
          <cell r="B43">
            <v>42483</v>
          </cell>
        </row>
        <row r="44">
          <cell r="B44">
            <v>42484</v>
          </cell>
        </row>
        <row r="45">
          <cell r="B45">
            <v>42490</v>
          </cell>
        </row>
        <row r="46">
          <cell r="B46">
            <v>42491</v>
          </cell>
        </row>
        <row r="47">
          <cell r="B47">
            <v>42495</v>
          </cell>
        </row>
        <row r="48">
          <cell r="B48">
            <v>42497</v>
          </cell>
        </row>
        <row r="49">
          <cell r="B49">
            <v>42498</v>
          </cell>
        </row>
        <row r="50">
          <cell r="B50">
            <v>42504</v>
          </cell>
        </row>
        <row r="51">
          <cell r="B51">
            <v>42505</v>
          </cell>
        </row>
        <row r="52">
          <cell r="B52">
            <v>42511</v>
          </cell>
        </row>
        <row r="53">
          <cell r="B53">
            <v>42512</v>
          </cell>
        </row>
        <row r="54">
          <cell r="B54">
            <v>42518</v>
          </cell>
        </row>
        <row r="55">
          <cell r="B55">
            <v>42519</v>
          </cell>
        </row>
        <row r="56">
          <cell r="B56">
            <v>42525</v>
          </cell>
        </row>
        <row r="57">
          <cell r="B57">
            <v>42526</v>
          </cell>
        </row>
        <row r="58">
          <cell r="B58">
            <v>42527</v>
          </cell>
        </row>
        <row r="59">
          <cell r="B59">
            <v>42532</v>
          </cell>
        </row>
        <row r="60">
          <cell r="B60">
            <v>42533</v>
          </cell>
        </row>
        <row r="61">
          <cell r="B61">
            <v>42539</v>
          </cell>
        </row>
        <row r="62">
          <cell r="B62">
            <v>42540</v>
          </cell>
        </row>
        <row r="63">
          <cell r="B63">
            <v>42546</v>
          </cell>
        </row>
        <row r="64">
          <cell r="B64">
            <v>42547</v>
          </cell>
        </row>
        <row r="65">
          <cell r="B65">
            <v>42553</v>
          </cell>
        </row>
        <row r="66">
          <cell r="B66">
            <v>42554</v>
          </cell>
        </row>
        <row r="67">
          <cell r="B67">
            <v>42560</v>
          </cell>
        </row>
        <row r="68">
          <cell r="B68">
            <v>42561</v>
          </cell>
        </row>
        <row r="69">
          <cell r="B69">
            <v>42567</v>
          </cell>
        </row>
        <row r="70">
          <cell r="B70">
            <v>42568</v>
          </cell>
        </row>
        <row r="71">
          <cell r="B71">
            <v>42574</v>
          </cell>
        </row>
        <row r="72">
          <cell r="B72">
            <v>42575</v>
          </cell>
        </row>
        <row r="73">
          <cell r="B73">
            <v>42581</v>
          </cell>
        </row>
        <row r="74">
          <cell r="B74">
            <v>42582</v>
          </cell>
        </row>
        <row r="75">
          <cell r="B75">
            <v>42588</v>
          </cell>
        </row>
        <row r="76">
          <cell r="B76">
            <v>42589</v>
          </cell>
        </row>
        <row r="77">
          <cell r="B77">
            <v>42595</v>
          </cell>
        </row>
        <row r="78">
          <cell r="B78">
            <v>42596</v>
          </cell>
        </row>
        <row r="79">
          <cell r="B79">
            <v>42597</v>
          </cell>
        </row>
        <row r="80">
          <cell r="B80">
            <v>42602</v>
          </cell>
        </row>
        <row r="81">
          <cell r="B81">
            <v>42603</v>
          </cell>
        </row>
        <row r="82">
          <cell r="B82">
            <v>42609</v>
          </cell>
        </row>
        <row r="83">
          <cell r="B83">
            <v>42610</v>
          </cell>
        </row>
        <row r="84">
          <cell r="B84">
            <v>42616</v>
          </cell>
        </row>
        <row r="85">
          <cell r="B85">
            <v>42617</v>
          </cell>
        </row>
        <row r="86">
          <cell r="B86">
            <v>42623</v>
          </cell>
        </row>
        <row r="87">
          <cell r="B87">
            <v>42624</v>
          </cell>
        </row>
        <row r="88">
          <cell r="B88">
            <v>42627</v>
          </cell>
        </row>
        <row r="89">
          <cell r="B89">
            <v>42628</v>
          </cell>
        </row>
        <row r="90">
          <cell r="B90">
            <v>42629</v>
          </cell>
        </row>
        <row r="91">
          <cell r="B91">
            <v>42630</v>
          </cell>
        </row>
        <row r="92">
          <cell r="B92">
            <v>42631</v>
          </cell>
        </row>
        <row r="93">
          <cell r="B93">
            <v>42637</v>
          </cell>
        </row>
        <row r="94">
          <cell r="B94">
            <v>42638</v>
          </cell>
        </row>
        <row r="95">
          <cell r="B95">
            <v>42644</v>
          </cell>
        </row>
        <row r="96">
          <cell r="B96">
            <v>42645</v>
          </cell>
        </row>
        <row r="97">
          <cell r="B97">
            <v>42646</v>
          </cell>
        </row>
        <row r="98">
          <cell r="B98">
            <v>42651</v>
          </cell>
        </row>
        <row r="99">
          <cell r="B99">
            <v>42652</v>
          </cell>
        </row>
        <row r="100">
          <cell r="B100">
            <v>42658</v>
          </cell>
        </row>
        <row r="101">
          <cell r="B101">
            <v>42659</v>
          </cell>
        </row>
        <row r="102">
          <cell r="B102">
            <v>42665</v>
          </cell>
        </row>
        <row r="103">
          <cell r="B103">
            <v>42666</v>
          </cell>
        </row>
        <row r="104">
          <cell r="B104">
            <v>42672</v>
          </cell>
        </row>
        <row r="105">
          <cell r="B105">
            <v>42673</v>
          </cell>
        </row>
        <row r="106">
          <cell r="B106">
            <v>42679</v>
          </cell>
        </row>
        <row r="107">
          <cell r="B107">
            <v>42680</v>
          </cell>
        </row>
        <row r="108">
          <cell r="B108">
            <v>42686</v>
          </cell>
        </row>
        <row r="109">
          <cell r="B109">
            <v>42687</v>
          </cell>
        </row>
        <row r="110">
          <cell r="B110">
            <v>42693</v>
          </cell>
        </row>
        <row r="111">
          <cell r="B111">
            <v>42694</v>
          </cell>
        </row>
        <row r="112">
          <cell r="B112">
            <v>42700</v>
          </cell>
        </row>
        <row r="113">
          <cell r="B113">
            <v>42701</v>
          </cell>
        </row>
        <row r="114">
          <cell r="B114">
            <v>42707</v>
          </cell>
        </row>
        <row r="115">
          <cell r="B115">
            <v>42708</v>
          </cell>
        </row>
        <row r="116">
          <cell r="B116">
            <v>42714</v>
          </cell>
        </row>
        <row r="117">
          <cell r="B117">
            <v>42715</v>
          </cell>
        </row>
        <row r="118">
          <cell r="B118">
            <v>42721</v>
          </cell>
        </row>
        <row r="119">
          <cell r="B119">
            <v>42722</v>
          </cell>
        </row>
        <row r="120">
          <cell r="B120">
            <v>42728</v>
          </cell>
        </row>
        <row r="121">
          <cell r="B121">
            <v>42729</v>
          </cell>
        </row>
        <row r="122">
          <cell r="B122">
            <v>42735</v>
          </cell>
        </row>
        <row r="123">
          <cell r="B123">
            <v>42736</v>
          </cell>
        </row>
        <row r="124">
          <cell r="B124">
            <v>42742</v>
          </cell>
        </row>
        <row r="125">
          <cell r="B125">
            <v>42743</v>
          </cell>
        </row>
        <row r="126">
          <cell r="B126">
            <v>42749</v>
          </cell>
        </row>
        <row r="127">
          <cell r="B127">
            <v>42750</v>
          </cell>
        </row>
        <row r="128">
          <cell r="B128">
            <v>42756</v>
          </cell>
        </row>
        <row r="129">
          <cell r="B129">
            <v>42757</v>
          </cell>
        </row>
        <row r="130">
          <cell r="B130">
            <v>42762</v>
          </cell>
        </row>
        <row r="131">
          <cell r="B131">
            <v>42763</v>
          </cell>
        </row>
        <row r="132">
          <cell r="B132">
            <v>42764</v>
          </cell>
        </row>
        <row r="133">
          <cell r="B133">
            <v>42765</v>
          </cell>
        </row>
        <row r="134">
          <cell r="B134">
            <v>42770</v>
          </cell>
        </row>
        <row r="135">
          <cell r="B135">
            <v>42771</v>
          </cell>
        </row>
        <row r="136">
          <cell r="B136">
            <v>42777</v>
          </cell>
        </row>
        <row r="137">
          <cell r="B137">
            <v>42778</v>
          </cell>
        </row>
        <row r="138">
          <cell r="B138">
            <v>42784</v>
          </cell>
        </row>
        <row r="139">
          <cell r="B139">
            <v>42785</v>
          </cell>
        </row>
        <row r="140">
          <cell r="B140">
            <v>42791</v>
          </cell>
        </row>
        <row r="141">
          <cell r="B141">
            <v>42792</v>
          </cell>
        </row>
        <row r="142">
          <cell r="B142">
            <v>42795</v>
          </cell>
        </row>
        <row r="143">
          <cell r="B143">
            <v>42798</v>
          </cell>
        </row>
        <row r="144">
          <cell r="B144">
            <v>42799</v>
          </cell>
        </row>
        <row r="145">
          <cell r="B145">
            <v>42805</v>
          </cell>
        </row>
        <row r="146">
          <cell r="B146">
            <v>42806</v>
          </cell>
        </row>
        <row r="147">
          <cell r="B147">
            <v>42812</v>
          </cell>
        </row>
        <row r="148">
          <cell r="B148">
            <v>42813</v>
          </cell>
        </row>
        <row r="149">
          <cell r="B149">
            <v>42819</v>
          </cell>
        </row>
        <row r="150">
          <cell r="B150">
            <v>42820</v>
          </cell>
        </row>
        <row r="151">
          <cell r="B151">
            <v>42826</v>
          </cell>
        </row>
        <row r="152">
          <cell r="B152">
            <v>42827</v>
          </cell>
        </row>
        <row r="153">
          <cell r="B153">
            <v>42833</v>
          </cell>
        </row>
        <row r="154">
          <cell r="B154">
            <v>42834</v>
          </cell>
        </row>
        <row r="155">
          <cell r="B155">
            <v>42840</v>
          </cell>
        </row>
        <row r="156">
          <cell r="B156">
            <v>42841</v>
          </cell>
        </row>
        <row r="157">
          <cell r="B157">
            <v>42847</v>
          </cell>
        </row>
        <row r="158">
          <cell r="B158">
            <v>42848</v>
          </cell>
        </row>
        <row r="159">
          <cell r="B159">
            <v>42854</v>
          </cell>
        </row>
        <row r="160">
          <cell r="B160">
            <v>42855</v>
          </cell>
        </row>
        <row r="161">
          <cell r="B161">
            <v>42858</v>
          </cell>
        </row>
        <row r="162">
          <cell r="B162">
            <v>42860</v>
          </cell>
        </row>
        <row r="163">
          <cell r="B163">
            <v>42861</v>
          </cell>
        </row>
        <row r="164">
          <cell r="B164">
            <v>42862</v>
          </cell>
        </row>
        <row r="165">
          <cell r="B165">
            <v>42864</v>
          </cell>
        </row>
        <row r="166">
          <cell r="B166">
            <v>42868</v>
          </cell>
        </row>
        <row r="167">
          <cell r="B167">
            <v>42869</v>
          </cell>
        </row>
        <row r="168">
          <cell r="B168">
            <v>42875</v>
          </cell>
        </row>
        <row r="169">
          <cell r="B169">
            <v>42876</v>
          </cell>
        </row>
        <row r="170">
          <cell r="B170">
            <v>42882</v>
          </cell>
        </row>
        <row r="171">
          <cell r="B171">
            <v>42883</v>
          </cell>
        </row>
        <row r="172">
          <cell r="B172">
            <v>42889</v>
          </cell>
        </row>
        <row r="173">
          <cell r="B173">
            <v>42890</v>
          </cell>
        </row>
        <row r="174">
          <cell r="B174">
            <v>42892</v>
          </cell>
        </row>
        <row r="175">
          <cell r="B175">
            <v>42896</v>
          </cell>
        </row>
        <row r="176">
          <cell r="B176">
            <v>42897</v>
          </cell>
        </row>
        <row r="177">
          <cell r="B177">
            <v>42903</v>
          </cell>
        </row>
        <row r="178">
          <cell r="B178">
            <v>42904</v>
          </cell>
        </row>
        <row r="179">
          <cell r="B179">
            <v>42910</v>
          </cell>
        </row>
        <row r="180">
          <cell r="B180">
            <v>42911</v>
          </cell>
        </row>
        <row r="181">
          <cell r="B181">
            <v>42917</v>
          </cell>
        </row>
        <row r="182">
          <cell r="B182">
            <v>42918</v>
          </cell>
        </row>
        <row r="183">
          <cell r="B183">
            <v>42924</v>
          </cell>
        </row>
        <row r="184">
          <cell r="B184">
            <v>42925</v>
          </cell>
        </row>
        <row r="185">
          <cell r="B185">
            <v>42931</v>
          </cell>
        </row>
        <row r="186">
          <cell r="B186">
            <v>42932</v>
          </cell>
        </row>
        <row r="187">
          <cell r="B187">
            <v>42938</v>
          </cell>
        </row>
        <row r="188">
          <cell r="B188">
            <v>42939</v>
          </cell>
        </row>
        <row r="189">
          <cell r="B189">
            <v>42945</v>
          </cell>
        </row>
        <row r="190">
          <cell r="B190">
            <v>42946</v>
          </cell>
        </row>
        <row r="191">
          <cell r="B191">
            <v>42952</v>
          </cell>
        </row>
        <row r="192">
          <cell r="B192">
            <v>42953</v>
          </cell>
        </row>
        <row r="193">
          <cell r="B193">
            <v>42959</v>
          </cell>
        </row>
        <row r="194">
          <cell r="B194">
            <v>42960</v>
          </cell>
        </row>
        <row r="195">
          <cell r="B195">
            <v>42962</v>
          </cell>
        </row>
        <row r="196">
          <cell r="B196">
            <v>42966</v>
          </cell>
        </row>
        <row r="197">
          <cell r="B197">
            <v>42967</v>
          </cell>
        </row>
        <row r="198">
          <cell r="B198">
            <v>42973</v>
          </cell>
        </row>
        <row r="199">
          <cell r="B199">
            <v>42974</v>
          </cell>
        </row>
        <row r="200">
          <cell r="B200">
            <v>42980</v>
          </cell>
        </row>
        <row r="201">
          <cell r="B201">
            <v>42981</v>
          </cell>
        </row>
        <row r="202">
          <cell r="B202">
            <v>42987</v>
          </cell>
        </row>
        <row r="203">
          <cell r="B203">
            <v>42988</v>
          </cell>
        </row>
        <row r="204">
          <cell r="B204">
            <v>42994</v>
          </cell>
        </row>
        <row r="205">
          <cell r="B205">
            <v>42995</v>
          </cell>
        </row>
        <row r="206">
          <cell r="B206">
            <v>43001</v>
          </cell>
        </row>
        <row r="207">
          <cell r="B207">
            <v>43002</v>
          </cell>
        </row>
        <row r="208">
          <cell r="B208">
            <v>43008</v>
          </cell>
        </row>
        <row r="209">
          <cell r="B209">
            <v>43009</v>
          </cell>
        </row>
        <row r="210">
          <cell r="B210">
            <v>43011</v>
          </cell>
        </row>
        <row r="211">
          <cell r="B211">
            <v>43012</v>
          </cell>
        </row>
        <row r="212">
          <cell r="B212">
            <v>43013</v>
          </cell>
        </row>
        <row r="213">
          <cell r="B213">
            <v>43014</v>
          </cell>
        </row>
        <row r="214">
          <cell r="B214">
            <v>43015</v>
          </cell>
        </row>
        <row r="215">
          <cell r="B215">
            <v>43016</v>
          </cell>
        </row>
        <row r="216">
          <cell r="B216">
            <v>43017</v>
          </cell>
        </row>
        <row r="217">
          <cell r="B217">
            <v>43022</v>
          </cell>
        </row>
        <row r="218">
          <cell r="B218">
            <v>43023</v>
          </cell>
        </row>
        <row r="219">
          <cell r="B219">
            <v>43029</v>
          </cell>
        </row>
        <row r="220">
          <cell r="B220">
            <v>43030</v>
          </cell>
        </row>
        <row r="221">
          <cell r="B221">
            <v>43036</v>
          </cell>
        </row>
        <row r="222">
          <cell r="B222">
            <v>43037</v>
          </cell>
        </row>
        <row r="223">
          <cell r="B223">
            <v>43043</v>
          </cell>
        </row>
        <row r="224">
          <cell r="B224">
            <v>43044</v>
          </cell>
        </row>
        <row r="225">
          <cell r="B225">
            <v>43050</v>
          </cell>
        </row>
        <row r="226">
          <cell r="B226">
            <v>43051</v>
          </cell>
        </row>
        <row r="227">
          <cell r="B227">
            <v>43057</v>
          </cell>
        </row>
        <row r="228">
          <cell r="B228">
            <v>43058</v>
          </cell>
        </row>
        <row r="229">
          <cell r="B229">
            <v>43064</v>
          </cell>
        </row>
        <row r="230">
          <cell r="B230">
            <v>43065</v>
          </cell>
        </row>
        <row r="231">
          <cell r="B231">
            <v>43071</v>
          </cell>
        </row>
        <row r="232">
          <cell r="B232">
            <v>43072</v>
          </cell>
        </row>
        <row r="233">
          <cell r="B233">
            <v>43078</v>
          </cell>
        </row>
        <row r="234">
          <cell r="B234">
            <v>43079</v>
          </cell>
        </row>
        <row r="235">
          <cell r="B235">
            <v>43085</v>
          </cell>
        </row>
        <row r="236">
          <cell r="B236">
            <v>43086</v>
          </cell>
        </row>
        <row r="237">
          <cell r="B237">
            <v>43092</v>
          </cell>
        </row>
        <row r="238">
          <cell r="B238">
            <v>43093</v>
          </cell>
        </row>
        <row r="239">
          <cell r="B239">
            <v>43094</v>
          </cell>
        </row>
        <row r="240">
          <cell r="B240">
            <v>43099</v>
          </cell>
        </row>
        <row r="241">
          <cell r="B241">
            <v>43100</v>
          </cell>
        </row>
      </sheetData>
      <sheetData sheetId="4"/>
      <sheetData sheetId="5"/>
      <sheetData sheetId="6"/>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4.bin"/><Relationship Id="rId1" Type="http://schemas.openxmlformats.org/officeDocument/2006/relationships/hyperlink" Target="http://xlworks.net/"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L15"/>
  <sheetViews>
    <sheetView zoomScale="115" zoomScaleNormal="115" workbookViewId="0">
      <selection activeCell="B19" sqref="B19"/>
    </sheetView>
  </sheetViews>
  <sheetFormatPr defaultColWidth="10" defaultRowHeight="12.75"/>
  <cols>
    <col min="1" max="1" width="28.25" style="102" bestFit="1" customWidth="1"/>
    <col min="2" max="2" width="23.125" style="99" bestFit="1" customWidth="1"/>
    <col min="3" max="3" width="21.75" style="99" customWidth="1"/>
    <col min="4" max="4" width="27.375" style="99" bestFit="1" customWidth="1"/>
    <col min="5" max="5" width="12.875" style="99" bestFit="1" customWidth="1"/>
    <col min="6" max="6" width="17.75" style="99" bestFit="1" customWidth="1"/>
    <col min="7" max="7" width="21.875" style="102" bestFit="1" customWidth="1"/>
    <col min="8" max="8" width="23.75" style="102" bestFit="1" customWidth="1"/>
    <col min="9" max="9" width="9.75" style="102" bestFit="1" customWidth="1"/>
    <col min="10" max="10" width="25.125" style="102" bestFit="1" customWidth="1"/>
    <col min="11" max="11" width="4.875" style="102" bestFit="1" customWidth="1"/>
    <col min="12" max="12" width="25.125" style="102" bestFit="1" customWidth="1"/>
    <col min="13" max="13" width="4.875" style="102" bestFit="1" customWidth="1"/>
    <col min="14" max="14" width="23" style="102" bestFit="1" customWidth="1"/>
    <col min="15" max="15" width="14.5" style="102" customWidth="1"/>
    <col min="16" max="16" width="28.375" style="102" bestFit="1" customWidth="1"/>
    <col min="17" max="17" width="9.5" style="102" bestFit="1" customWidth="1"/>
    <col min="18" max="18" width="27.75" style="102" bestFit="1" customWidth="1"/>
    <col min="19" max="19" width="4.875" style="102" bestFit="1" customWidth="1"/>
    <col min="20" max="20" width="25" style="102" bestFit="1" customWidth="1"/>
    <col min="21" max="21" width="4.375" style="102" bestFit="1" customWidth="1"/>
    <col min="22" max="22" width="23" style="102" bestFit="1" customWidth="1"/>
    <col min="23" max="23" width="8.125" style="102" bestFit="1" customWidth="1"/>
    <col min="24" max="24" width="22.625" style="102" bestFit="1" customWidth="1"/>
    <col min="25" max="25" width="9.5" style="102" bestFit="1" customWidth="1"/>
    <col min="26" max="26" width="26.25" style="102" bestFit="1" customWidth="1"/>
    <col min="27" max="27" width="7.875" style="102" bestFit="1" customWidth="1"/>
    <col min="28" max="28" width="21.25" style="102" bestFit="1" customWidth="1"/>
    <col min="29" max="29" width="15.625" style="102" bestFit="1" customWidth="1"/>
    <col min="30" max="30" width="23.5" style="102" bestFit="1" customWidth="1"/>
    <col min="31" max="31" width="15.25" style="102" bestFit="1" customWidth="1"/>
    <col min="32" max="32" width="22.625" style="102" bestFit="1" customWidth="1"/>
    <col min="33" max="33" width="60.875" style="102" bestFit="1" customWidth="1"/>
    <col min="34" max="34" width="28.375" style="102" bestFit="1" customWidth="1"/>
    <col min="35" max="35" width="11.5" style="102" bestFit="1" customWidth="1"/>
    <col min="36" max="36" width="25.125" style="102" bestFit="1" customWidth="1"/>
    <col min="37" max="37" width="4" style="102" bestFit="1" customWidth="1"/>
    <col min="38" max="38" width="14.875" style="102" bestFit="1" customWidth="1"/>
    <col min="39" max="39" width="11.625" style="102" bestFit="1" customWidth="1"/>
    <col min="40" max="40" width="22.625" style="102" bestFit="1" customWidth="1"/>
    <col min="41" max="41" width="5.875" style="102" bestFit="1" customWidth="1"/>
    <col min="42" max="42" width="15.875" style="102" bestFit="1" customWidth="1"/>
    <col min="43" max="43" width="6.375" style="102" bestFit="1" customWidth="1"/>
    <col min="44" max="44" width="13.25" style="102" bestFit="1" customWidth="1"/>
    <col min="45" max="45" width="3.25" style="102" bestFit="1" customWidth="1"/>
    <col min="46" max="46" width="14.875" style="102" bestFit="1" customWidth="1"/>
    <col min="47" max="47" width="28.625" style="102" bestFit="1" customWidth="1"/>
    <col min="48" max="48" width="22.625" style="102" bestFit="1" customWidth="1"/>
    <col min="49" max="49" width="5.375" style="102" bestFit="1" customWidth="1"/>
    <col min="50" max="50" width="15.875" style="102" bestFit="1" customWidth="1"/>
    <col min="51" max="51" width="10" style="102"/>
    <col min="52" max="52" width="13.25" style="102" bestFit="1" customWidth="1"/>
    <col min="53" max="53" width="10" style="102"/>
    <col min="54" max="54" width="14.875" style="102" bestFit="1" customWidth="1"/>
    <col min="55" max="55" width="10" style="102"/>
    <col min="56" max="56" width="22.625" style="102" bestFit="1" customWidth="1"/>
    <col min="57" max="57" width="10" style="102"/>
    <col min="58" max="58" width="15.875" style="102" bestFit="1" customWidth="1"/>
    <col min="59" max="59" width="10" style="102"/>
    <col min="60" max="60" width="13.25" style="102" bestFit="1" customWidth="1"/>
    <col min="61" max="61" width="10" style="102"/>
    <col min="62" max="62" width="14.875" style="102" bestFit="1" customWidth="1"/>
    <col min="63" max="63" width="10" style="102"/>
    <col min="64" max="64" width="22.625" style="102" bestFit="1" customWidth="1"/>
    <col min="65" max="65" width="10" style="102"/>
    <col min="66" max="66" width="33.75" style="102" bestFit="1" customWidth="1"/>
    <col min="67" max="16384" width="10" style="102"/>
  </cols>
  <sheetData>
    <row r="1" spans="1:64" s="99" customFormat="1">
      <c r="A1" s="98" t="s">
        <v>5</v>
      </c>
      <c r="B1" s="98" t="s">
        <v>6</v>
      </c>
      <c r="C1" s="98" t="s">
        <v>7</v>
      </c>
      <c r="D1" s="98" t="s">
        <v>8</v>
      </c>
      <c r="E1" s="98" t="s">
        <v>9</v>
      </c>
      <c r="F1" s="98" t="s">
        <v>10</v>
      </c>
    </row>
    <row r="2" spans="1:64">
      <c r="A2" s="100" t="s">
        <v>11</v>
      </c>
      <c r="B2" s="101" t="s">
        <v>12</v>
      </c>
      <c r="C2" s="101"/>
      <c r="D2" s="101"/>
      <c r="E2" s="101" t="s">
        <v>13</v>
      </c>
      <c r="F2" s="101"/>
    </row>
    <row r="3" spans="1:64">
      <c r="A3" s="100" t="s">
        <v>399</v>
      </c>
      <c r="B3" s="101" t="s">
        <v>12</v>
      </c>
      <c r="C3" s="101"/>
      <c r="D3" s="101"/>
      <c r="E3" s="101" t="s">
        <v>13</v>
      </c>
      <c r="F3" s="101"/>
    </row>
    <row r="4" spans="1:64">
      <c r="A4" s="100" t="s">
        <v>14</v>
      </c>
      <c r="B4" s="111" t="s">
        <v>400</v>
      </c>
      <c r="C4" s="101"/>
      <c r="D4" s="101"/>
      <c r="E4" s="101" t="s">
        <v>13</v>
      </c>
      <c r="F4" s="101"/>
    </row>
    <row r="5" spans="1:64">
      <c r="A5" s="100" t="s">
        <v>15</v>
      </c>
      <c r="B5" s="101" t="s">
        <v>16</v>
      </c>
      <c r="C5" s="101"/>
      <c r="D5" s="101"/>
      <c r="E5" s="101" t="s">
        <v>13</v>
      </c>
      <c r="F5" s="101"/>
    </row>
    <row r="6" spans="1:64">
      <c r="A6" s="100" t="s">
        <v>17</v>
      </c>
      <c r="B6" s="111" t="s">
        <v>18</v>
      </c>
      <c r="C6" s="101"/>
      <c r="D6" s="101"/>
      <c r="E6" s="101" t="s">
        <v>13</v>
      </c>
      <c r="F6" s="101"/>
    </row>
    <row r="7" spans="1:64">
      <c r="A7" s="100" t="s">
        <v>19</v>
      </c>
      <c r="B7" s="100" t="s">
        <v>12</v>
      </c>
      <c r="C7" s="101"/>
      <c r="D7" s="101"/>
      <c r="E7" s="101" t="s">
        <v>13</v>
      </c>
      <c r="F7" s="101"/>
    </row>
    <row r="8" spans="1:64">
      <c r="A8" s="100" t="s">
        <v>20</v>
      </c>
      <c r="B8" s="103" t="s">
        <v>956</v>
      </c>
      <c r="C8" s="101" t="s">
        <v>1188</v>
      </c>
      <c r="D8" s="101">
        <v>82</v>
      </c>
      <c r="E8" s="101" t="s">
        <v>21</v>
      </c>
      <c r="F8" s="101"/>
    </row>
    <row r="9" spans="1:64">
      <c r="A9" s="100" t="s">
        <v>22</v>
      </c>
      <c r="B9" s="104">
        <v>43387</v>
      </c>
      <c r="C9" s="101"/>
      <c r="D9" s="101"/>
      <c r="E9" s="101" t="s">
        <v>13</v>
      </c>
      <c r="F9" s="101"/>
    </row>
    <row r="10" spans="1:64">
      <c r="A10" s="105" t="s">
        <v>23</v>
      </c>
      <c r="B10" s="106" t="s">
        <v>24</v>
      </c>
      <c r="C10" s="106"/>
      <c r="D10" s="106"/>
      <c r="E10" s="106" t="s">
        <v>13</v>
      </c>
      <c r="F10" s="106"/>
    </row>
    <row r="11" spans="1:64">
      <c r="A11" s="102" t="s">
        <v>401</v>
      </c>
      <c r="B11" s="107" t="s">
        <v>25</v>
      </c>
      <c r="C11" s="99" t="s">
        <v>1125</v>
      </c>
      <c r="D11" s="99" t="s">
        <v>26</v>
      </c>
      <c r="E11" s="108">
        <v>1</v>
      </c>
      <c r="F11" s="109" t="s">
        <v>27</v>
      </c>
      <c r="G11" s="110">
        <v>43626</v>
      </c>
      <c r="H11" s="109" t="s">
        <v>28</v>
      </c>
      <c r="I11" s="110">
        <v>43674</v>
      </c>
      <c r="J11" s="102" t="s">
        <v>418</v>
      </c>
      <c r="K11" s="102" t="s">
        <v>1189</v>
      </c>
      <c r="L11" s="102" t="s">
        <v>415</v>
      </c>
      <c r="M11" s="102">
        <v>1</v>
      </c>
      <c r="N11" s="107" t="s">
        <v>29</v>
      </c>
      <c r="O11" s="99">
        <v>0</v>
      </c>
      <c r="P11" s="99" t="s">
        <v>30</v>
      </c>
      <c r="Q11" s="107" t="s">
        <v>1014</v>
      </c>
      <c r="R11" s="102" t="s">
        <v>420</v>
      </c>
      <c r="S11" s="102">
        <v>1</v>
      </c>
      <c r="T11" s="102" t="s">
        <v>425</v>
      </c>
      <c r="U11" s="102">
        <v>1</v>
      </c>
      <c r="V11" s="102" t="s">
        <v>426</v>
      </c>
      <c r="W11" s="102">
        <v>0</v>
      </c>
      <c r="X11" s="102" t="s">
        <v>429</v>
      </c>
      <c r="Y11" s="102">
        <v>1</v>
      </c>
    </row>
    <row r="12" spans="1:64">
      <c r="A12" s="102" t="s">
        <v>404</v>
      </c>
      <c r="B12" s="102" t="s">
        <v>405</v>
      </c>
      <c r="C12" s="102">
        <v>1</v>
      </c>
      <c r="D12" s="102" t="s">
        <v>406</v>
      </c>
      <c r="E12" s="102">
        <v>1</v>
      </c>
      <c r="F12" s="102" t="s">
        <v>407</v>
      </c>
      <c r="G12" s="102">
        <v>0</v>
      </c>
      <c r="H12" s="102" t="s">
        <v>408</v>
      </c>
      <c r="I12" s="102">
        <v>1</v>
      </c>
      <c r="J12" s="102" t="s">
        <v>409</v>
      </c>
      <c r="K12" s="102">
        <v>0.7</v>
      </c>
      <c r="L12" s="102" t="s">
        <v>410</v>
      </c>
      <c r="M12" s="102">
        <v>2</v>
      </c>
      <c r="N12" s="102" t="s">
        <v>411</v>
      </c>
      <c r="O12" s="102">
        <v>1</v>
      </c>
      <c r="P12" s="102" t="s">
        <v>414</v>
      </c>
      <c r="Q12" s="102">
        <v>1</v>
      </c>
      <c r="R12" s="102" t="s">
        <v>421</v>
      </c>
      <c r="S12" s="102">
        <v>7</v>
      </c>
      <c r="T12" s="102" t="s">
        <v>422</v>
      </c>
      <c r="U12" s="102">
        <v>0</v>
      </c>
      <c r="V12" s="102" t="s">
        <v>423</v>
      </c>
      <c r="W12" s="102">
        <v>100</v>
      </c>
      <c r="X12" s="102" t="s">
        <v>424</v>
      </c>
      <c r="Y12" s="102">
        <v>0</v>
      </c>
      <c r="Z12" s="102" t="s">
        <v>427</v>
      </c>
      <c r="AA12" s="102">
        <v>1</v>
      </c>
      <c r="AB12" s="102" t="s">
        <v>428</v>
      </c>
      <c r="AC12" s="102">
        <v>1</v>
      </c>
      <c r="AD12" s="102" t="s">
        <v>953</v>
      </c>
      <c r="AE12" s="102">
        <v>1</v>
      </c>
    </row>
    <row r="13" spans="1:64">
      <c r="A13" s="101" t="s">
        <v>402</v>
      </c>
      <c r="B13" s="107" t="s">
        <v>31</v>
      </c>
      <c r="C13" s="99">
        <v>1</v>
      </c>
      <c r="D13" s="107" t="s">
        <v>32</v>
      </c>
      <c r="E13" s="99" t="s">
        <v>1108</v>
      </c>
      <c r="F13" s="99" t="s">
        <v>33</v>
      </c>
      <c r="G13" s="109" t="s">
        <v>1126</v>
      </c>
      <c r="H13" s="109" t="s">
        <v>34</v>
      </c>
      <c r="I13" s="102" t="s">
        <v>963</v>
      </c>
    </row>
    <row r="14" spans="1:64">
      <c r="A14" s="101" t="s">
        <v>403</v>
      </c>
      <c r="B14" s="108" t="s">
        <v>35</v>
      </c>
      <c r="C14" s="108" t="s">
        <v>1109</v>
      </c>
      <c r="D14" s="108" t="s">
        <v>36</v>
      </c>
      <c r="E14" s="108" t="s">
        <v>1110</v>
      </c>
      <c r="F14" s="108" t="s">
        <v>37</v>
      </c>
      <c r="G14" s="108" t="s">
        <v>1111</v>
      </c>
      <c r="H14" s="108" t="s">
        <v>38</v>
      </c>
      <c r="I14" s="108" t="b">
        <v>0</v>
      </c>
      <c r="J14" s="108" t="s">
        <v>39</v>
      </c>
      <c r="K14" s="108" t="s">
        <v>1112</v>
      </c>
      <c r="L14" s="108" t="s">
        <v>40</v>
      </c>
      <c r="M14" s="108" t="s">
        <v>1113</v>
      </c>
      <c r="N14" s="108" t="s">
        <v>41</v>
      </c>
      <c r="O14" s="108" t="s">
        <v>1111</v>
      </c>
      <c r="P14" s="108" t="s">
        <v>42</v>
      </c>
      <c r="Q14" s="108" t="b">
        <v>0</v>
      </c>
      <c r="R14" s="108" t="s">
        <v>43</v>
      </c>
      <c r="S14" s="108" t="s">
        <v>1121</v>
      </c>
      <c r="T14" s="108" t="s">
        <v>44</v>
      </c>
      <c r="U14" s="108" t="s">
        <v>1114</v>
      </c>
      <c r="V14" s="108" t="s">
        <v>45</v>
      </c>
      <c r="W14" s="108" t="s">
        <v>1111</v>
      </c>
      <c r="X14" s="108" t="s">
        <v>46</v>
      </c>
      <c r="Y14" s="108" t="b">
        <v>1</v>
      </c>
      <c r="Z14" s="108" t="s">
        <v>47</v>
      </c>
      <c r="AA14" s="108" t="s">
        <v>1115</v>
      </c>
      <c r="AB14" s="108" t="s">
        <v>48</v>
      </c>
      <c r="AC14" s="108" t="s">
        <v>1122</v>
      </c>
      <c r="AD14" s="108" t="s">
        <v>49</v>
      </c>
      <c r="AE14" s="108" t="s">
        <v>1015</v>
      </c>
      <c r="AF14" s="108" t="s">
        <v>50</v>
      </c>
      <c r="AG14" s="108" t="b">
        <v>1</v>
      </c>
      <c r="AH14" s="108" t="s">
        <v>51</v>
      </c>
      <c r="AI14" s="108" t="s">
        <v>1123</v>
      </c>
      <c r="AJ14" s="108" t="s">
        <v>52</v>
      </c>
      <c r="AK14" s="108" t="s">
        <v>1116</v>
      </c>
      <c r="AL14" s="108" t="s">
        <v>53</v>
      </c>
      <c r="AM14" s="108" t="s">
        <v>1127</v>
      </c>
      <c r="AN14" s="108" t="s">
        <v>54</v>
      </c>
      <c r="AO14" s="108" t="b">
        <v>0</v>
      </c>
      <c r="AP14" s="108" t="s">
        <v>55</v>
      </c>
      <c r="AQ14" s="108" t="s">
        <v>1124</v>
      </c>
      <c r="AR14" s="108" t="s">
        <v>56</v>
      </c>
      <c r="AS14" s="108" t="s">
        <v>1117</v>
      </c>
      <c r="AT14" s="108" t="s">
        <v>57</v>
      </c>
      <c r="AU14" s="108" t="s">
        <v>1118</v>
      </c>
      <c r="AV14" s="108" t="s">
        <v>58</v>
      </c>
      <c r="AW14" s="108" t="b">
        <v>1</v>
      </c>
      <c r="AX14" s="102" t="s">
        <v>59</v>
      </c>
      <c r="AZ14" s="102" t="s">
        <v>60</v>
      </c>
      <c r="BB14" s="102" t="s">
        <v>61</v>
      </c>
      <c r="BD14" s="102" t="s">
        <v>62</v>
      </c>
      <c r="BF14" s="102" t="s">
        <v>63</v>
      </c>
      <c r="BH14" s="102" t="s">
        <v>64</v>
      </c>
      <c r="BJ14" s="102" t="s">
        <v>65</v>
      </c>
      <c r="BL14" s="102" t="s">
        <v>66</v>
      </c>
    </row>
    <row r="15" spans="1:64">
      <c r="A15" s="101" t="s">
        <v>419</v>
      </c>
      <c r="B15" s="102" t="s">
        <v>412</v>
      </c>
      <c r="C15" s="102">
        <v>0</v>
      </c>
      <c r="D15" s="102" t="s">
        <v>413</v>
      </c>
      <c r="E15" s="102">
        <v>1</v>
      </c>
      <c r="F15" s="102" t="s">
        <v>416</v>
      </c>
      <c r="G15" s="102" t="s">
        <v>1120</v>
      </c>
      <c r="H15" s="102" t="s">
        <v>417</v>
      </c>
      <c r="I15" s="102">
        <v>82</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F435"/>
  <sheetViews>
    <sheetView zoomScaleNormal="100" workbookViewId="0">
      <pane ySplit="1" topLeftCell="A103" activePane="bottomLeft" state="frozen"/>
      <selection pane="bottomLeft" activeCell="D116" sqref="D116"/>
    </sheetView>
  </sheetViews>
  <sheetFormatPr defaultColWidth="73.375" defaultRowHeight="12"/>
  <cols>
    <col min="1" max="1" width="7.625" style="126" bestFit="1" customWidth="1"/>
    <col min="2" max="2" width="8.375" style="139" bestFit="1" customWidth="1"/>
    <col min="3" max="3" width="15.75" style="136" customWidth="1"/>
    <col min="4" max="4" width="60.625" style="127" customWidth="1"/>
    <col min="5" max="5" width="60.625" style="140" customWidth="1"/>
    <col min="6" max="16384" width="73.375" style="126"/>
  </cols>
  <sheetData>
    <row r="1" spans="1:5" s="124" customFormat="1" ht="24.75" customHeight="1">
      <c r="A1" s="124" t="s">
        <v>899</v>
      </c>
      <c r="B1" s="124" t="s">
        <v>900</v>
      </c>
      <c r="C1" s="125" t="s">
        <v>901</v>
      </c>
      <c r="D1" s="125" t="s">
        <v>67</v>
      </c>
      <c r="E1" s="125" t="s">
        <v>68</v>
      </c>
    </row>
    <row r="2" spans="1:5" ht="60">
      <c r="A2" s="126" t="s">
        <v>1119</v>
      </c>
      <c r="B2" s="139">
        <v>1</v>
      </c>
      <c r="D2" s="127" t="s">
        <v>902</v>
      </c>
      <c r="E2" s="140" t="s">
        <v>588</v>
      </c>
    </row>
    <row r="3" spans="1:5" ht="112.5" customHeight="1">
      <c r="A3" s="128">
        <v>450</v>
      </c>
      <c r="B3" s="139">
        <v>2</v>
      </c>
      <c r="D3" s="127" t="s">
        <v>515</v>
      </c>
      <c r="E3" s="140" t="s">
        <v>903</v>
      </c>
    </row>
    <row r="4" spans="1:5" ht="48">
      <c r="B4" s="139">
        <v>3</v>
      </c>
      <c r="D4" s="127" t="s">
        <v>904</v>
      </c>
      <c r="E4" s="140" t="s">
        <v>589</v>
      </c>
    </row>
    <row r="5" spans="1:5" ht="48">
      <c r="B5" s="139">
        <v>4</v>
      </c>
      <c r="D5" s="127" t="s">
        <v>905</v>
      </c>
      <c r="E5" s="140" t="s">
        <v>590</v>
      </c>
    </row>
    <row r="6" spans="1:5" ht="60">
      <c r="B6" s="139">
        <v>5</v>
      </c>
      <c r="D6" s="127" t="s">
        <v>906</v>
      </c>
      <c r="E6" s="140" t="s">
        <v>591</v>
      </c>
    </row>
    <row r="7" spans="1:5" ht="36">
      <c r="B7" s="139">
        <v>6</v>
      </c>
      <c r="D7" s="127" t="s">
        <v>907</v>
      </c>
      <c r="E7" s="140" t="s">
        <v>592</v>
      </c>
    </row>
    <row r="8" spans="1:5">
      <c r="B8" s="139">
        <v>7</v>
      </c>
      <c r="D8" s="127" t="s">
        <v>893</v>
      </c>
      <c r="E8" s="140" t="s">
        <v>908</v>
      </c>
    </row>
    <row r="9" spans="1:5">
      <c r="B9" s="139">
        <v>101</v>
      </c>
      <c r="D9" s="127" t="s">
        <v>69</v>
      </c>
      <c r="E9" s="140" t="s">
        <v>593</v>
      </c>
    </row>
    <row r="10" spans="1:5">
      <c r="B10" s="139">
        <v>102</v>
      </c>
      <c r="D10" s="127" t="s">
        <v>70</v>
      </c>
      <c r="E10" s="140" t="s">
        <v>594</v>
      </c>
    </row>
    <row r="11" spans="1:5">
      <c r="B11" s="139">
        <v>103</v>
      </c>
      <c r="D11" s="127" t="s">
        <v>71</v>
      </c>
      <c r="E11" s="140" t="s">
        <v>595</v>
      </c>
    </row>
    <row r="12" spans="1:5">
      <c r="B12" s="139">
        <v>104</v>
      </c>
      <c r="D12" s="127" t="s">
        <v>72</v>
      </c>
      <c r="E12" s="140" t="s">
        <v>596</v>
      </c>
    </row>
    <row r="13" spans="1:5">
      <c r="B13" s="139">
        <v>105</v>
      </c>
      <c r="D13" s="127" t="s">
        <v>73</v>
      </c>
      <c r="E13" s="140" t="s">
        <v>597</v>
      </c>
    </row>
    <row r="14" spans="1:5">
      <c r="B14" s="139">
        <v>106</v>
      </c>
      <c r="D14" s="127" t="s">
        <v>433</v>
      </c>
      <c r="E14" s="140" t="s">
        <v>598</v>
      </c>
    </row>
    <row r="15" spans="1:5" ht="36">
      <c r="B15" s="139">
        <v>107</v>
      </c>
      <c r="D15" s="127" t="s">
        <v>434</v>
      </c>
      <c r="E15" s="140" t="s">
        <v>599</v>
      </c>
    </row>
    <row r="16" spans="1:5" ht="36">
      <c r="B16" s="139">
        <v>108</v>
      </c>
      <c r="D16" s="127" t="s">
        <v>435</v>
      </c>
      <c r="E16" s="140" t="s">
        <v>600</v>
      </c>
    </row>
    <row r="17" spans="1:6">
      <c r="B17" s="139">
        <v>109</v>
      </c>
      <c r="D17" s="127" t="s">
        <v>74</v>
      </c>
      <c r="E17" s="140" t="s">
        <v>518</v>
      </c>
    </row>
    <row r="18" spans="1:6">
      <c r="B18" s="139">
        <v>110</v>
      </c>
      <c r="D18" s="127" t="s">
        <v>75</v>
      </c>
      <c r="E18" s="140" t="s">
        <v>601</v>
      </c>
    </row>
    <row r="19" spans="1:6">
      <c r="B19" s="139">
        <v>111</v>
      </c>
      <c r="D19" s="127" t="s">
        <v>76</v>
      </c>
      <c r="E19" s="140" t="s">
        <v>602</v>
      </c>
    </row>
    <row r="20" spans="1:6">
      <c r="A20" s="129"/>
      <c r="B20" s="139">
        <v>112</v>
      </c>
      <c r="C20" s="138" t="s">
        <v>909</v>
      </c>
      <c r="D20" s="128" t="s">
        <v>910</v>
      </c>
      <c r="E20" s="128" t="s">
        <v>516</v>
      </c>
      <c r="F20" s="130"/>
    </row>
    <row r="21" spans="1:6">
      <c r="B21" s="139">
        <v>113</v>
      </c>
      <c r="D21" s="127" t="s">
        <v>77</v>
      </c>
      <c r="E21" s="140" t="s">
        <v>519</v>
      </c>
    </row>
    <row r="22" spans="1:6">
      <c r="B22" s="139">
        <v>114</v>
      </c>
      <c r="D22" s="127" t="s">
        <v>78</v>
      </c>
      <c r="E22" s="140" t="s">
        <v>603</v>
      </c>
    </row>
    <row r="23" spans="1:6">
      <c r="B23" s="139">
        <v>115</v>
      </c>
      <c r="D23" s="127" t="s">
        <v>79</v>
      </c>
      <c r="E23" s="140" t="s">
        <v>604</v>
      </c>
    </row>
    <row r="24" spans="1:6" ht="24">
      <c r="B24" s="139">
        <v>116</v>
      </c>
      <c r="D24" s="127" t="s">
        <v>436</v>
      </c>
      <c r="E24" s="140" t="s">
        <v>605</v>
      </c>
    </row>
    <row r="25" spans="1:6">
      <c r="B25" s="139">
        <v>117</v>
      </c>
      <c r="D25" s="127" t="s">
        <v>437</v>
      </c>
      <c r="E25" s="140" t="s">
        <v>606</v>
      </c>
    </row>
    <row r="26" spans="1:6" ht="24">
      <c r="B26" s="139">
        <v>118</v>
      </c>
      <c r="D26" s="127" t="s">
        <v>80</v>
      </c>
      <c r="E26" s="140" t="s">
        <v>607</v>
      </c>
    </row>
    <row r="27" spans="1:6">
      <c r="B27" s="139">
        <v>119</v>
      </c>
      <c r="D27" s="127" t="s">
        <v>81</v>
      </c>
      <c r="E27" s="140" t="s">
        <v>608</v>
      </c>
    </row>
    <row r="28" spans="1:6">
      <c r="B28" s="139">
        <v>120</v>
      </c>
      <c r="D28" s="127" t="s">
        <v>431</v>
      </c>
      <c r="E28" s="140" t="s">
        <v>609</v>
      </c>
    </row>
    <row r="29" spans="1:6">
      <c r="B29" s="139">
        <v>121</v>
      </c>
      <c r="D29" s="127" t="s">
        <v>82</v>
      </c>
      <c r="E29" s="140" t="s">
        <v>610</v>
      </c>
    </row>
    <row r="30" spans="1:6">
      <c r="B30" s="139">
        <v>122</v>
      </c>
      <c r="D30" s="127" t="s">
        <v>83</v>
      </c>
      <c r="E30" s="140" t="s">
        <v>611</v>
      </c>
    </row>
    <row r="31" spans="1:6">
      <c r="B31" s="139">
        <v>123</v>
      </c>
      <c r="D31" s="127" t="s">
        <v>84</v>
      </c>
      <c r="E31" s="140" t="s">
        <v>612</v>
      </c>
    </row>
    <row r="32" spans="1:6">
      <c r="B32" s="139">
        <v>124</v>
      </c>
      <c r="D32" s="127" t="s">
        <v>85</v>
      </c>
      <c r="E32" s="140" t="s">
        <v>613</v>
      </c>
    </row>
    <row r="33" spans="2:5" ht="24">
      <c r="B33" s="139">
        <v>125</v>
      </c>
      <c r="D33" s="127" t="s">
        <v>432</v>
      </c>
      <c r="E33" s="140" t="s">
        <v>614</v>
      </c>
    </row>
    <row r="34" spans="2:5">
      <c r="B34" s="139">
        <v>126</v>
      </c>
      <c r="D34" s="127" t="s">
        <v>86</v>
      </c>
      <c r="E34" s="140" t="s">
        <v>615</v>
      </c>
    </row>
    <row r="35" spans="2:5">
      <c r="B35" s="139">
        <v>127</v>
      </c>
      <c r="D35" s="127" t="s">
        <v>87</v>
      </c>
      <c r="E35" s="140" t="s">
        <v>616</v>
      </c>
    </row>
    <row r="36" spans="2:5">
      <c r="B36" s="139">
        <v>128</v>
      </c>
      <c r="D36" s="127" t="s">
        <v>438</v>
      </c>
      <c r="E36" s="140" t="s">
        <v>617</v>
      </c>
    </row>
    <row r="37" spans="2:5">
      <c r="B37" s="139">
        <v>129</v>
      </c>
      <c r="D37" s="127" t="s">
        <v>88</v>
      </c>
      <c r="E37" s="140" t="s">
        <v>618</v>
      </c>
    </row>
    <row r="38" spans="2:5">
      <c r="B38" s="139">
        <v>130</v>
      </c>
      <c r="D38" s="127" t="s">
        <v>89</v>
      </c>
      <c r="E38" s="140" t="s">
        <v>520</v>
      </c>
    </row>
    <row r="39" spans="2:5">
      <c r="B39" s="139">
        <v>131</v>
      </c>
      <c r="D39" s="127" t="s">
        <v>90</v>
      </c>
      <c r="E39" s="140" t="s">
        <v>521</v>
      </c>
    </row>
    <row r="40" spans="2:5">
      <c r="B40" s="139">
        <v>132</v>
      </c>
      <c r="D40" s="132" t="s">
        <v>439</v>
      </c>
      <c r="E40" s="133">
        <v>43435</v>
      </c>
    </row>
    <row r="41" spans="2:5">
      <c r="B41" s="139">
        <v>133</v>
      </c>
      <c r="D41" s="132" t="s">
        <v>439</v>
      </c>
      <c r="E41" s="133">
        <v>43435</v>
      </c>
    </row>
    <row r="42" spans="2:5">
      <c r="B42" s="139">
        <v>134</v>
      </c>
      <c r="D42" s="132" t="s">
        <v>440</v>
      </c>
      <c r="E42" s="133">
        <v>43465</v>
      </c>
    </row>
    <row r="43" spans="2:5">
      <c r="B43" s="139">
        <v>135</v>
      </c>
      <c r="D43" s="132" t="s">
        <v>440</v>
      </c>
      <c r="E43" s="133">
        <v>43465</v>
      </c>
    </row>
    <row r="44" spans="2:5">
      <c r="B44" s="139">
        <v>136</v>
      </c>
      <c r="D44" s="127" t="s">
        <v>91</v>
      </c>
      <c r="E44" s="140" t="s">
        <v>91</v>
      </c>
    </row>
    <row r="45" spans="2:5">
      <c r="B45" s="139">
        <v>137</v>
      </c>
      <c r="D45" s="127" t="s">
        <v>92</v>
      </c>
      <c r="E45" s="140" t="s">
        <v>619</v>
      </c>
    </row>
    <row r="46" spans="2:5">
      <c r="B46" s="139">
        <v>138</v>
      </c>
      <c r="C46" s="136" t="s">
        <v>911</v>
      </c>
      <c r="D46" s="127" t="s">
        <v>912</v>
      </c>
      <c r="E46" s="146" t="s">
        <v>913</v>
      </c>
    </row>
    <row r="47" spans="2:5">
      <c r="B47" s="139">
        <v>139</v>
      </c>
      <c r="D47" s="127" t="s">
        <v>93</v>
      </c>
      <c r="E47" s="140" t="s">
        <v>620</v>
      </c>
    </row>
    <row r="48" spans="2:5">
      <c r="B48" s="139">
        <v>140</v>
      </c>
      <c r="D48" s="127" t="s">
        <v>94</v>
      </c>
      <c r="E48" s="140" t="s">
        <v>621</v>
      </c>
    </row>
    <row r="49" spans="1:6">
      <c r="B49" s="139">
        <v>141</v>
      </c>
      <c r="D49" s="127" t="s">
        <v>441</v>
      </c>
      <c r="E49" s="140" t="s">
        <v>522</v>
      </c>
    </row>
    <row r="50" spans="1:6">
      <c r="B50" s="139">
        <v>142</v>
      </c>
      <c r="D50" s="127" t="s">
        <v>95</v>
      </c>
      <c r="E50" s="140" t="s">
        <v>523</v>
      </c>
    </row>
    <row r="51" spans="1:6">
      <c r="B51" s="139">
        <v>143</v>
      </c>
      <c r="D51" s="127" t="s">
        <v>96</v>
      </c>
      <c r="E51" s="140" t="s">
        <v>622</v>
      </c>
    </row>
    <row r="52" spans="1:6">
      <c r="B52" s="139">
        <v>144</v>
      </c>
      <c r="D52" s="127" t="s">
        <v>97</v>
      </c>
      <c r="E52" s="140" t="s">
        <v>623</v>
      </c>
    </row>
    <row r="53" spans="1:6" ht="24">
      <c r="B53" s="139">
        <v>145</v>
      </c>
      <c r="D53" s="127" t="s">
        <v>98</v>
      </c>
      <c r="E53" s="140" t="s">
        <v>624</v>
      </c>
    </row>
    <row r="54" spans="1:6">
      <c r="B54" s="139">
        <v>146</v>
      </c>
      <c r="D54" s="127" t="s">
        <v>99</v>
      </c>
      <c r="E54" s="140" t="s">
        <v>625</v>
      </c>
    </row>
    <row r="55" spans="1:6">
      <c r="B55" s="139">
        <v>147</v>
      </c>
      <c r="D55" s="127" t="s">
        <v>442</v>
      </c>
      <c r="E55" s="140" t="s">
        <v>524</v>
      </c>
    </row>
    <row r="56" spans="1:6">
      <c r="B56" s="139">
        <v>148</v>
      </c>
      <c r="D56" s="127" t="s">
        <v>100</v>
      </c>
      <c r="E56" s="140" t="s">
        <v>525</v>
      </c>
    </row>
    <row r="57" spans="1:6">
      <c r="B57" s="139">
        <v>149</v>
      </c>
      <c r="D57" s="127" t="s">
        <v>101</v>
      </c>
      <c r="E57" s="140" t="s">
        <v>626</v>
      </c>
    </row>
    <row r="58" spans="1:6">
      <c r="B58" s="139">
        <v>150</v>
      </c>
      <c r="D58" s="127" t="s">
        <v>102</v>
      </c>
      <c r="E58" s="140" t="s">
        <v>627</v>
      </c>
    </row>
    <row r="59" spans="1:6" ht="24">
      <c r="B59" s="139">
        <v>151</v>
      </c>
      <c r="D59" s="127" t="s">
        <v>103</v>
      </c>
      <c r="E59" s="140" t="s">
        <v>628</v>
      </c>
    </row>
    <row r="60" spans="1:6">
      <c r="B60" s="139">
        <v>152</v>
      </c>
      <c r="D60" s="127" t="s">
        <v>443</v>
      </c>
      <c r="E60" s="140" t="s">
        <v>629</v>
      </c>
    </row>
    <row r="61" spans="1:6">
      <c r="A61" s="131"/>
      <c r="B61" s="139">
        <v>153</v>
      </c>
      <c r="C61" s="138" t="s">
        <v>510</v>
      </c>
      <c r="D61" s="128" t="s">
        <v>914</v>
      </c>
      <c r="E61" s="128" t="s">
        <v>915</v>
      </c>
      <c r="F61" s="130"/>
    </row>
    <row r="62" spans="1:6" ht="12.75">
      <c r="B62" s="139">
        <v>154</v>
      </c>
      <c r="D62" s="127" t="s">
        <v>104</v>
      </c>
      <c r="E62" s="148" t="s">
        <v>897</v>
      </c>
    </row>
    <row r="63" spans="1:6" ht="12.75">
      <c r="B63" s="139">
        <v>155</v>
      </c>
      <c r="D63" s="127" t="s">
        <v>105</v>
      </c>
      <c r="E63" s="148" t="s">
        <v>916</v>
      </c>
    </row>
    <row r="64" spans="1:6">
      <c r="A64" s="131"/>
      <c r="B64" s="139">
        <v>156</v>
      </c>
      <c r="C64" s="138" t="s">
        <v>917</v>
      </c>
      <c r="D64" s="128" t="s">
        <v>918</v>
      </c>
      <c r="E64" s="128" t="s">
        <v>919</v>
      </c>
      <c r="F64" s="130"/>
    </row>
    <row r="65" spans="1:6">
      <c r="A65" s="131"/>
      <c r="B65" s="139">
        <v>157</v>
      </c>
      <c r="C65" s="138" t="s">
        <v>510</v>
      </c>
      <c r="D65" s="128" t="s">
        <v>920</v>
      </c>
      <c r="E65" s="128" t="s">
        <v>921</v>
      </c>
      <c r="F65" s="130"/>
    </row>
    <row r="66" spans="1:6">
      <c r="A66" s="131"/>
      <c r="B66" s="139">
        <v>158</v>
      </c>
      <c r="C66" s="138" t="s">
        <v>510</v>
      </c>
      <c r="D66" s="128" t="s">
        <v>922</v>
      </c>
      <c r="E66" s="128" t="s">
        <v>923</v>
      </c>
      <c r="F66" s="130"/>
    </row>
    <row r="67" spans="1:6">
      <c r="A67" s="131"/>
      <c r="B67" s="139">
        <v>159</v>
      </c>
      <c r="C67" s="138" t="s">
        <v>917</v>
      </c>
      <c r="D67" s="128" t="s">
        <v>894</v>
      </c>
      <c r="E67" s="128" t="s">
        <v>924</v>
      </c>
      <c r="F67" s="130"/>
    </row>
    <row r="68" spans="1:6">
      <c r="B68" s="139">
        <v>160</v>
      </c>
      <c r="D68" s="127" t="s">
        <v>106</v>
      </c>
      <c r="E68" s="140" t="s">
        <v>925</v>
      </c>
    </row>
    <row r="69" spans="1:6">
      <c r="B69" s="139">
        <v>161</v>
      </c>
      <c r="D69" s="127" t="s">
        <v>107</v>
      </c>
      <c r="E69" s="140" t="s">
        <v>926</v>
      </c>
    </row>
    <row r="70" spans="1:6">
      <c r="B70" s="139">
        <v>162</v>
      </c>
      <c r="D70" s="127" t="s">
        <v>927</v>
      </c>
      <c r="E70" s="140" t="s">
        <v>895</v>
      </c>
    </row>
    <row r="71" spans="1:6">
      <c r="B71" s="139">
        <v>163</v>
      </c>
      <c r="D71" s="127" t="s">
        <v>108</v>
      </c>
      <c r="E71" s="140" t="s">
        <v>928</v>
      </c>
    </row>
    <row r="72" spans="1:6">
      <c r="B72" s="139">
        <v>164</v>
      </c>
      <c r="D72" s="127" t="s">
        <v>109</v>
      </c>
      <c r="E72" s="140" t="s">
        <v>630</v>
      </c>
    </row>
    <row r="73" spans="1:6">
      <c r="B73" s="139">
        <v>165</v>
      </c>
      <c r="D73" s="127" t="s">
        <v>110</v>
      </c>
      <c r="E73" s="140" t="s">
        <v>631</v>
      </c>
    </row>
    <row r="74" spans="1:6">
      <c r="B74" s="139">
        <v>166</v>
      </c>
      <c r="D74" s="127" t="s">
        <v>111</v>
      </c>
      <c r="E74" s="140" t="s">
        <v>632</v>
      </c>
    </row>
    <row r="75" spans="1:6" ht="24">
      <c r="B75" s="139">
        <v>167</v>
      </c>
      <c r="D75" s="127" t="s">
        <v>112</v>
      </c>
      <c r="E75" s="140" t="s">
        <v>633</v>
      </c>
    </row>
    <row r="76" spans="1:6">
      <c r="B76" s="139">
        <v>168</v>
      </c>
      <c r="D76" s="127" t="s">
        <v>113</v>
      </c>
      <c r="E76" s="140" t="s">
        <v>634</v>
      </c>
    </row>
    <row r="77" spans="1:6">
      <c r="B77" s="139">
        <v>169</v>
      </c>
      <c r="D77" s="127" t="s">
        <v>114</v>
      </c>
      <c r="E77" s="140" t="s">
        <v>635</v>
      </c>
    </row>
    <row r="78" spans="1:6">
      <c r="B78" s="139">
        <v>170</v>
      </c>
      <c r="D78" s="127" t="s">
        <v>115</v>
      </c>
      <c r="E78" s="140" t="s">
        <v>636</v>
      </c>
    </row>
    <row r="79" spans="1:6">
      <c r="B79" s="139">
        <v>171</v>
      </c>
      <c r="D79" s="127" t="s">
        <v>444</v>
      </c>
      <c r="E79" s="140" t="s">
        <v>637</v>
      </c>
    </row>
    <row r="80" spans="1:6">
      <c r="B80" s="139">
        <v>172</v>
      </c>
      <c r="D80" s="127" t="s">
        <v>116</v>
      </c>
      <c r="E80" s="140" t="s">
        <v>638</v>
      </c>
    </row>
    <row r="81" spans="2:5">
      <c r="B81" s="139">
        <v>173</v>
      </c>
      <c r="D81" s="127" t="s">
        <v>117</v>
      </c>
      <c r="E81" s="140" t="s">
        <v>639</v>
      </c>
    </row>
    <row r="82" spans="2:5">
      <c r="B82" s="139">
        <v>174</v>
      </c>
      <c r="D82" s="127" t="s">
        <v>118</v>
      </c>
      <c r="E82" s="140" t="s">
        <v>640</v>
      </c>
    </row>
    <row r="83" spans="2:5">
      <c r="B83" s="139">
        <v>175</v>
      </c>
      <c r="D83" s="127" t="s">
        <v>119</v>
      </c>
      <c r="E83" s="140" t="s">
        <v>641</v>
      </c>
    </row>
    <row r="84" spans="2:5">
      <c r="B84" s="139">
        <v>176</v>
      </c>
      <c r="D84" s="127" t="s">
        <v>120</v>
      </c>
      <c r="E84" s="140" t="s">
        <v>642</v>
      </c>
    </row>
    <row r="85" spans="2:5">
      <c r="B85" s="139">
        <v>177</v>
      </c>
      <c r="D85" s="127" t="s">
        <v>121</v>
      </c>
      <c r="E85" s="140" t="s">
        <v>526</v>
      </c>
    </row>
    <row r="86" spans="2:5">
      <c r="B86" s="139">
        <v>178</v>
      </c>
      <c r="D86" s="127" t="s">
        <v>122</v>
      </c>
      <c r="E86" s="140" t="s">
        <v>527</v>
      </c>
    </row>
    <row r="87" spans="2:5">
      <c r="B87" s="139">
        <v>179</v>
      </c>
      <c r="D87" s="127" t="s">
        <v>123</v>
      </c>
      <c r="E87" s="140" t="s">
        <v>643</v>
      </c>
    </row>
    <row r="88" spans="2:5">
      <c r="B88" s="139">
        <v>180</v>
      </c>
      <c r="D88" s="127" t="s">
        <v>445</v>
      </c>
      <c r="E88" s="140" t="s">
        <v>644</v>
      </c>
    </row>
    <row r="89" spans="2:5" ht="24">
      <c r="B89" s="139">
        <v>181</v>
      </c>
      <c r="D89" s="127" t="s">
        <v>446</v>
      </c>
      <c r="E89" s="140" t="s">
        <v>645</v>
      </c>
    </row>
    <row r="90" spans="2:5" ht="24">
      <c r="B90" s="139">
        <v>182</v>
      </c>
      <c r="D90" s="127" t="s">
        <v>124</v>
      </c>
      <c r="E90" s="140" t="s">
        <v>646</v>
      </c>
    </row>
    <row r="91" spans="2:5">
      <c r="B91" s="139">
        <v>183</v>
      </c>
      <c r="D91" s="127" t="s">
        <v>125</v>
      </c>
      <c r="E91" s="140" t="s">
        <v>126</v>
      </c>
    </row>
    <row r="92" spans="2:5">
      <c r="B92" s="139">
        <v>184</v>
      </c>
      <c r="D92" s="127" t="s">
        <v>447</v>
      </c>
      <c r="E92" s="140" t="s">
        <v>528</v>
      </c>
    </row>
    <row r="93" spans="2:5">
      <c r="B93" s="139">
        <v>185</v>
      </c>
      <c r="D93" s="127" t="s">
        <v>448</v>
      </c>
      <c r="E93" s="140" t="s">
        <v>529</v>
      </c>
    </row>
    <row r="94" spans="2:5">
      <c r="B94" s="139">
        <v>186</v>
      </c>
      <c r="D94" s="127" t="s">
        <v>449</v>
      </c>
      <c r="E94" s="140" t="s">
        <v>929</v>
      </c>
    </row>
    <row r="95" spans="2:5">
      <c r="B95" s="139">
        <v>187</v>
      </c>
      <c r="D95" s="127" t="s">
        <v>127</v>
      </c>
      <c r="E95" s="140" t="s">
        <v>647</v>
      </c>
    </row>
    <row r="96" spans="2:5" ht="24">
      <c r="B96" s="139">
        <v>188</v>
      </c>
      <c r="D96" s="127" t="s">
        <v>128</v>
      </c>
      <c r="E96" s="140" t="s">
        <v>648</v>
      </c>
    </row>
    <row r="97" spans="2:5" ht="24">
      <c r="B97" s="139">
        <v>189</v>
      </c>
      <c r="D97" s="127" t="s">
        <v>129</v>
      </c>
      <c r="E97" s="140" t="s">
        <v>649</v>
      </c>
    </row>
    <row r="98" spans="2:5">
      <c r="B98" s="139">
        <v>190</v>
      </c>
      <c r="D98" s="127" t="s">
        <v>130</v>
      </c>
      <c r="E98" s="140" t="s">
        <v>130</v>
      </c>
    </row>
    <row r="99" spans="2:5">
      <c r="B99" s="139">
        <v>191</v>
      </c>
      <c r="D99" s="127" t="s">
        <v>131</v>
      </c>
      <c r="E99" s="140" t="s">
        <v>530</v>
      </c>
    </row>
    <row r="100" spans="2:5">
      <c r="B100" s="139">
        <v>192</v>
      </c>
      <c r="D100" s="127" t="s">
        <v>132</v>
      </c>
      <c r="E100" s="140" t="s">
        <v>531</v>
      </c>
    </row>
    <row r="101" spans="2:5">
      <c r="B101" s="139">
        <v>193</v>
      </c>
      <c r="D101" s="127" t="s">
        <v>133</v>
      </c>
      <c r="E101" s="140" t="s">
        <v>532</v>
      </c>
    </row>
    <row r="102" spans="2:5">
      <c r="B102" s="139">
        <v>194</v>
      </c>
      <c r="D102" s="127" t="s">
        <v>450</v>
      </c>
      <c r="E102" s="140" t="s">
        <v>650</v>
      </c>
    </row>
    <row r="103" spans="2:5">
      <c r="B103" s="139">
        <v>195</v>
      </c>
      <c r="D103" s="127" t="s">
        <v>134</v>
      </c>
      <c r="E103" s="140" t="s">
        <v>651</v>
      </c>
    </row>
    <row r="104" spans="2:5">
      <c r="B104" s="139">
        <v>196</v>
      </c>
      <c r="D104" s="127" t="s">
        <v>451</v>
      </c>
      <c r="E104" s="140" t="s">
        <v>652</v>
      </c>
    </row>
    <row r="105" spans="2:5">
      <c r="B105" s="139">
        <v>197</v>
      </c>
      <c r="D105" s="127" t="s">
        <v>135</v>
      </c>
      <c r="E105" s="140" t="s">
        <v>653</v>
      </c>
    </row>
    <row r="106" spans="2:5">
      <c r="B106" s="139">
        <v>198</v>
      </c>
      <c r="D106" s="127" t="s">
        <v>136</v>
      </c>
      <c r="E106" s="140" t="s">
        <v>654</v>
      </c>
    </row>
    <row r="107" spans="2:5">
      <c r="B107" s="139">
        <v>199</v>
      </c>
      <c r="D107" s="127" t="s">
        <v>137</v>
      </c>
      <c r="E107" s="140" t="s">
        <v>655</v>
      </c>
    </row>
    <row r="108" spans="2:5">
      <c r="B108" s="139">
        <v>200</v>
      </c>
      <c r="D108" s="127" t="s">
        <v>452</v>
      </c>
      <c r="E108" s="140" t="s">
        <v>656</v>
      </c>
    </row>
    <row r="109" spans="2:5">
      <c r="B109" s="139">
        <v>201</v>
      </c>
      <c r="D109" s="127" t="s">
        <v>138</v>
      </c>
      <c r="E109" s="140" t="s">
        <v>657</v>
      </c>
    </row>
    <row r="110" spans="2:5">
      <c r="B110" s="139">
        <v>202</v>
      </c>
      <c r="D110" s="127" t="s">
        <v>139</v>
      </c>
      <c r="E110" s="140" t="s">
        <v>658</v>
      </c>
    </row>
    <row r="111" spans="2:5">
      <c r="B111" s="139">
        <v>203</v>
      </c>
      <c r="D111" s="127" t="s">
        <v>140</v>
      </c>
      <c r="E111" s="140" t="s">
        <v>533</v>
      </c>
    </row>
    <row r="112" spans="2:5">
      <c r="B112" s="139">
        <v>204</v>
      </c>
      <c r="D112" s="127" t="s">
        <v>453</v>
      </c>
      <c r="E112" s="140" t="s">
        <v>534</v>
      </c>
    </row>
    <row r="113" spans="2:5">
      <c r="B113" s="139">
        <v>205</v>
      </c>
      <c r="D113" s="127" t="s">
        <v>454</v>
      </c>
      <c r="E113" s="140" t="s">
        <v>535</v>
      </c>
    </row>
    <row r="114" spans="2:5">
      <c r="B114" s="139">
        <v>206</v>
      </c>
      <c r="D114" s="127" t="s">
        <v>455</v>
      </c>
      <c r="E114" s="140" t="s">
        <v>659</v>
      </c>
    </row>
    <row r="115" spans="2:5">
      <c r="B115" s="139">
        <v>207</v>
      </c>
      <c r="D115" s="127" t="s">
        <v>456</v>
      </c>
      <c r="E115" s="140" t="s">
        <v>536</v>
      </c>
    </row>
    <row r="116" spans="2:5">
      <c r="B116" s="139">
        <v>208</v>
      </c>
      <c r="D116" s="127" t="s">
        <v>457</v>
      </c>
      <c r="E116" s="140" t="s">
        <v>537</v>
      </c>
    </row>
    <row r="117" spans="2:5">
      <c r="B117" s="139">
        <v>209</v>
      </c>
      <c r="D117" s="127" t="s">
        <v>141</v>
      </c>
      <c r="E117" s="140" t="s">
        <v>660</v>
      </c>
    </row>
    <row r="118" spans="2:5">
      <c r="B118" s="139">
        <v>210</v>
      </c>
      <c r="D118" s="127" t="s">
        <v>458</v>
      </c>
      <c r="E118" s="140" t="s">
        <v>661</v>
      </c>
    </row>
    <row r="119" spans="2:5">
      <c r="B119" s="139">
        <v>211</v>
      </c>
      <c r="D119" s="127" t="s">
        <v>142</v>
      </c>
      <c r="E119" s="140" t="s">
        <v>538</v>
      </c>
    </row>
    <row r="120" spans="2:5">
      <c r="B120" s="139">
        <v>212</v>
      </c>
      <c r="D120" s="127" t="s">
        <v>143</v>
      </c>
      <c r="E120" s="140" t="s">
        <v>662</v>
      </c>
    </row>
    <row r="121" spans="2:5">
      <c r="B121" s="139">
        <v>213</v>
      </c>
      <c r="D121" s="127" t="s">
        <v>144</v>
      </c>
      <c r="E121" s="140" t="s">
        <v>663</v>
      </c>
    </row>
    <row r="122" spans="2:5">
      <c r="B122" s="139">
        <v>214</v>
      </c>
      <c r="D122" s="127" t="s">
        <v>459</v>
      </c>
      <c r="E122" s="140" t="s">
        <v>664</v>
      </c>
    </row>
    <row r="123" spans="2:5">
      <c r="B123" s="139">
        <v>215</v>
      </c>
      <c r="D123" s="127" t="s">
        <v>460</v>
      </c>
      <c r="E123" s="140" t="s">
        <v>665</v>
      </c>
    </row>
    <row r="124" spans="2:5">
      <c r="B124" s="139">
        <v>216</v>
      </c>
      <c r="D124" s="127" t="s">
        <v>984</v>
      </c>
      <c r="E124" s="140" t="s">
        <v>666</v>
      </c>
    </row>
    <row r="125" spans="2:5">
      <c r="B125" s="139">
        <v>217</v>
      </c>
      <c r="D125" s="127" t="s">
        <v>461</v>
      </c>
      <c r="E125" s="140" t="s">
        <v>667</v>
      </c>
    </row>
    <row r="126" spans="2:5">
      <c r="B126" s="139">
        <v>218</v>
      </c>
      <c r="D126" s="127" t="s">
        <v>462</v>
      </c>
      <c r="E126" s="140" t="s">
        <v>668</v>
      </c>
    </row>
    <row r="127" spans="2:5">
      <c r="B127" s="139">
        <v>219</v>
      </c>
      <c r="D127" s="127" t="s">
        <v>463</v>
      </c>
      <c r="E127" s="140" t="s">
        <v>669</v>
      </c>
    </row>
    <row r="128" spans="2:5">
      <c r="B128" s="139">
        <v>220</v>
      </c>
      <c r="D128" s="127" t="s">
        <v>464</v>
      </c>
      <c r="E128" s="140" t="s">
        <v>670</v>
      </c>
    </row>
    <row r="129" spans="2:5">
      <c r="B129" s="139">
        <v>221</v>
      </c>
      <c r="D129" s="127" t="s">
        <v>145</v>
      </c>
      <c r="E129" s="140" t="s">
        <v>671</v>
      </c>
    </row>
    <row r="130" spans="2:5">
      <c r="B130" s="139">
        <v>222</v>
      </c>
      <c r="D130" s="127" t="s">
        <v>146</v>
      </c>
      <c r="E130" s="140" t="s">
        <v>672</v>
      </c>
    </row>
    <row r="131" spans="2:5">
      <c r="B131" s="139">
        <v>223</v>
      </c>
      <c r="D131" s="127" t="s">
        <v>147</v>
      </c>
      <c r="E131" s="140" t="s">
        <v>673</v>
      </c>
    </row>
    <row r="132" spans="2:5">
      <c r="B132" s="139">
        <v>224</v>
      </c>
      <c r="D132" s="127" t="s">
        <v>148</v>
      </c>
      <c r="E132" s="140" t="s">
        <v>674</v>
      </c>
    </row>
    <row r="133" spans="2:5">
      <c r="B133" s="139">
        <v>225</v>
      </c>
      <c r="D133" s="127" t="s">
        <v>465</v>
      </c>
      <c r="E133" s="140" t="s">
        <v>675</v>
      </c>
    </row>
    <row r="134" spans="2:5">
      <c r="B134" s="139">
        <v>226</v>
      </c>
      <c r="D134" s="127" t="s">
        <v>466</v>
      </c>
      <c r="E134" s="140" t="s">
        <v>676</v>
      </c>
    </row>
    <row r="135" spans="2:5">
      <c r="B135" s="139">
        <v>227</v>
      </c>
      <c r="D135" s="127" t="s">
        <v>467</v>
      </c>
      <c r="E135" s="140" t="s">
        <v>677</v>
      </c>
    </row>
    <row r="136" spans="2:5">
      <c r="B136" s="139">
        <v>228</v>
      </c>
      <c r="D136" s="127" t="s">
        <v>149</v>
      </c>
      <c r="E136" s="140" t="s">
        <v>678</v>
      </c>
    </row>
    <row r="137" spans="2:5">
      <c r="B137" s="139">
        <v>229</v>
      </c>
      <c r="D137" s="127" t="s">
        <v>150</v>
      </c>
      <c r="E137" s="140" t="s">
        <v>679</v>
      </c>
    </row>
    <row r="138" spans="2:5">
      <c r="B138" s="139">
        <v>230</v>
      </c>
      <c r="D138" s="127" t="s">
        <v>468</v>
      </c>
      <c r="E138" s="140" t="s">
        <v>539</v>
      </c>
    </row>
    <row r="139" spans="2:5">
      <c r="B139" s="139">
        <v>231</v>
      </c>
      <c r="D139" s="127" t="s">
        <v>151</v>
      </c>
      <c r="E139" s="140" t="s">
        <v>680</v>
      </c>
    </row>
    <row r="140" spans="2:5" ht="36">
      <c r="B140" s="139">
        <v>232</v>
      </c>
      <c r="D140" s="127" t="s">
        <v>152</v>
      </c>
      <c r="E140" s="140" t="s">
        <v>681</v>
      </c>
    </row>
    <row r="141" spans="2:5">
      <c r="B141" s="139">
        <v>233</v>
      </c>
      <c r="D141" s="127" t="s">
        <v>153</v>
      </c>
      <c r="E141" s="140" t="s">
        <v>682</v>
      </c>
    </row>
    <row r="142" spans="2:5">
      <c r="B142" s="139">
        <v>234</v>
      </c>
      <c r="D142" s="127" t="s">
        <v>154</v>
      </c>
      <c r="E142" s="140" t="s">
        <v>930</v>
      </c>
    </row>
    <row r="143" spans="2:5">
      <c r="B143" s="139">
        <v>235</v>
      </c>
      <c r="D143" s="127" t="s">
        <v>155</v>
      </c>
      <c r="E143" s="140" t="s">
        <v>540</v>
      </c>
    </row>
    <row r="144" spans="2:5">
      <c r="B144" s="139">
        <v>236</v>
      </c>
      <c r="D144" s="127" t="s">
        <v>156</v>
      </c>
      <c r="E144" s="140" t="s">
        <v>683</v>
      </c>
    </row>
    <row r="145" spans="2:5">
      <c r="B145" s="139">
        <v>237</v>
      </c>
      <c r="D145" s="127" t="s">
        <v>157</v>
      </c>
      <c r="E145" s="140" t="s">
        <v>541</v>
      </c>
    </row>
    <row r="146" spans="2:5">
      <c r="B146" s="139">
        <v>238</v>
      </c>
      <c r="D146" s="127" t="s">
        <v>158</v>
      </c>
      <c r="E146" s="140" t="s">
        <v>684</v>
      </c>
    </row>
    <row r="147" spans="2:5">
      <c r="B147" s="139">
        <v>239</v>
      </c>
      <c r="D147" s="127" t="s">
        <v>159</v>
      </c>
      <c r="E147" s="140" t="s">
        <v>685</v>
      </c>
    </row>
    <row r="148" spans="2:5">
      <c r="B148" s="139">
        <v>240</v>
      </c>
      <c r="D148" s="127" t="s">
        <v>160</v>
      </c>
      <c r="E148" s="140" t="s">
        <v>542</v>
      </c>
    </row>
    <row r="149" spans="2:5">
      <c r="B149" s="139">
        <v>241</v>
      </c>
      <c r="D149" s="127" t="s">
        <v>161</v>
      </c>
      <c r="E149" s="140" t="s">
        <v>543</v>
      </c>
    </row>
    <row r="150" spans="2:5">
      <c r="B150" s="139">
        <v>242</v>
      </c>
      <c r="D150" s="127" t="s">
        <v>162</v>
      </c>
      <c r="E150" s="140" t="s">
        <v>686</v>
      </c>
    </row>
    <row r="151" spans="2:5">
      <c r="B151" s="139">
        <v>243</v>
      </c>
      <c r="D151" s="127" t="s">
        <v>163</v>
      </c>
      <c r="E151" s="140" t="s">
        <v>687</v>
      </c>
    </row>
    <row r="152" spans="2:5">
      <c r="B152" s="139">
        <v>244</v>
      </c>
      <c r="D152" s="127" t="s">
        <v>164</v>
      </c>
      <c r="E152" s="140" t="s">
        <v>688</v>
      </c>
    </row>
    <row r="153" spans="2:5">
      <c r="B153" s="139">
        <v>245</v>
      </c>
      <c r="D153" s="127" t="s">
        <v>469</v>
      </c>
      <c r="E153" s="140" t="s">
        <v>689</v>
      </c>
    </row>
    <row r="154" spans="2:5">
      <c r="B154" s="139">
        <v>246</v>
      </c>
      <c r="D154" s="127" t="s">
        <v>165</v>
      </c>
      <c r="E154" s="140" t="s">
        <v>690</v>
      </c>
    </row>
    <row r="155" spans="2:5">
      <c r="B155" s="139">
        <v>247</v>
      </c>
      <c r="D155" s="127" t="s">
        <v>166</v>
      </c>
      <c r="E155" s="140" t="s">
        <v>544</v>
      </c>
    </row>
    <row r="156" spans="2:5">
      <c r="B156" s="139">
        <v>248</v>
      </c>
      <c r="D156" s="127" t="s">
        <v>167</v>
      </c>
      <c r="E156" s="140" t="s">
        <v>691</v>
      </c>
    </row>
    <row r="157" spans="2:5">
      <c r="B157" s="139">
        <v>249</v>
      </c>
      <c r="D157" s="127" t="s">
        <v>470</v>
      </c>
      <c r="E157" s="140" t="s">
        <v>692</v>
      </c>
    </row>
    <row r="158" spans="2:5">
      <c r="B158" s="139">
        <v>250</v>
      </c>
      <c r="D158" s="127" t="s">
        <v>471</v>
      </c>
      <c r="E158" s="140" t="s">
        <v>693</v>
      </c>
    </row>
    <row r="159" spans="2:5">
      <c r="B159" s="139">
        <v>251</v>
      </c>
      <c r="D159" s="127" t="s">
        <v>472</v>
      </c>
      <c r="E159" s="140" t="s">
        <v>694</v>
      </c>
    </row>
    <row r="160" spans="2:5">
      <c r="B160" s="139">
        <v>252</v>
      </c>
      <c r="D160" s="127" t="s">
        <v>473</v>
      </c>
      <c r="E160" s="140" t="s">
        <v>695</v>
      </c>
    </row>
    <row r="161" spans="2:5">
      <c r="B161" s="139">
        <v>253</v>
      </c>
      <c r="D161" s="127" t="s">
        <v>168</v>
      </c>
      <c r="E161" s="140" t="s">
        <v>931</v>
      </c>
    </row>
    <row r="162" spans="2:5" ht="24">
      <c r="B162" s="139">
        <v>254</v>
      </c>
      <c r="D162" s="127" t="s">
        <v>169</v>
      </c>
      <c r="E162" s="140" t="s">
        <v>696</v>
      </c>
    </row>
    <row r="163" spans="2:5" ht="24">
      <c r="B163" s="139">
        <v>255</v>
      </c>
      <c r="D163" s="127" t="s">
        <v>170</v>
      </c>
      <c r="E163" s="140" t="s">
        <v>697</v>
      </c>
    </row>
    <row r="164" spans="2:5" ht="24">
      <c r="B164" s="139">
        <v>256</v>
      </c>
      <c r="D164" s="127" t="s">
        <v>171</v>
      </c>
      <c r="E164" s="140" t="s">
        <v>698</v>
      </c>
    </row>
    <row r="165" spans="2:5">
      <c r="B165" s="139">
        <v>257</v>
      </c>
      <c r="D165" s="127" t="s">
        <v>172</v>
      </c>
      <c r="E165" s="140" t="s">
        <v>545</v>
      </c>
    </row>
    <row r="166" spans="2:5">
      <c r="B166" s="139">
        <v>258</v>
      </c>
      <c r="D166" s="127" t="s">
        <v>173</v>
      </c>
      <c r="E166" s="140" t="s">
        <v>699</v>
      </c>
    </row>
    <row r="167" spans="2:5">
      <c r="B167" s="139">
        <v>259</v>
      </c>
      <c r="D167" s="127" t="s">
        <v>174</v>
      </c>
      <c r="E167" s="140" t="s">
        <v>700</v>
      </c>
    </row>
    <row r="168" spans="2:5">
      <c r="B168" s="139">
        <v>260</v>
      </c>
      <c r="D168" s="127" t="s">
        <v>175</v>
      </c>
      <c r="E168" s="140" t="s">
        <v>701</v>
      </c>
    </row>
    <row r="169" spans="2:5">
      <c r="B169" s="139">
        <v>261</v>
      </c>
      <c r="D169" s="127" t="s">
        <v>176</v>
      </c>
      <c r="E169" s="140" t="s">
        <v>702</v>
      </c>
    </row>
    <row r="170" spans="2:5" ht="24">
      <c r="B170" s="139">
        <v>262</v>
      </c>
      <c r="D170" s="127" t="s">
        <v>177</v>
      </c>
      <c r="E170" s="140" t="s">
        <v>703</v>
      </c>
    </row>
    <row r="171" spans="2:5">
      <c r="B171" s="139">
        <v>263</v>
      </c>
      <c r="D171" s="127" t="s">
        <v>178</v>
      </c>
      <c r="E171" s="140" t="s">
        <v>704</v>
      </c>
    </row>
    <row r="172" spans="2:5">
      <c r="B172" s="139">
        <v>264</v>
      </c>
      <c r="D172" s="127" t="s">
        <v>179</v>
      </c>
      <c r="E172" s="140" t="s">
        <v>705</v>
      </c>
    </row>
    <row r="173" spans="2:5">
      <c r="B173" s="139">
        <v>265</v>
      </c>
      <c r="D173" s="127" t="s">
        <v>180</v>
      </c>
      <c r="E173" s="140" t="s">
        <v>706</v>
      </c>
    </row>
    <row r="174" spans="2:5">
      <c r="B174" s="139">
        <v>266</v>
      </c>
      <c r="D174" s="127" t="s">
        <v>181</v>
      </c>
      <c r="E174" s="140" t="s">
        <v>707</v>
      </c>
    </row>
    <row r="175" spans="2:5">
      <c r="B175" s="139">
        <v>267</v>
      </c>
      <c r="D175" s="127" t="s">
        <v>182</v>
      </c>
      <c r="E175" s="140" t="s">
        <v>708</v>
      </c>
    </row>
    <row r="176" spans="2:5">
      <c r="B176" s="139">
        <v>268</v>
      </c>
      <c r="D176" s="127" t="s">
        <v>183</v>
      </c>
      <c r="E176" s="140" t="s">
        <v>709</v>
      </c>
    </row>
    <row r="177" spans="2:5">
      <c r="B177" s="139">
        <v>269</v>
      </c>
      <c r="D177" s="127" t="s">
        <v>474</v>
      </c>
      <c r="E177" s="140" t="s">
        <v>710</v>
      </c>
    </row>
    <row r="178" spans="2:5">
      <c r="B178" s="139">
        <v>270</v>
      </c>
      <c r="D178" s="127" t="s">
        <v>184</v>
      </c>
      <c r="E178" s="140" t="s">
        <v>711</v>
      </c>
    </row>
    <row r="179" spans="2:5">
      <c r="B179" s="139">
        <v>271</v>
      </c>
      <c r="D179" s="127" t="s">
        <v>475</v>
      </c>
      <c r="E179" s="140" t="s">
        <v>546</v>
      </c>
    </row>
    <row r="180" spans="2:5" ht="24">
      <c r="B180" s="139">
        <v>272</v>
      </c>
      <c r="D180" s="127" t="s">
        <v>185</v>
      </c>
    </row>
    <row r="181" spans="2:5">
      <c r="B181" s="139">
        <v>273</v>
      </c>
      <c r="D181" s="127" t="s">
        <v>186</v>
      </c>
      <c r="E181" s="140" t="s">
        <v>712</v>
      </c>
    </row>
    <row r="182" spans="2:5">
      <c r="B182" s="139">
        <v>274</v>
      </c>
      <c r="D182" s="127" t="s">
        <v>187</v>
      </c>
      <c r="E182" s="140" t="s">
        <v>547</v>
      </c>
    </row>
    <row r="183" spans="2:5">
      <c r="B183" s="139">
        <v>275</v>
      </c>
      <c r="D183" s="127" t="s">
        <v>188</v>
      </c>
      <c r="E183" s="140" t="s">
        <v>548</v>
      </c>
    </row>
    <row r="184" spans="2:5">
      <c r="B184" s="139">
        <v>276</v>
      </c>
      <c r="D184" s="127" t="s">
        <v>189</v>
      </c>
      <c r="E184" s="140" t="s">
        <v>932</v>
      </c>
    </row>
    <row r="185" spans="2:5">
      <c r="B185" s="139">
        <v>277</v>
      </c>
      <c r="D185" s="127" t="s">
        <v>476</v>
      </c>
      <c r="E185" s="140" t="s">
        <v>549</v>
      </c>
    </row>
    <row r="186" spans="2:5">
      <c r="B186" s="139">
        <v>278</v>
      </c>
      <c r="D186" s="127" t="s">
        <v>190</v>
      </c>
      <c r="E186" s="140" t="s">
        <v>550</v>
      </c>
    </row>
    <row r="187" spans="2:5">
      <c r="B187" s="139">
        <v>279</v>
      </c>
      <c r="D187" s="127" t="s">
        <v>191</v>
      </c>
      <c r="E187" s="140" t="s">
        <v>713</v>
      </c>
    </row>
    <row r="188" spans="2:5">
      <c r="B188" s="139">
        <v>280</v>
      </c>
      <c r="D188" s="127" t="s">
        <v>2</v>
      </c>
      <c r="E188" s="140" t="s">
        <v>2</v>
      </c>
    </row>
    <row r="189" spans="2:5">
      <c r="B189" s="139">
        <v>281</v>
      </c>
      <c r="D189" s="127" t="s">
        <v>3</v>
      </c>
      <c r="E189" s="140" t="s">
        <v>3</v>
      </c>
    </row>
    <row r="190" spans="2:5">
      <c r="B190" s="139">
        <v>282</v>
      </c>
      <c r="D190" s="127" t="s">
        <v>192</v>
      </c>
      <c r="E190" s="140" t="s">
        <v>193</v>
      </c>
    </row>
    <row r="191" spans="2:5">
      <c r="B191" s="139">
        <v>283</v>
      </c>
      <c r="D191" s="127" t="s">
        <v>194</v>
      </c>
      <c r="E191" s="140" t="s">
        <v>933</v>
      </c>
    </row>
    <row r="192" spans="2:5">
      <c r="B192" s="139">
        <v>284</v>
      </c>
      <c r="D192" s="127" t="s">
        <v>195</v>
      </c>
      <c r="E192" s="140" t="s">
        <v>714</v>
      </c>
    </row>
    <row r="193" spans="2:5">
      <c r="B193" s="139">
        <v>285</v>
      </c>
      <c r="D193" s="127" t="s">
        <v>196</v>
      </c>
      <c r="E193" s="140" t="s">
        <v>551</v>
      </c>
    </row>
    <row r="194" spans="2:5">
      <c r="B194" s="139">
        <v>286</v>
      </c>
      <c r="D194" s="127" t="s">
        <v>477</v>
      </c>
      <c r="E194" s="140" t="s">
        <v>552</v>
      </c>
    </row>
    <row r="195" spans="2:5">
      <c r="B195" s="139">
        <v>287</v>
      </c>
      <c r="D195" s="127" t="s">
        <v>478</v>
      </c>
      <c r="E195" s="140" t="s">
        <v>553</v>
      </c>
    </row>
    <row r="196" spans="2:5">
      <c r="B196" s="139">
        <v>288</v>
      </c>
      <c r="D196" s="127" t="s">
        <v>479</v>
      </c>
      <c r="E196" s="140" t="s">
        <v>552</v>
      </c>
    </row>
    <row r="197" spans="2:5">
      <c r="B197" s="139">
        <v>289</v>
      </c>
      <c r="D197" s="127" t="s">
        <v>197</v>
      </c>
      <c r="E197" s="140" t="s">
        <v>554</v>
      </c>
    </row>
    <row r="198" spans="2:5">
      <c r="B198" s="139">
        <v>290</v>
      </c>
      <c r="D198" s="127" t="s">
        <v>480</v>
      </c>
      <c r="E198" s="140" t="s">
        <v>715</v>
      </c>
    </row>
    <row r="199" spans="2:5">
      <c r="B199" s="139">
        <v>291</v>
      </c>
      <c r="D199" s="127" t="s">
        <v>198</v>
      </c>
      <c r="E199" s="140" t="s">
        <v>716</v>
      </c>
    </row>
    <row r="200" spans="2:5">
      <c r="B200" s="139">
        <v>292</v>
      </c>
      <c r="D200" s="127" t="s">
        <v>511</v>
      </c>
      <c r="E200" s="140" t="s">
        <v>717</v>
      </c>
    </row>
    <row r="201" spans="2:5">
      <c r="B201" s="139">
        <v>293</v>
      </c>
      <c r="D201" s="127" t="s">
        <v>512</v>
      </c>
      <c r="E201" s="140" t="s">
        <v>934</v>
      </c>
    </row>
    <row r="202" spans="2:5">
      <c r="B202" s="139">
        <v>294</v>
      </c>
      <c r="D202" s="127" t="s">
        <v>199</v>
      </c>
      <c r="E202" s="140" t="s">
        <v>555</v>
      </c>
    </row>
    <row r="203" spans="2:5">
      <c r="B203" s="139">
        <v>295</v>
      </c>
      <c r="D203" s="127" t="s">
        <v>481</v>
      </c>
      <c r="E203" s="140" t="s">
        <v>556</v>
      </c>
    </row>
    <row r="204" spans="2:5">
      <c r="B204" s="139">
        <v>296</v>
      </c>
      <c r="D204" s="127" t="s">
        <v>200</v>
      </c>
      <c r="E204" s="140" t="s">
        <v>718</v>
      </c>
    </row>
    <row r="205" spans="2:5">
      <c r="B205" s="139">
        <v>297</v>
      </c>
      <c r="D205" s="127" t="s">
        <v>201</v>
      </c>
      <c r="E205" s="140" t="s">
        <v>719</v>
      </c>
    </row>
    <row r="206" spans="2:5">
      <c r="B206" s="139">
        <v>298</v>
      </c>
      <c r="D206" s="127" t="s">
        <v>202</v>
      </c>
      <c r="E206" s="140" t="s">
        <v>557</v>
      </c>
    </row>
    <row r="207" spans="2:5" ht="24">
      <c r="B207" s="139">
        <v>299</v>
      </c>
      <c r="D207" s="127" t="s">
        <v>203</v>
      </c>
      <c r="E207" s="140" t="s">
        <v>720</v>
      </c>
    </row>
    <row r="208" spans="2:5" ht="24">
      <c r="B208" s="139">
        <v>300</v>
      </c>
      <c r="D208" s="127" t="s">
        <v>513</v>
      </c>
      <c r="E208" s="140" t="s">
        <v>721</v>
      </c>
    </row>
    <row r="209" spans="2:5">
      <c r="B209" s="139">
        <v>301</v>
      </c>
      <c r="D209" s="127" t="s">
        <v>514</v>
      </c>
      <c r="E209" s="140" t="s">
        <v>935</v>
      </c>
    </row>
    <row r="210" spans="2:5">
      <c r="B210" s="139">
        <v>302</v>
      </c>
      <c r="D210" s="127" t="s">
        <v>482</v>
      </c>
      <c r="E210" s="140" t="s">
        <v>936</v>
      </c>
    </row>
    <row r="211" spans="2:5">
      <c r="B211" s="139">
        <v>303</v>
      </c>
      <c r="D211" s="127" t="s">
        <v>204</v>
      </c>
      <c r="E211" s="140" t="s">
        <v>722</v>
      </c>
    </row>
    <row r="212" spans="2:5">
      <c r="B212" s="139">
        <v>304</v>
      </c>
      <c r="D212" s="127" t="s">
        <v>483</v>
      </c>
      <c r="E212" s="140" t="s">
        <v>723</v>
      </c>
    </row>
    <row r="213" spans="2:5">
      <c r="B213" s="139">
        <v>305</v>
      </c>
      <c r="D213" s="127" t="s">
        <v>484</v>
      </c>
      <c r="E213" s="140" t="s">
        <v>558</v>
      </c>
    </row>
    <row r="214" spans="2:5">
      <c r="B214" s="139">
        <v>306</v>
      </c>
      <c r="D214" s="127" t="s">
        <v>205</v>
      </c>
      <c r="E214" s="140" t="s">
        <v>724</v>
      </c>
    </row>
    <row r="215" spans="2:5">
      <c r="B215" s="139">
        <v>307</v>
      </c>
      <c r="D215" s="127" t="s">
        <v>206</v>
      </c>
      <c r="E215" s="140" t="s">
        <v>559</v>
      </c>
    </row>
    <row r="216" spans="2:5">
      <c r="B216" s="139">
        <v>308</v>
      </c>
      <c r="D216" s="127" t="s">
        <v>485</v>
      </c>
      <c r="E216" s="140" t="s">
        <v>725</v>
      </c>
    </row>
    <row r="217" spans="2:5">
      <c r="B217" s="139">
        <v>309</v>
      </c>
      <c r="D217" s="127" t="s">
        <v>207</v>
      </c>
      <c r="E217" s="140" t="s">
        <v>726</v>
      </c>
    </row>
    <row r="218" spans="2:5">
      <c r="B218" s="139">
        <v>310</v>
      </c>
      <c r="D218" s="127" t="s">
        <v>208</v>
      </c>
      <c r="E218" s="140" t="s">
        <v>727</v>
      </c>
    </row>
    <row r="219" spans="2:5" ht="24">
      <c r="B219" s="139">
        <v>311</v>
      </c>
      <c r="D219" s="127" t="s">
        <v>209</v>
      </c>
      <c r="E219" s="140" t="s">
        <v>728</v>
      </c>
    </row>
    <row r="220" spans="2:5">
      <c r="B220" s="139">
        <v>312</v>
      </c>
      <c r="D220" s="127" t="s">
        <v>210</v>
      </c>
      <c r="E220" s="140" t="s">
        <v>729</v>
      </c>
    </row>
    <row r="221" spans="2:5">
      <c r="B221" s="139">
        <v>313</v>
      </c>
      <c r="C221" s="136" t="s">
        <v>911</v>
      </c>
      <c r="D221" s="127" t="s">
        <v>937</v>
      </c>
      <c r="E221" s="146" t="s">
        <v>938</v>
      </c>
    </row>
    <row r="222" spans="2:5">
      <c r="B222" s="139">
        <v>314</v>
      </c>
      <c r="D222" s="127" t="s">
        <v>211</v>
      </c>
      <c r="E222" s="140" t="s">
        <v>939</v>
      </c>
    </row>
    <row r="223" spans="2:5">
      <c r="B223" s="139">
        <v>315</v>
      </c>
      <c r="D223" s="127" t="s">
        <v>212</v>
      </c>
      <c r="E223" s="140" t="s">
        <v>730</v>
      </c>
    </row>
    <row r="224" spans="2:5">
      <c r="B224" s="139">
        <v>316</v>
      </c>
      <c r="D224" s="127" t="s">
        <v>213</v>
      </c>
      <c r="E224" s="140" t="s">
        <v>731</v>
      </c>
    </row>
    <row r="225" spans="1:6">
      <c r="B225" s="139">
        <v>317</v>
      </c>
      <c r="D225" s="127" t="s">
        <v>214</v>
      </c>
      <c r="E225" s="140" t="s">
        <v>732</v>
      </c>
    </row>
    <row r="226" spans="1:6">
      <c r="B226" s="139">
        <v>318</v>
      </c>
      <c r="D226" s="127" t="s">
        <v>215</v>
      </c>
      <c r="E226" s="140" t="s">
        <v>560</v>
      </c>
    </row>
    <row r="227" spans="1:6">
      <c r="B227" s="139">
        <v>319</v>
      </c>
      <c r="D227" s="127" t="s">
        <v>486</v>
      </c>
      <c r="E227" s="140" t="s">
        <v>733</v>
      </c>
    </row>
    <row r="228" spans="1:6">
      <c r="B228" s="139">
        <v>320</v>
      </c>
      <c r="D228" s="127" t="s">
        <v>216</v>
      </c>
      <c r="E228" s="140" t="s">
        <v>734</v>
      </c>
    </row>
    <row r="229" spans="1:6" ht="36">
      <c r="B229" s="139">
        <v>321</v>
      </c>
      <c r="D229" s="127" t="s">
        <v>217</v>
      </c>
      <c r="E229" s="140" t="s">
        <v>735</v>
      </c>
    </row>
    <row r="230" spans="1:6">
      <c r="B230" s="139">
        <v>322</v>
      </c>
      <c r="D230" s="127" t="s">
        <v>218</v>
      </c>
      <c r="E230" s="140" t="s">
        <v>736</v>
      </c>
    </row>
    <row r="231" spans="1:6" ht="24">
      <c r="B231" s="139">
        <v>323</v>
      </c>
      <c r="D231" s="127" t="s">
        <v>219</v>
      </c>
      <c r="E231" s="140" t="s">
        <v>737</v>
      </c>
    </row>
    <row r="232" spans="1:6">
      <c r="A232" s="129"/>
      <c r="B232" s="139">
        <v>324</v>
      </c>
      <c r="C232" s="138" t="s">
        <v>510</v>
      </c>
      <c r="D232" s="128" t="s">
        <v>940</v>
      </c>
      <c r="E232" s="128" t="s">
        <v>517</v>
      </c>
      <c r="F232" s="130"/>
    </row>
    <row r="233" spans="1:6">
      <c r="A233" s="129"/>
      <c r="B233" s="139">
        <v>325</v>
      </c>
      <c r="C233" s="138" t="s">
        <v>510</v>
      </c>
      <c r="D233" s="128" t="s">
        <v>941</v>
      </c>
      <c r="E233" s="128" t="s">
        <v>890</v>
      </c>
      <c r="F233" s="130"/>
    </row>
    <row r="234" spans="1:6">
      <c r="A234" s="129"/>
      <c r="B234" s="139">
        <v>326</v>
      </c>
      <c r="C234" s="138" t="s">
        <v>909</v>
      </c>
      <c r="D234" s="128" t="s">
        <v>942</v>
      </c>
      <c r="E234" s="128" t="s">
        <v>943</v>
      </c>
      <c r="F234" s="130"/>
    </row>
    <row r="235" spans="1:6">
      <c r="B235" s="139">
        <v>327</v>
      </c>
      <c r="D235" s="127" t="s">
        <v>220</v>
      </c>
      <c r="E235" s="140" t="s">
        <v>561</v>
      </c>
    </row>
    <row r="236" spans="1:6" ht="12.75">
      <c r="B236" s="139">
        <v>328</v>
      </c>
      <c r="D236" s="127" t="s">
        <v>221</v>
      </c>
      <c r="E236" s="148" t="s">
        <v>896</v>
      </c>
    </row>
    <row r="237" spans="1:6">
      <c r="B237" s="139">
        <v>329</v>
      </c>
      <c r="D237" s="127" t="s">
        <v>222</v>
      </c>
      <c r="E237" s="140" t="s">
        <v>738</v>
      </c>
    </row>
    <row r="238" spans="1:6">
      <c r="B238" s="139">
        <v>330</v>
      </c>
      <c r="D238" s="127" t="s">
        <v>223</v>
      </c>
      <c r="E238" s="140" t="s">
        <v>739</v>
      </c>
    </row>
    <row r="239" spans="1:6">
      <c r="B239" s="139">
        <v>331</v>
      </c>
      <c r="D239" s="127" t="s">
        <v>224</v>
      </c>
      <c r="E239" s="140" t="s">
        <v>740</v>
      </c>
    </row>
    <row r="240" spans="1:6">
      <c r="B240" s="139">
        <v>332</v>
      </c>
      <c r="D240" s="127" t="s">
        <v>225</v>
      </c>
      <c r="E240" s="140" t="s">
        <v>741</v>
      </c>
    </row>
    <row r="241" spans="2:5">
      <c r="B241" s="139">
        <v>333</v>
      </c>
      <c r="D241" s="127" t="s">
        <v>226</v>
      </c>
      <c r="E241" s="140" t="s">
        <v>742</v>
      </c>
    </row>
    <row r="242" spans="2:5">
      <c r="B242" s="139">
        <v>334</v>
      </c>
      <c r="D242" s="127" t="s">
        <v>227</v>
      </c>
      <c r="E242" s="140" t="s">
        <v>743</v>
      </c>
    </row>
    <row r="243" spans="2:5">
      <c r="B243" s="139">
        <v>335</v>
      </c>
      <c r="D243" s="127" t="s">
        <v>228</v>
      </c>
      <c r="E243" s="140" t="s">
        <v>744</v>
      </c>
    </row>
    <row r="244" spans="2:5">
      <c r="B244" s="139">
        <v>336</v>
      </c>
      <c r="D244" s="127" t="s">
        <v>229</v>
      </c>
      <c r="E244" s="140" t="s">
        <v>562</v>
      </c>
    </row>
    <row r="245" spans="2:5">
      <c r="B245" s="139">
        <v>337</v>
      </c>
      <c r="D245" s="127" t="s">
        <v>230</v>
      </c>
      <c r="E245" s="140" t="s">
        <v>745</v>
      </c>
    </row>
    <row r="246" spans="2:5">
      <c r="B246" s="139">
        <v>338</v>
      </c>
      <c r="D246" s="127" t="s">
        <v>231</v>
      </c>
      <c r="E246" s="140" t="s">
        <v>563</v>
      </c>
    </row>
    <row r="247" spans="2:5">
      <c r="B247" s="139">
        <v>339</v>
      </c>
      <c r="D247" s="127" t="s">
        <v>232</v>
      </c>
      <c r="E247" s="140" t="s">
        <v>746</v>
      </c>
    </row>
    <row r="248" spans="2:5">
      <c r="B248" s="139">
        <v>340</v>
      </c>
      <c r="D248" s="127" t="s">
        <v>233</v>
      </c>
      <c r="E248" s="140" t="s">
        <v>564</v>
      </c>
    </row>
    <row r="249" spans="2:5">
      <c r="B249" s="139">
        <v>341</v>
      </c>
      <c r="D249" s="127" t="s">
        <v>234</v>
      </c>
      <c r="E249" s="140" t="s">
        <v>747</v>
      </c>
    </row>
    <row r="250" spans="2:5">
      <c r="B250" s="139">
        <v>342</v>
      </c>
      <c r="D250" s="127" t="s">
        <v>235</v>
      </c>
      <c r="E250" s="140" t="s">
        <v>565</v>
      </c>
    </row>
    <row r="251" spans="2:5">
      <c r="B251" s="139">
        <v>343</v>
      </c>
      <c r="D251" s="127" t="s">
        <v>236</v>
      </c>
      <c r="E251" s="140" t="s">
        <v>748</v>
      </c>
    </row>
    <row r="252" spans="2:5">
      <c r="B252" s="139">
        <v>344</v>
      </c>
      <c r="D252" s="127" t="s">
        <v>237</v>
      </c>
      <c r="E252" s="140" t="s">
        <v>566</v>
      </c>
    </row>
    <row r="253" spans="2:5">
      <c r="B253" s="139">
        <v>345</v>
      </c>
      <c r="D253" s="127" t="s">
        <v>238</v>
      </c>
      <c r="E253" s="140" t="s">
        <v>749</v>
      </c>
    </row>
    <row r="254" spans="2:5">
      <c r="B254" s="139">
        <v>346</v>
      </c>
      <c r="D254" s="127" t="s">
        <v>239</v>
      </c>
      <c r="E254" s="140" t="s">
        <v>750</v>
      </c>
    </row>
    <row r="255" spans="2:5">
      <c r="B255" s="139">
        <v>347</v>
      </c>
      <c r="D255" s="127" t="s">
        <v>487</v>
      </c>
      <c r="E255" s="140" t="s">
        <v>487</v>
      </c>
    </row>
    <row r="256" spans="2:5">
      <c r="B256" s="139">
        <v>348</v>
      </c>
      <c r="D256" s="127" t="s">
        <v>240</v>
      </c>
      <c r="E256" s="140" t="s">
        <v>567</v>
      </c>
    </row>
    <row r="257" spans="2:5" ht="24">
      <c r="B257" s="139">
        <v>349</v>
      </c>
      <c r="D257" s="127" t="s">
        <v>241</v>
      </c>
      <c r="E257" s="140" t="s">
        <v>751</v>
      </c>
    </row>
    <row r="258" spans="2:5">
      <c r="B258" s="139">
        <v>350</v>
      </c>
      <c r="D258" s="127" t="s">
        <v>242</v>
      </c>
      <c r="E258" s="140" t="s">
        <v>752</v>
      </c>
    </row>
    <row r="259" spans="2:5" ht="24">
      <c r="B259" s="139">
        <v>351</v>
      </c>
      <c r="D259" s="127" t="s">
        <v>243</v>
      </c>
      <c r="E259" s="140" t="s">
        <v>753</v>
      </c>
    </row>
    <row r="260" spans="2:5" ht="12.75">
      <c r="B260" s="139">
        <v>352</v>
      </c>
      <c r="D260" s="134" t="s">
        <v>944</v>
      </c>
      <c r="E260" s="147" t="s">
        <v>945</v>
      </c>
    </row>
    <row r="261" spans="2:5">
      <c r="B261" s="139">
        <v>353</v>
      </c>
      <c r="D261" s="127" t="s">
        <v>488</v>
      </c>
      <c r="E261" s="140" t="s">
        <v>568</v>
      </c>
    </row>
    <row r="262" spans="2:5">
      <c r="B262" s="139">
        <v>354</v>
      </c>
      <c r="D262" s="127" t="s">
        <v>244</v>
      </c>
      <c r="E262" s="140" t="s">
        <v>754</v>
      </c>
    </row>
    <row r="263" spans="2:5">
      <c r="B263" s="139">
        <v>355</v>
      </c>
      <c r="D263" s="127" t="s">
        <v>489</v>
      </c>
      <c r="E263" s="140" t="s">
        <v>755</v>
      </c>
    </row>
    <row r="264" spans="2:5">
      <c r="B264" s="139">
        <v>356</v>
      </c>
      <c r="D264" s="127" t="s">
        <v>245</v>
      </c>
      <c r="E264" s="140" t="s">
        <v>569</v>
      </c>
    </row>
    <row r="265" spans="2:5">
      <c r="B265" s="139">
        <v>357</v>
      </c>
      <c r="D265" s="127" t="s">
        <v>246</v>
      </c>
      <c r="E265" s="140" t="s">
        <v>570</v>
      </c>
    </row>
    <row r="266" spans="2:5">
      <c r="B266" s="139">
        <v>358</v>
      </c>
      <c r="D266" s="127" t="s">
        <v>247</v>
      </c>
      <c r="E266" s="140" t="s">
        <v>756</v>
      </c>
    </row>
    <row r="267" spans="2:5">
      <c r="B267" s="139">
        <v>359</v>
      </c>
      <c r="D267" s="127" t="s">
        <v>248</v>
      </c>
      <c r="E267" s="140" t="s">
        <v>757</v>
      </c>
    </row>
    <row r="268" spans="2:5">
      <c r="B268" s="139">
        <v>360</v>
      </c>
      <c r="D268" s="127" t="s">
        <v>249</v>
      </c>
      <c r="E268" s="140" t="s">
        <v>758</v>
      </c>
    </row>
    <row r="269" spans="2:5">
      <c r="B269" s="139">
        <v>361</v>
      </c>
      <c r="D269" s="127" t="s">
        <v>250</v>
      </c>
    </row>
    <row r="270" spans="2:5">
      <c r="B270" s="139">
        <v>362</v>
      </c>
      <c r="D270" s="127" t="s">
        <v>490</v>
      </c>
      <c r="E270" s="140" t="s">
        <v>759</v>
      </c>
    </row>
    <row r="271" spans="2:5" ht="24">
      <c r="B271" s="139">
        <v>363</v>
      </c>
      <c r="D271" s="127" t="s">
        <v>491</v>
      </c>
      <c r="E271" s="140" t="s">
        <v>760</v>
      </c>
    </row>
    <row r="272" spans="2:5" ht="24">
      <c r="B272" s="139">
        <v>364</v>
      </c>
      <c r="D272" s="127" t="s">
        <v>251</v>
      </c>
      <c r="E272" s="140" t="s">
        <v>761</v>
      </c>
    </row>
    <row r="273" spans="2:5">
      <c r="B273" s="139">
        <v>365</v>
      </c>
      <c r="D273" s="127" t="s">
        <v>252</v>
      </c>
      <c r="E273" s="140" t="s">
        <v>762</v>
      </c>
    </row>
    <row r="274" spans="2:5">
      <c r="B274" s="139">
        <v>366</v>
      </c>
      <c r="D274" s="127" t="s">
        <v>253</v>
      </c>
      <c r="E274" s="140" t="s">
        <v>763</v>
      </c>
    </row>
    <row r="275" spans="2:5">
      <c r="B275" s="139">
        <v>367</v>
      </c>
      <c r="D275" s="127" t="s">
        <v>254</v>
      </c>
      <c r="E275" s="140" t="s">
        <v>571</v>
      </c>
    </row>
    <row r="276" spans="2:5">
      <c r="B276" s="139">
        <v>368</v>
      </c>
      <c r="D276" s="127" t="s">
        <v>255</v>
      </c>
      <c r="E276" s="140" t="s">
        <v>572</v>
      </c>
    </row>
    <row r="277" spans="2:5">
      <c r="B277" s="139">
        <v>369</v>
      </c>
      <c r="D277" s="127" t="s">
        <v>256</v>
      </c>
      <c r="E277" s="140" t="s">
        <v>764</v>
      </c>
    </row>
    <row r="278" spans="2:5">
      <c r="B278" s="139">
        <v>370</v>
      </c>
      <c r="D278" s="127" t="s">
        <v>257</v>
      </c>
      <c r="E278" s="140" t="s">
        <v>573</v>
      </c>
    </row>
    <row r="279" spans="2:5">
      <c r="B279" s="139">
        <v>371</v>
      </c>
      <c r="D279" s="127" t="s">
        <v>258</v>
      </c>
      <c r="E279" s="140" t="s">
        <v>765</v>
      </c>
    </row>
    <row r="280" spans="2:5">
      <c r="B280" s="139">
        <v>372</v>
      </c>
      <c r="D280" s="127" t="s">
        <v>259</v>
      </c>
      <c r="E280" s="140" t="s">
        <v>574</v>
      </c>
    </row>
    <row r="281" spans="2:5">
      <c r="B281" s="139">
        <v>373</v>
      </c>
      <c r="D281" s="127" t="s">
        <v>260</v>
      </c>
      <c r="E281" s="140" t="s">
        <v>575</v>
      </c>
    </row>
    <row r="282" spans="2:5">
      <c r="B282" s="139">
        <v>374</v>
      </c>
      <c r="D282" s="127" t="s">
        <v>261</v>
      </c>
      <c r="E282" s="140" t="s">
        <v>766</v>
      </c>
    </row>
    <row r="283" spans="2:5">
      <c r="B283" s="139">
        <v>375</v>
      </c>
      <c r="D283" s="127" t="s">
        <v>262</v>
      </c>
      <c r="E283" s="140" t="s">
        <v>767</v>
      </c>
    </row>
    <row r="284" spans="2:5">
      <c r="B284" s="139">
        <v>376</v>
      </c>
      <c r="D284" s="127" t="s">
        <v>263</v>
      </c>
      <c r="E284" s="140" t="s">
        <v>768</v>
      </c>
    </row>
    <row r="285" spans="2:5">
      <c r="B285" s="139">
        <v>377</v>
      </c>
      <c r="D285" s="127" t="s">
        <v>264</v>
      </c>
      <c r="E285" s="140" t="s">
        <v>769</v>
      </c>
    </row>
    <row r="286" spans="2:5">
      <c r="B286" s="139">
        <v>378</v>
      </c>
      <c r="D286" s="127" t="s">
        <v>265</v>
      </c>
      <c r="E286" s="140" t="s">
        <v>576</v>
      </c>
    </row>
    <row r="287" spans="2:5">
      <c r="B287" s="139">
        <v>379</v>
      </c>
      <c r="D287" s="127" t="s">
        <v>266</v>
      </c>
      <c r="E287" s="140" t="s">
        <v>946</v>
      </c>
    </row>
    <row r="288" spans="2:5">
      <c r="B288" s="139">
        <v>380</v>
      </c>
      <c r="D288" s="127" t="s">
        <v>267</v>
      </c>
      <c r="E288" s="140" t="s">
        <v>770</v>
      </c>
    </row>
    <row r="289" spans="2:5">
      <c r="B289" s="139">
        <v>381</v>
      </c>
      <c r="D289" s="127" t="s">
        <v>268</v>
      </c>
      <c r="E289" s="140" t="s">
        <v>577</v>
      </c>
    </row>
    <row r="290" spans="2:5" ht="36">
      <c r="B290" s="139">
        <v>382</v>
      </c>
      <c r="D290" s="127" t="s">
        <v>269</v>
      </c>
      <c r="E290" s="140" t="s">
        <v>771</v>
      </c>
    </row>
    <row r="291" spans="2:5">
      <c r="B291" s="139">
        <v>383</v>
      </c>
      <c r="D291" s="127" t="s">
        <v>270</v>
      </c>
      <c r="E291" s="140" t="s">
        <v>772</v>
      </c>
    </row>
    <row r="292" spans="2:5" ht="24">
      <c r="B292" s="139">
        <v>384</v>
      </c>
      <c r="D292" s="127" t="s">
        <v>271</v>
      </c>
      <c r="E292" s="140" t="s">
        <v>773</v>
      </c>
    </row>
    <row r="293" spans="2:5">
      <c r="B293" s="139">
        <v>385</v>
      </c>
      <c r="D293" s="127" t="s">
        <v>272</v>
      </c>
      <c r="E293" s="140" t="s">
        <v>774</v>
      </c>
    </row>
    <row r="294" spans="2:5" ht="24">
      <c r="B294" s="139">
        <v>386</v>
      </c>
      <c r="D294" s="127" t="s">
        <v>273</v>
      </c>
      <c r="E294" s="140" t="s">
        <v>775</v>
      </c>
    </row>
    <row r="295" spans="2:5" ht="24">
      <c r="B295" s="139">
        <v>387</v>
      </c>
      <c r="D295" s="127" t="s">
        <v>274</v>
      </c>
      <c r="E295" s="140" t="s">
        <v>776</v>
      </c>
    </row>
    <row r="296" spans="2:5" ht="24">
      <c r="B296" s="139">
        <v>388</v>
      </c>
      <c r="D296" s="127" t="s">
        <v>275</v>
      </c>
      <c r="E296" s="140" t="s">
        <v>777</v>
      </c>
    </row>
    <row r="297" spans="2:5" ht="24">
      <c r="B297" s="139">
        <v>389</v>
      </c>
      <c r="D297" s="127" t="s">
        <v>276</v>
      </c>
      <c r="E297" s="140" t="s">
        <v>778</v>
      </c>
    </row>
    <row r="298" spans="2:5" ht="24">
      <c r="B298" s="139">
        <v>390</v>
      </c>
      <c r="D298" s="127" t="s">
        <v>277</v>
      </c>
      <c r="E298" s="140" t="s">
        <v>779</v>
      </c>
    </row>
    <row r="299" spans="2:5" ht="24">
      <c r="B299" s="139">
        <v>391</v>
      </c>
      <c r="D299" s="127" t="s">
        <v>278</v>
      </c>
      <c r="E299" s="140" t="s">
        <v>780</v>
      </c>
    </row>
    <row r="300" spans="2:5" ht="24">
      <c r="B300" s="139">
        <v>392</v>
      </c>
      <c r="D300" s="127" t="s">
        <v>279</v>
      </c>
      <c r="E300" s="140" t="s">
        <v>781</v>
      </c>
    </row>
    <row r="301" spans="2:5" ht="24">
      <c r="B301" s="139">
        <v>393</v>
      </c>
      <c r="D301" s="127" t="s">
        <v>280</v>
      </c>
      <c r="E301" s="140" t="s">
        <v>782</v>
      </c>
    </row>
    <row r="302" spans="2:5" ht="24">
      <c r="B302" s="139">
        <v>394</v>
      </c>
      <c r="D302" s="127" t="s">
        <v>281</v>
      </c>
      <c r="E302" s="140" t="s">
        <v>783</v>
      </c>
    </row>
    <row r="303" spans="2:5" ht="24">
      <c r="B303" s="139">
        <v>395</v>
      </c>
      <c r="D303" s="127" t="s">
        <v>282</v>
      </c>
      <c r="E303" s="140" t="s">
        <v>784</v>
      </c>
    </row>
    <row r="304" spans="2:5" ht="24">
      <c r="B304" s="139">
        <v>396</v>
      </c>
      <c r="D304" s="127" t="s">
        <v>283</v>
      </c>
      <c r="E304" s="140" t="s">
        <v>785</v>
      </c>
    </row>
    <row r="305" spans="2:5" ht="24">
      <c r="B305" s="139">
        <v>397</v>
      </c>
      <c r="D305" s="127" t="s">
        <v>284</v>
      </c>
      <c r="E305" s="140" t="s">
        <v>786</v>
      </c>
    </row>
    <row r="306" spans="2:5" ht="24">
      <c r="B306" s="139">
        <v>398</v>
      </c>
      <c r="D306" s="127" t="s">
        <v>285</v>
      </c>
      <c r="E306" s="140" t="s">
        <v>787</v>
      </c>
    </row>
    <row r="307" spans="2:5" ht="24">
      <c r="B307" s="139">
        <v>399</v>
      </c>
      <c r="D307" s="127" t="s">
        <v>286</v>
      </c>
      <c r="E307" s="140" t="s">
        <v>788</v>
      </c>
    </row>
    <row r="308" spans="2:5" ht="24">
      <c r="B308" s="139">
        <v>400</v>
      </c>
      <c r="D308" s="127" t="s">
        <v>287</v>
      </c>
      <c r="E308" s="140" t="s">
        <v>789</v>
      </c>
    </row>
    <row r="309" spans="2:5" ht="24">
      <c r="B309" s="139">
        <v>401</v>
      </c>
      <c r="D309" s="127" t="s">
        <v>288</v>
      </c>
      <c r="E309" s="140" t="s">
        <v>790</v>
      </c>
    </row>
    <row r="310" spans="2:5" ht="24">
      <c r="B310" s="139">
        <v>402</v>
      </c>
      <c r="D310" s="127" t="s">
        <v>289</v>
      </c>
      <c r="E310" s="140" t="s">
        <v>791</v>
      </c>
    </row>
    <row r="311" spans="2:5" ht="24">
      <c r="B311" s="139">
        <v>403</v>
      </c>
      <c r="D311" s="127" t="s">
        <v>290</v>
      </c>
      <c r="E311" s="140" t="s">
        <v>792</v>
      </c>
    </row>
    <row r="312" spans="2:5" ht="24">
      <c r="B312" s="139">
        <v>404</v>
      </c>
      <c r="D312" s="127" t="s">
        <v>291</v>
      </c>
      <c r="E312" s="140" t="s">
        <v>793</v>
      </c>
    </row>
    <row r="313" spans="2:5">
      <c r="B313" s="139">
        <v>405</v>
      </c>
      <c r="D313" s="127" t="s">
        <v>492</v>
      </c>
      <c r="E313" s="140" t="s">
        <v>794</v>
      </c>
    </row>
    <row r="314" spans="2:5">
      <c r="B314" s="139">
        <v>406</v>
      </c>
      <c r="D314" s="127" t="s">
        <v>493</v>
      </c>
      <c r="E314" s="140" t="s">
        <v>794</v>
      </c>
    </row>
    <row r="315" spans="2:5">
      <c r="B315" s="139">
        <v>407</v>
      </c>
      <c r="D315" s="127" t="s">
        <v>292</v>
      </c>
      <c r="E315" s="140" t="s">
        <v>795</v>
      </c>
    </row>
    <row r="316" spans="2:5" ht="24">
      <c r="B316" s="139">
        <v>408</v>
      </c>
      <c r="D316" s="127" t="s">
        <v>293</v>
      </c>
      <c r="E316" s="140" t="s">
        <v>796</v>
      </c>
    </row>
    <row r="317" spans="2:5">
      <c r="B317" s="139">
        <v>409</v>
      </c>
      <c r="D317" s="127" t="s">
        <v>294</v>
      </c>
      <c r="E317" s="140" t="s">
        <v>797</v>
      </c>
    </row>
    <row r="318" spans="2:5" ht="24">
      <c r="B318" s="139">
        <v>410</v>
      </c>
      <c r="D318" s="127" t="s">
        <v>295</v>
      </c>
      <c r="E318" s="140" t="s">
        <v>798</v>
      </c>
    </row>
    <row r="319" spans="2:5">
      <c r="B319" s="139">
        <v>411</v>
      </c>
      <c r="D319" s="127" t="s">
        <v>494</v>
      </c>
      <c r="E319" s="140" t="s">
        <v>799</v>
      </c>
    </row>
    <row r="320" spans="2:5" ht="24">
      <c r="B320" s="139">
        <v>412</v>
      </c>
      <c r="D320" s="127" t="s">
        <v>495</v>
      </c>
      <c r="E320" s="140" t="s">
        <v>800</v>
      </c>
    </row>
    <row r="321" spans="1:6">
      <c r="B321" s="139">
        <v>413</v>
      </c>
      <c r="D321" s="127" t="s">
        <v>296</v>
      </c>
      <c r="E321" s="140" t="s">
        <v>801</v>
      </c>
    </row>
    <row r="322" spans="1:6" ht="24">
      <c r="B322" s="139">
        <v>414</v>
      </c>
      <c r="D322" s="127" t="s">
        <v>297</v>
      </c>
      <c r="E322" s="140" t="s">
        <v>802</v>
      </c>
    </row>
    <row r="323" spans="1:6">
      <c r="B323" s="139">
        <v>415</v>
      </c>
      <c r="D323" s="127" t="s">
        <v>298</v>
      </c>
      <c r="E323" s="140" t="s">
        <v>803</v>
      </c>
    </row>
    <row r="324" spans="1:6" ht="36">
      <c r="B324" s="139">
        <v>416</v>
      </c>
      <c r="D324" s="127" t="s">
        <v>299</v>
      </c>
      <c r="E324" s="140" t="s">
        <v>804</v>
      </c>
    </row>
    <row r="325" spans="1:6">
      <c r="B325" s="139">
        <v>417</v>
      </c>
      <c r="D325" s="127" t="s">
        <v>300</v>
      </c>
      <c r="E325" s="140" t="s">
        <v>805</v>
      </c>
    </row>
    <row r="326" spans="1:6" ht="24">
      <c r="B326" s="139">
        <v>418</v>
      </c>
      <c r="D326" s="127" t="s">
        <v>301</v>
      </c>
      <c r="E326" s="140" t="s">
        <v>806</v>
      </c>
    </row>
    <row r="327" spans="1:6" ht="24">
      <c r="B327" s="139">
        <v>419</v>
      </c>
      <c r="D327" s="127" t="s">
        <v>302</v>
      </c>
      <c r="E327" s="140" t="s">
        <v>807</v>
      </c>
    </row>
    <row r="328" spans="1:6" ht="24">
      <c r="B328" s="139">
        <v>420</v>
      </c>
      <c r="D328" s="127" t="s">
        <v>303</v>
      </c>
      <c r="E328" s="140" t="s">
        <v>808</v>
      </c>
    </row>
    <row r="329" spans="1:6">
      <c r="B329" s="139">
        <v>421</v>
      </c>
      <c r="D329" s="127" t="s">
        <v>304</v>
      </c>
      <c r="E329" s="140" t="s">
        <v>809</v>
      </c>
    </row>
    <row r="330" spans="1:6">
      <c r="B330" s="139">
        <v>422</v>
      </c>
      <c r="D330" s="127" t="s">
        <v>305</v>
      </c>
      <c r="E330" s="140" t="s">
        <v>810</v>
      </c>
    </row>
    <row r="331" spans="1:6">
      <c r="B331" s="139">
        <v>423</v>
      </c>
      <c r="D331" s="127" t="s">
        <v>306</v>
      </c>
      <c r="E331" s="140" t="s">
        <v>811</v>
      </c>
    </row>
    <row r="332" spans="1:6">
      <c r="B332" s="139">
        <v>424</v>
      </c>
      <c r="D332" s="127" t="s">
        <v>307</v>
      </c>
      <c r="E332" s="140" t="s">
        <v>812</v>
      </c>
    </row>
    <row r="333" spans="1:6">
      <c r="B333" s="139">
        <v>425</v>
      </c>
      <c r="D333" s="127" t="s">
        <v>308</v>
      </c>
      <c r="E333" s="140" t="s">
        <v>813</v>
      </c>
    </row>
    <row r="334" spans="1:6">
      <c r="B334" s="139">
        <v>426</v>
      </c>
      <c r="D334" s="127" t="s">
        <v>309</v>
      </c>
      <c r="E334" s="140" t="s">
        <v>814</v>
      </c>
    </row>
    <row r="335" spans="1:6">
      <c r="B335" s="139">
        <v>427</v>
      </c>
      <c r="D335" s="127" t="s">
        <v>496</v>
      </c>
      <c r="E335" s="140" t="s">
        <v>815</v>
      </c>
    </row>
    <row r="336" spans="1:6" ht="38.25">
      <c r="A336" s="134"/>
      <c r="B336" s="139">
        <v>428</v>
      </c>
      <c r="C336" s="137" t="s">
        <v>911</v>
      </c>
      <c r="D336" s="134" t="s">
        <v>947</v>
      </c>
      <c r="E336" s="134" t="s">
        <v>948</v>
      </c>
      <c r="F336" s="135"/>
    </row>
    <row r="337" spans="2:5" ht="36">
      <c r="B337" s="139">
        <v>429</v>
      </c>
      <c r="D337" s="127" t="s">
        <v>310</v>
      </c>
      <c r="E337" s="140" t="s">
        <v>816</v>
      </c>
    </row>
    <row r="338" spans="2:5">
      <c r="B338" s="139">
        <v>430</v>
      </c>
      <c r="D338" s="127" t="s">
        <v>311</v>
      </c>
      <c r="E338" s="140" t="s">
        <v>817</v>
      </c>
    </row>
    <row r="339" spans="2:5">
      <c r="B339" s="139">
        <v>431</v>
      </c>
      <c r="D339" s="127" t="s">
        <v>312</v>
      </c>
      <c r="E339" s="140" t="s">
        <v>818</v>
      </c>
    </row>
    <row r="340" spans="2:5">
      <c r="B340" s="139">
        <v>432</v>
      </c>
      <c r="D340" s="127" t="s">
        <v>313</v>
      </c>
      <c r="E340" s="140" t="s">
        <v>819</v>
      </c>
    </row>
    <row r="341" spans="2:5" ht="24">
      <c r="B341" s="139">
        <v>433</v>
      </c>
      <c r="D341" s="127" t="s">
        <v>314</v>
      </c>
      <c r="E341" s="140" t="s">
        <v>820</v>
      </c>
    </row>
    <row r="342" spans="2:5">
      <c r="B342" s="139">
        <v>434</v>
      </c>
      <c r="D342" s="127" t="s">
        <v>315</v>
      </c>
      <c r="E342" s="140" t="s">
        <v>821</v>
      </c>
    </row>
    <row r="343" spans="2:5">
      <c r="B343" s="139">
        <v>435</v>
      </c>
      <c r="D343" s="127" t="s">
        <v>316</v>
      </c>
      <c r="E343" s="140" t="s">
        <v>822</v>
      </c>
    </row>
    <row r="344" spans="2:5">
      <c r="B344" s="139">
        <v>436</v>
      </c>
      <c r="D344" s="127" t="s">
        <v>317</v>
      </c>
      <c r="E344" s="140" t="s">
        <v>823</v>
      </c>
    </row>
    <row r="345" spans="2:5">
      <c r="B345" s="139">
        <v>437</v>
      </c>
      <c r="D345" s="127" t="s">
        <v>318</v>
      </c>
      <c r="E345" s="140" t="s">
        <v>824</v>
      </c>
    </row>
    <row r="346" spans="2:5">
      <c r="B346" s="139">
        <v>438</v>
      </c>
      <c r="D346" s="127" t="s">
        <v>497</v>
      </c>
      <c r="E346" s="140" t="s">
        <v>825</v>
      </c>
    </row>
    <row r="347" spans="2:5">
      <c r="B347" s="139">
        <v>439</v>
      </c>
      <c r="D347" s="127" t="s">
        <v>319</v>
      </c>
      <c r="E347" s="140" t="s">
        <v>826</v>
      </c>
    </row>
    <row r="348" spans="2:5">
      <c r="B348" s="139">
        <v>440</v>
      </c>
      <c r="D348" s="127" t="s">
        <v>498</v>
      </c>
      <c r="E348" s="140" t="s">
        <v>827</v>
      </c>
    </row>
    <row r="349" spans="2:5" ht="24">
      <c r="B349" s="139">
        <v>441</v>
      </c>
      <c r="D349" s="127" t="s">
        <v>320</v>
      </c>
      <c r="E349" s="140" t="s">
        <v>828</v>
      </c>
    </row>
    <row r="350" spans="2:5">
      <c r="B350" s="139">
        <v>442</v>
      </c>
      <c r="D350" s="127" t="s">
        <v>321</v>
      </c>
      <c r="E350" s="140" t="s">
        <v>829</v>
      </c>
    </row>
    <row r="351" spans="2:5">
      <c r="B351" s="139">
        <v>443</v>
      </c>
      <c r="D351" s="127" t="s">
        <v>322</v>
      </c>
      <c r="E351" s="140" t="s">
        <v>830</v>
      </c>
    </row>
    <row r="352" spans="2:5">
      <c r="B352" s="139">
        <v>444</v>
      </c>
      <c r="D352" s="127" t="s">
        <v>323</v>
      </c>
      <c r="E352" s="140" t="s">
        <v>831</v>
      </c>
    </row>
    <row r="353" spans="2:5" ht="36">
      <c r="B353" s="139">
        <v>445</v>
      </c>
      <c r="D353" s="127" t="s">
        <v>390</v>
      </c>
      <c r="E353" s="140" t="s">
        <v>832</v>
      </c>
    </row>
    <row r="354" spans="2:5">
      <c r="B354" s="139">
        <v>446</v>
      </c>
      <c r="D354" s="127" t="s">
        <v>324</v>
      </c>
      <c r="E354" s="140" t="s">
        <v>833</v>
      </c>
    </row>
    <row r="355" spans="2:5">
      <c r="B355" s="139">
        <v>447</v>
      </c>
      <c r="D355" s="127" t="s">
        <v>325</v>
      </c>
      <c r="E355" s="140" t="s">
        <v>834</v>
      </c>
    </row>
    <row r="356" spans="2:5">
      <c r="B356" s="139">
        <v>448</v>
      </c>
      <c r="D356" s="127" t="s">
        <v>326</v>
      </c>
      <c r="E356" s="140" t="s">
        <v>835</v>
      </c>
    </row>
    <row r="357" spans="2:5">
      <c r="B357" s="139">
        <v>449</v>
      </c>
      <c r="D357" s="127" t="s">
        <v>327</v>
      </c>
      <c r="E357" s="140" t="s">
        <v>836</v>
      </c>
    </row>
    <row r="358" spans="2:5">
      <c r="B358" s="139">
        <v>450</v>
      </c>
      <c r="D358" s="127" t="s">
        <v>328</v>
      </c>
      <c r="E358" s="140" t="s">
        <v>837</v>
      </c>
    </row>
    <row r="359" spans="2:5" ht="24">
      <c r="B359" s="139">
        <v>451</v>
      </c>
      <c r="D359" s="127" t="s">
        <v>329</v>
      </c>
      <c r="E359" s="140" t="s">
        <v>838</v>
      </c>
    </row>
    <row r="360" spans="2:5">
      <c r="B360" s="139">
        <v>452</v>
      </c>
      <c r="D360" s="127" t="s">
        <v>330</v>
      </c>
      <c r="E360" s="140" t="s">
        <v>839</v>
      </c>
    </row>
    <row r="361" spans="2:5">
      <c r="B361" s="139">
        <v>453</v>
      </c>
      <c r="D361" s="127" t="s">
        <v>331</v>
      </c>
      <c r="E361" s="140" t="s">
        <v>840</v>
      </c>
    </row>
    <row r="362" spans="2:5">
      <c r="B362" s="139">
        <v>454</v>
      </c>
      <c r="D362" s="127" t="s">
        <v>332</v>
      </c>
      <c r="E362" s="140" t="s">
        <v>841</v>
      </c>
    </row>
    <row r="363" spans="2:5" ht="24">
      <c r="B363" s="139">
        <v>455</v>
      </c>
      <c r="D363" s="127" t="s">
        <v>499</v>
      </c>
      <c r="E363" s="140" t="s">
        <v>842</v>
      </c>
    </row>
    <row r="364" spans="2:5">
      <c r="B364" s="139">
        <v>456</v>
      </c>
      <c r="D364" s="127" t="s">
        <v>333</v>
      </c>
      <c r="E364" s="140" t="s">
        <v>578</v>
      </c>
    </row>
    <row r="365" spans="2:5">
      <c r="B365" s="139">
        <v>457</v>
      </c>
      <c r="D365" s="127" t="s">
        <v>334</v>
      </c>
      <c r="E365" s="140" t="s">
        <v>843</v>
      </c>
    </row>
    <row r="366" spans="2:5">
      <c r="B366" s="139">
        <v>458</v>
      </c>
      <c r="D366" s="127" t="s">
        <v>335</v>
      </c>
      <c r="E366" s="140" t="s">
        <v>844</v>
      </c>
    </row>
    <row r="367" spans="2:5">
      <c r="B367" s="139">
        <v>459</v>
      </c>
      <c r="D367" s="127" t="s">
        <v>500</v>
      </c>
      <c r="E367" s="140" t="s">
        <v>845</v>
      </c>
    </row>
    <row r="368" spans="2:5" ht="36">
      <c r="B368" s="139">
        <v>460</v>
      </c>
      <c r="D368" s="127" t="s">
        <v>501</v>
      </c>
      <c r="E368" s="140" t="s">
        <v>846</v>
      </c>
    </row>
    <row r="369" spans="1:6">
      <c r="B369" s="139">
        <v>461</v>
      </c>
      <c r="D369" s="127" t="s">
        <v>336</v>
      </c>
      <c r="E369" s="140" t="s">
        <v>579</v>
      </c>
    </row>
    <row r="370" spans="1:6">
      <c r="B370" s="139">
        <v>462</v>
      </c>
      <c r="D370" s="127" t="s">
        <v>337</v>
      </c>
      <c r="E370" s="140" t="s">
        <v>847</v>
      </c>
    </row>
    <row r="371" spans="1:6">
      <c r="B371" s="139">
        <v>463</v>
      </c>
      <c r="D371" s="127" t="s">
        <v>338</v>
      </c>
      <c r="E371" s="140" t="s">
        <v>848</v>
      </c>
    </row>
    <row r="372" spans="1:6" ht="36">
      <c r="B372" s="139">
        <v>464</v>
      </c>
      <c r="D372" s="127" t="s">
        <v>339</v>
      </c>
      <c r="E372" s="140" t="s">
        <v>849</v>
      </c>
    </row>
    <row r="373" spans="1:6">
      <c r="B373" s="139">
        <v>465</v>
      </c>
      <c r="D373" s="127" t="s">
        <v>340</v>
      </c>
      <c r="E373" s="140" t="s">
        <v>850</v>
      </c>
    </row>
    <row r="374" spans="1:6">
      <c r="A374" s="129"/>
      <c r="B374" s="139">
        <v>466</v>
      </c>
      <c r="C374" s="138" t="s">
        <v>510</v>
      </c>
      <c r="D374" s="128" t="s">
        <v>891</v>
      </c>
      <c r="E374" s="128" t="s">
        <v>949</v>
      </c>
      <c r="F374" s="130"/>
    </row>
    <row r="375" spans="1:6">
      <c r="A375" s="129"/>
      <c r="B375" s="139">
        <v>467</v>
      </c>
      <c r="C375" s="138" t="s">
        <v>510</v>
      </c>
      <c r="D375" s="128" t="s">
        <v>950</v>
      </c>
      <c r="E375" s="128" t="s">
        <v>892</v>
      </c>
      <c r="F375" s="130"/>
    </row>
    <row r="376" spans="1:6" ht="12.75">
      <c r="B376" s="139">
        <v>468</v>
      </c>
      <c r="D376" s="127" t="s">
        <v>341</v>
      </c>
      <c r="E376" s="148" t="s">
        <v>898</v>
      </c>
    </row>
    <row r="377" spans="1:6">
      <c r="B377" s="139">
        <v>469</v>
      </c>
      <c r="D377" s="127" t="s">
        <v>342</v>
      </c>
      <c r="E377" s="140" t="s">
        <v>851</v>
      </c>
    </row>
    <row r="378" spans="1:6">
      <c r="B378" s="139">
        <v>470</v>
      </c>
      <c r="D378" s="127" t="s">
        <v>343</v>
      </c>
      <c r="E378" s="140" t="s">
        <v>580</v>
      </c>
    </row>
    <row r="379" spans="1:6" ht="24">
      <c r="B379" s="139">
        <v>471</v>
      </c>
      <c r="D379" s="127" t="s">
        <v>344</v>
      </c>
      <c r="E379" s="140" t="s">
        <v>852</v>
      </c>
    </row>
    <row r="380" spans="1:6">
      <c r="B380" s="139">
        <v>472</v>
      </c>
      <c r="D380" s="127" t="s">
        <v>345</v>
      </c>
      <c r="E380" s="140" t="s">
        <v>581</v>
      </c>
    </row>
    <row r="381" spans="1:6" ht="24">
      <c r="B381" s="139">
        <v>473</v>
      </c>
      <c r="D381" s="127" t="s">
        <v>346</v>
      </c>
      <c r="E381" s="140" t="s">
        <v>853</v>
      </c>
    </row>
    <row r="382" spans="1:6">
      <c r="B382" s="139">
        <v>474</v>
      </c>
      <c r="D382" s="127" t="s">
        <v>347</v>
      </c>
      <c r="E382" s="140" t="s">
        <v>582</v>
      </c>
    </row>
    <row r="383" spans="1:6">
      <c r="B383" s="139">
        <v>475</v>
      </c>
      <c r="D383" s="127" t="s">
        <v>348</v>
      </c>
      <c r="E383" s="140" t="s">
        <v>854</v>
      </c>
    </row>
    <row r="384" spans="1:6">
      <c r="B384" s="139">
        <v>476</v>
      </c>
      <c r="D384" s="127" t="s">
        <v>349</v>
      </c>
      <c r="E384" s="140" t="s">
        <v>855</v>
      </c>
    </row>
    <row r="385" spans="2:5">
      <c r="B385" s="139">
        <v>477</v>
      </c>
      <c r="D385" s="127" t="s">
        <v>350</v>
      </c>
      <c r="E385" s="140" t="s">
        <v>856</v>
      </c>
    </row>
    <row r="386" spans="2:5">
      <c r="B386" s="139">
        <v>478</v>
      </c>
      <c r="D386" s="127" t="s">
        <v>351</v>
      </c>
      <c r="E386" s="140" t="s">
        <v>857</v>
      </c>
    </row>
    <row r="387" spans="2:5">
      <c r="B387" s="139">
        <v>479</v>
      </c>
      <c r="D387" s="127" t="s">
        <v>352</v>
      </c>
      <c r="E387" s="140" t="s">
        <v>858</v>
      </c>
    </row>
    <row r="388" spans="2:5">
      <c r="B388" s="139">
        <v>480</v>
      </c>
      <c r="D388" s="127" t="s">
        <v>353</v>
      </c>
      <c r="E388" s="140" t="s">
        <v>353</v>
      </c>
    </row>
    <row r="389" spans="2:5">
      <c r="B389" s="139">
        <v>481</v>
      </c>
      <c r="D389" s="127" t="s">
        <v>502</v>
      </c>
      <c r="E389" s="140" t="s">
        <v>859</v>
      </c>
    </row>
    <row r="390" spans="2:5" ht="24">
      <c r="B390" s="139">
        <v>482</v>
      </c>
      <c r="D390" s="127" t="s">
        <v>354</v>
      </c>
      <c r="E390" s="140" t="s">
        <v>860</v>
      </c>
    </row>
    <row r="391" spans="2:5">
      <c r="B391" s="139">
        <v>483</v>
      </c>
      <c r="D391" s="127" t="s">
        <v>355</v>
      </c>
      <c r="E391" s="140" t="s">
        <v>355</v>
      </c>
    </row>
    <row r="392" spans="2:5">
      <c r="B392" s="139">
        <v>484</v>
      </c>
      <c r="D392" s="127" t="s">
        <v>503</v>
      </c>
    </row>
    <row r="393" spans="2:5">
      <c r="B393" s="139">
        <v>485</v>
      </c>
      <c r="D393" s="127" t="s">
        <v>356</v>
      </c>
      <c r="E393" s="140" t="s">
        <v>583</v>
      </c>
    </row>
    <row r="394" spans="2:5">
      <c r="B394" s="139">
        <v>486</v>
      </c>
      <c r="D394" s="127" t="s">
        <v>504</v>
      </c>
      <c r="E394" s="140" t="s">
        <v>584</v>
      </c>
    </row>
    <row r="395" spans="2:5">
      <c r="B395" s="139">
        <v>487</v>
      </c>
      <c r="D395" s="127" t="s">
        <v>505</v>
      </c>
      <c r="E395" s="140" t="s">
        <v>585</v>
      </c>
    </row>
    <row r="396" spans="2:5">
      <c r="B396" s="139">
        <v>488</v>
      </c>
      <c r="D396" s="127" t="s">
        <v>506</v>
      </c>
      <c r="E396" s="140" t="s">
        <v>584</v>
      </c>
    </row>
    <row r="397" spans="2:5">
      <c r="B397" s="139">
        <v>489</v>
      </c>
      <c r="D397" s="127" t="s">
        <v>357</v>
      </c>
      <c r="E397" s="140" t="s">
        <v>586</v>
      </c>
    </row>
    <row r="398" spans="2:5">
      <c r="B398" s="139">
        <v>490</v>
      </c>
      <c r="D398" s="127" t="s">
        <v>358</v>
      </c>
      <c r="E398" s="140" t="s">
        <v>861</v>
      </c>
    </row>
    <row r="399" spans="2:5">
      <c r="B399" s="139">
        <v>491</v>
      </c>
      <c r="D399" s="127" t="s">
        <v>359</v>
      </c>
      <c r="E399" s="140" t="s">
        <v>862</v>
      </c>
    </row>
    <row r="400" spans="2:5">
      <c r="B400" s="139">
        <v>492</v>
      </c>
      <c r="D400" s="127" t="s">
        <v>360</v>
      </c>
      <c r="E400" s="140" t="s">
        <v>587</v>
      </c>
    </row>
    <row r="401" spans="1:6">
      <c r="B401" s="139">
        <v>493</v>
      </c>
      <c r="D401" s="127" t="s">
        <v>361</v>
      </c>
    </row>
    <row r="402" spans="1:6">
      <c r="B402" s="139">
        <v>494</v>
      </c>
      <c r="D402" s="127" t="s">
        <v>362</v>
      </c>
    </row>
    <row r="403" spans="1:6">
      <c r="B403" s="139">
        <v>495</v>
      </c>
      <c r="D403" s="127" t="s">
        <v>363</v>
      </c>
      <c r="E403" s="140" t="s">
        <v>863</v>
      </c>
    </row>
    <row r="404" spans="1:6">
      <c r="B404" s="139">
        <v>496</v>
      </c>
      <c r="D404" s="127" t="s">
        <v>507</v>
      </c>
      <c r="E404" s="140" t="s">
        <v>864</v>
      </c>
    </row>
    <row r="405" spans="1:6">
      <c r="B405" s="139">
        <v>497</v>
      </c>
      <c r="D405" s="127" t="s">
        <v>364</v>
      </c>
      <c r="E405" s="140" t="s">
        <v>865</v>
      </c>
    </row>
    <row r="406" spans="1:6">
      <c r="B406" s="139">
        <v>498</v>
      </c>
      <c r="D406" s="127" t="s">
        <v>430</v>
      </c>
      <c r="E406" s="140" t="s">
        <v>866</v>
      </c>
    </row>
    <row r="407" spans="1:6">
      <c r="B407" s="139">
        <v>499</v>
      </c>
      <c r="D407" s="127" t="s">
        <v>365</v>
      </c>
      <c r="E407" s="140" t="s">
        <v>865</v>
      </c>
    </row>
    <row r="408" spans="1:6" ht="25.5">
      <c r="A408" s="134"/>
      <c r="B408" s="139">
        <v>500</v>
      </c>
      <c r="C408" s="134"/>
      <c r="D408" s="134" t="s">
        <v>951</v>
      </c>
      <c r="E408" s="134" t="s">
        <v>952</v>
      </c>
      <c r="F408" s="135"/>
    </row>
    <row r="409" spans="1:6">
      <c r="B409" s="139">
        <v>501</v>
      </c>
      <c r="D409" s="127" t="s">
        <v>366</v>
      </c>
      <c r="E409" s="140" t="s">
        <v>366</v>
      </c>
    </row>
    <row r="410" spans="1:6">
      <c r="B410" s="139">
        <v>502</v>
      </c>
      <c r="D410" s="127" t="s">
        <v>367</v>
      </c>
      <c r="E410" s="140" t="s">
        <v>867</v>
      </c>
    </row>
    <row r="411" spans="1:6">
      <c r="B411" s="139">
        <v>503</v>
      </c>
      <c r="D411" s="127" t="s">
        <v>368</v>
      </c>
      <c r="E411" s="140" t="s">
        <v>868</v>
      </c>
    </row>
    <row r="412" spans="1:6">
      <c r="B412" s="139">
        <v>504</v>
      </c>
      <c r="D412" s="127" t="s">
        <v>508</v>
      </c>
      <c r="E412" s="140" t="s">
        <v>869</v>
      </c>
    </row>
    <row r="413" spans="1:6">
      <c r="B413" s="139">
        <v>505</v>
      </c>
      <c r="D413" s="127" t="s">
        <v>369</v>
      </c>
      <c r="E413" s="140" t="s">
        <v>870</v>
      </c>
    </row>
    <row r="414" spans="1:6">
      <c r="B414" s="139">
        <v>506</v>
      </c>
      <c r="D414" s="127" t="s">
        <v>370</v>
      </c>
      <c r="E414" s="140" t="s">
        <v>871</v>
      </c>
    </row>
    <row r="415" spans="1:6">
      <c r="B415" s="139">
        <v>507</v>
      </c>
      <c r="D415" s="127" t="s">
        <v>371</v>
      </c>
      <c r="E415" s="140" t="s">
        <v>872</v>
      </c>
    </row>
    <row r="416" spans="1:6">
      <c r="B416" s="139">
        <v>508</v>
      </c>
      <c r="D416" s="127" t="s">
        <v>509</v>
      </c>
      <c r="E416" s="140" t="s">
        <v>873</v>
      </c>
    </row>
    <row r="417" spans="1:6" ht="24">
      <c r="B417" s="139">
        <v>509</v>
      </c>
      <c r="D417" s="127" t="s">
        <v>372</v>
      </c>
      <c r="E417" s="140" t="s">
        <v>874</v>
      </c>
    </row>
    <row r="418" spans="1:6">
      <c r="B418" s="139">
        <v>510</v>
      </c>
      <c r="D418" s="127" t="s">
        <v>373</v>
      </c>
      <c r="E418" s="140" t="s">
        <v>872</v>
      </c>
    </row>
    <row r="419" spans="1:6">
      <c r="B419" s="139">
        <v>511</v>
      </c>
      <c r="D419" s="127" t="s">
        <v>374</v>
      </c>
      <c r="E419" s="140" t="s">
        <v>875</v>
      </c>
    </row>
    <row r="420" spans="1:6">
      <c r="B420" s="139">
        <v>512</v>
      </c>
      <c r="D420" s="127" t="s">
        <v>375</v>
      </c>
      <c r="E420" s="140" t="s">
        <v>876</v>
      </c>
    </row>
    <row r="421" spans="1:6">
      <c r="B421" s="139">
        <v>513</v>
      </c>
      <c r="D421" s="127" t="s">
        <v>376</v>
      </c>
      <c r="E421" s="140" t="s">
        <v>877</v>
      </c>
    </row>
    <row r="422" spans="1:6" s="134" customFormat="1" ht="12.75">
      <c r="A422" s="126"/>
      <c r="B422" s="139">
        <v>514</v>
      </c>
      <c r="C422" s="136"/>
      <c r="D422" s="127" t="s">
        <v>377</v>
      </c>
      <c r="E422" s="140" t="s">
        <v>878</v>
      </c>
      <c r="F422" s="126"/>
    </row>
    <row r="423" spans="1:6" s="134" customFormat="1" ht="12.75">
      <c r="A423" s="126"/>
      <c r="B423" s="139">
        <v>515</v>
      </c>
      <c r="C423" s="136"/>
      <c r="D423" s="127" t="s">
        <v>378</v>
      </c>
      <c r="E423" s="140" t="s">
        <v>879</v>
      </c>
      <c r="F423" s="126"/>
    </row>
    <row r="424" spans="1:6" s="129" customFormat="1">
      <c r="A424" s="126"/>
      <c r="B424" s="139">
        <v>516</v>
      </c>
      <c r="C424" s="136"/>
      <c r="D424" s="127" t="s">
        <v>379</v>
      </c>
      <c r="E424" s="140" t="s">
        <v>871</v>
      </c>
      <c r="F424" s="126"/>
    </row>
    <row r="425" spans="1:6" s="129" customFormat="1" ht="24">
      <c r="A425" s="126"/>
      <c r="B425" s="139">
        <v>517</v>
      </c>
      <c r="C425" s="136"/>
      <c r="D425" s="127" t="s">
        <v>380</v>
      </c>
      <c r="E425" s="140" t="s">
        <v>880</v>
      </c>
      <c r="F425" s="126"/>
    </row>
    <row r="426" spans="1:6" s="129" customFormat="1" ht="36">
      <c r="A426" s="126"/>
      <c r="B426" s="139">
        <v>518</v>
      </c>
      <c r="C426" s="136"/>
      <c r="D426" s="127" t="s">
        <v>381</v>
      </c>
      <c r="E426" s="140" t="s">
        <v>881</v>
      </c>
      <c r="F426" s="126"/>
    </row>
    <row r="427" spans="1:6" s="129" customFormat="1">
      <c r="A427" s="126"/>
      <c r="B427" s="139">
        <v>519</v>
      </c>
      <c r="C427" s="136"/>
      <c r="D427" s="127" t="s">
        <v>382</v>
      </c>
      <c r="E427" s="140" t="s">
        <v>882</v>
      </c>
      <c r="F427" s="126"/>
    </row>
    <row r="428" spans="1:6" s="129" customFormat="1" ht="36">
      <c r="A428" s="126"/>
      <c r="B428" s="139">
        <v>520</v>
      </c>
      <c r="C428" s="136"/>
      <c r="D428" s="127" t="s">
        <v>383</v>
      </c>
      <c r="E428" s="140" t="s">
        <v>883</v>
      </c>
      <c r="F428" s="126"/>
    </row>
    <row r="429" spans="1:6" s="129" customFormat="1">
      <c r="A429" s="126"/>
      <c r="B429" s="139">
        <v>521</v>
      </c>
      <c r="C429" s="136"/>
      <c r="D429" s="127" t="s">
        <v>384</v>
      </c>
      <c r="E429" s="140" t="s">
        <v>884</v>
      </c>
      <c r="F429" s="126"/>
    </row>
    <row r="430" spans="1:6" s="129" customFormat="1">
      <c r="A430" s="126"/>
      <c r="B430" s="139">
        <v>522</v>
      </c>
      <c r="C430" s="136"/>
      <c r="D430" s="127" t="s">
        <v>385</v>
      </c>
      <c r="E430" s="140" t="s">
        <v>885</v>
      </c>
      <c r="F430" s="126"/>
    </row>
    <row r="431" spans="1:6" s="129" customFormat="1">
      <c r="A431" s="126"/>
      <c r="B431" s="139">
        <v>523</v>
      </c>
      <c r="C431" s="136"/>
      <c r="D431" s="127" t="s">
        <v>386</v>
      </c>
      <c r="E431" s="140" t="s">
        <v>886</v>
      </c>
      <c r="F431" s="126"/>
    </row>
    <row r="432" spans="1:6" s="129" customFormat="1">
      <c r="A432" s="126"/>
      <c r="B432" s="139">
        <v>524</v>
      </c>
      <c r="C432" s="136"/>
      <c r="D432" s="127" t="s">
        <v>387</v>
      </c>
      <c r="E432" s="140" t="s">
        <v>887</v>
      </c>
      <c r="F432" s="126"/>
    </row>
    <row r="433" spans="1:6" s="129" customFormat="1">
      <c r="A433" s="126"/>
      <c r="B433" s="139">
        <v>525</v>
      </c>
      <c r="C433" s="136"/>
      <c r="D433" s="127" t="s">
        <v>388</v>
      </c>
      <c r="E433" s="140" t="s">
        <v>888</v>
      </c>
      <c r="F433" s="126"/>
    </row>
    <row r="434" spans="1:6" s="129" customFormat="1">
      <c r="A434" s="126"/>
      <c r="B434" s="139">
        <v>526</v>
      </c>
      <c r="C434" s="136"/>
      <c r="D434" s="127" t="s">
        <v>389</v>
      </c>
      <c r="E434" s="140" t="s">
        <v>889</v>
      </c>
      <c r="F434" s="126"/>
    </row>
    <row r="435" spans="1:6">
      <c r="B435" s="139">
        <v>527</v>
      </c>
      <c r="D435" s="127" t="s">
        <v>954</v>
      </c>
      <c r="E435" s="140" t="s">
        <v>959</v>
      </c>
    </row>
  </sheetData>
  <sortState ref="A9:F434">
    <sortCondition ref="E9:E434"/>
  </sortState>
  <phoneticPr fontId="2"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H60"/>
  <sheetViews>
    <sheetView topLeftCell="A94" zoomScale="85" zoomScaleNormal="85" workbookViewId="0">
      <selection activeCell="H177" sqref="H177"/>
    </sheetView>
  </sheetViews>
  <sheetFormatPr defaultColWidth="9.75" defaultRowHeight="14.25"/>
  <cols>
    <col min="1" max="1" width="9.75" style="93"/>
    <col min="2" max="2" width="9.75" style="94"/>
    <col min="3" max="4" width="9.75" style="95"/>
    <col min="5" max="5" width="9.75" style="94"/>
    <col min="6" max="16384" width="9.75" style="92"/>
  </cols>
  <sheetData>
    <row r="1" spans="1:8">
      <c r="A1" s="89" t="s">
        <v>391</v>
      </c>
      <c r="B1" s="89" t="s">
        <v>392</v>
      </c>
      <c r="C1" s="90" t="s">
        <v>393</v>
      </c>
      <c r="D1" s="90" t="s">
        <v>394</v>
      </c>
      <c r="E1" s="89" t="s">
        <v>395</v>
      </c>
      <c r="F1" s="91" t="s">
        <v>396</v>
      </c>
      <c r="G1" s="91" t="s">
        <v>397</v>
      </c>
      <c r="H1" s="91" t="s">
        <v>398</v>
      </c>
    </row>
    <row r="2" spans="1:8">
      <c r="A2" s="93" t="s">
        <v>955</v>
      </c>
      <c r="B2" s="94" t="s">
        <v>1019</v>
      </c>
      <c r="C2" s="95" t="s">
        <v>1279</v>
      </c>
      <c r="D2" s="95">
        <v>43626</v>
      </c>
      <c r="E2" s="96">
        <v>43626</v>
      </c>
      <c r="F2" s="95">
        <v>43626</v>
      </c>
      <c r="G2" s="95">
        <v>43631</v>
      </c>
      <c r="H2" s="92">
        <v>1</v>
      </c>
    </row>
    <row r="3" spans="1:8">
      <c r="A3" s="93" t="s">
        <v>1041</v>
      </c>
      <c r="B3" s="94" t="s">
        <v>1032</v>
      </c>
      <c r="C3" s="95" t="s">
        <v>1279</v>
      </c>
      <c r="D3" s="95">
        <v>43634</v>
      </c>
      <c r="E3" s="96">
        <v>43636</v>
      </c>
      <c r="F3" s="95">
        <v>43632</v>
      </c>
      <c r="G3" s="95">
        <v>43638</v>
      </c>
      <c r="H3" s="92">
        <v>3</v>
      </c>
    </row>
    <row r="4" spans="1:8">
      <c r="A4" s="93" t="s">
        <v>1042</v>
      </c>
      <c r="B4" s="94" t="s">
        <v>1033</v>
      </c>
      <c r="C4" s="95" t="s">
        <v>1279</v>
      </c>
      <c r="D4" s="95">
        <v>43634</v>
      </c>
      <c r="E4" s="96">
        <v>43636</v>
      </c>
      <c r="F4" s="95">
        <v>43632</v>
      </c>
      <c r="G4" s="95">
        <v>43638</v>
      </c>
      <c r="H4" s="92">
        <v>3</v>
      </c>
    </row>
    <row r="5" spans="1:8">
      <c r="A5" s="93" t="s">
        <v>1043</v>
      </c>
      <c r="B5" s="94" t="s">
        <v>1034</v>
      </c>
      <c r="C5" s="95" t="s">
        <v>1279</v>
      </c>
      <c r="D5" s="95">
        <v>43634</v>
      </c>
      <c r="E5" s="96">
        <v>43636</v>
      </c>
      <c r="F5" s="95">
        <v>43632</v>
      </c>
      <c r="G5" s="95">
        <v>43638</v>
      </c>
      <c r="H5" s="92">
        <v>3</v>
      </c>
    </row>
    <row r="6" spans="1:8">
      <c r="A6" s="93" t="s">
        <v>1044</v>
      </c>
      <c r="B6" s="94" t="s">
        <v>1035</v>
      </c>
      <c r="C6" s="95" t="s">
        <v>1279</v>
      </c>
      <c r="D6" s="95">
        <v>43636</v>
      </c>
      <c r="E6" s="96">
        <v>43637</v>
      </c>
      <c r="F6" s="95">
        <v>43632</v>
      </c>
      <c r="G6" s="95">
        <v>43638</v>
      </c>
      <c r="H6" s="92">
        <v>2</v>
      </c>
    </row>
    <row r="7" spans="1:8">
      <c r="A7" s="93" t="s">
        <v>1045</v>
      </c>
      <c r="B7" s="94" t="s">
        <v>1036</v>
      </c>
      <c r="C7" s="95" t="s">
        <v>1279</v>
      </c>
      <c r="D7" s="95">
        <v>43637</v>
      </c>
      <c r="E7" s="96">
        <v>43637</v>
      </c>
      <c r="F7" s="95">
        <v>43632</v>
      </c>
      <c r="G7" s="95">
        <v>43638</v>
      </c>
      <c r="H7" s="92">
        <v>1</v>
      </c>
    </row>
    <row r="8" spans="1:8">
      <c r="A8" s="93" t="s">
        <v>1053</v>
      </c>
      <c r="B8" s="94" t="s">
        <v>1047</v>
      </c>
      <c r="C8" s="95" t="s">
        <v>1131</v>
      </c>
      <c r="D8" s="95">
        <v>43635</v>
      </c>
      <c r="E8" s="96">
        <v>43637</v>
      </c>
      <c r="F8" s="95">
        <v>43632</v>
      </c>
      <c r="G8" s="95">
        <v>43638</v>
      </c>
      <c r="H8" s="92">
        <v>3</v>
      </c>
    </row>
    <row r="9" spans="1:8">
      <c r="A9" s="93" t="s">
        <v>1054</v>
      </c>
      <c r="B9" s="94" t="s">
        <v>1048</v>
      </c>
      <c r="C9" s="95" t="s">
        <v>1131</v>
      </c>
      <c r="D9" s="95">
        <v>43637</v>
      </c>
      <c r="E9" s="96">
        <v>43637</v>
      </c>
      <c r="F9" s="95">
        <v>43632</v>
      </c>
      <c r="G9" s="95">
        <v>43638</v>
      </c>
      <c r="H9" s="92">
        <v>1</v>
      </c>
    </row>
    <row r="10" spans="1:8">
      <c r="A10" s="93" t="s">
        <v>1055</v>
      </c>
      <c r="B10" s="94" t="s">
        <v>1049</v>
      </c>
      <c r="C10" s="95" t="s">
        <v>1131</v>
      </c>
      <c r="D10" s="95">
        <v>43637</v>
      </c>
      <c r="E10" s="96">
        <v>43642</v>
      </c>
      <c r="F10" s="95">
        <v>43632</v>
      </c>
      <c r="G10" s="95">
        <v>43638</v>
      </c>
      <c r="H10" s="92">
        <v>1</v>
      </c>
    </row>
    <row r="11" spans="1:8">
      <c r="A11" s="93" t="s">
        <v>1055</v>
      </c>
      <c r="B11" s="94" t="s">
        <v>1049</v>
      </c>
      <c r="C11" s="95" t="s">
        <v>1131</v>
      </c>
      <c r="D11" s="95">
        <v>43637</v>
      </c>
      <c r="E11" s="96">
        <v>43642</v>
      </c>
      <c r="F11" s="95">
        <v>43639</v>
      </c>
      <c r="G11" s="95">
        <v>43645</v>
      </c>
      <c r="H11" s="92">
        <v>3</v>
      </c>
    </row>
    <row r="12" spans="1:8">
      <c r="A12" s="93" t="s">
        <v>1056</v>
      </c>
      <c r="B12" s="94" t="s">
        <v>1050</v>
      </c>
      <c r="C12" s="95" t="s">
        <v>1131</v>
      </c>
      <c r="D12" s="95">
        <v>43642</v>
      </c>
      <c r="E12" s="96">
        <v>43645</v>
      </c>
      <c r="F12" s="95">
        <v>43639</v>
      </c>
      <c r="G12" s="95">
        <v>43645</v>
      </c>
      <c r="H12" s="92">
        <v>3</v>
      </c>
    </row>
    <row r="13" spans="1:8">
      <c r="A13" s="93" t="s">
        <v>1062</v>
      </c>
      <c r="B13" s="94" t="s">
        <v>1047</v>
      </c>
      <c r="C13" s="95" t="s">
        <v>1131</v>
      </c>
      <c r="D13" s="95">
        <v>43658</v>
      </c>
      <c r="E13" s="96">
        <v>43661</v>
      </c>
      <c r="F13" s="95">
        <v>43653</v>
      </c>
      <c r="G13" s="95">
        <v>43659</v>
      </c>
      <c r="H13" s="92">
        <v>1</v>
      </c>
    </row>
    <row r="14" spans="1:8">
      <c r="A14" s="93" t="s">
        <v>1062</v>
      </c>
      <c r="B14" s="94" t="s">
        <v>1047</v>
      </c>
      <c r="C14" s="95" t="s">
        <v>1131</v>
      </c>
      <c r="D14" s="95">
        <v>43658</v>
      </c>
      <c r="E14" s="96">
        <v>43661</v>
      </c>
      <c r="F14" s="95">
        <v>43660</v>
      </c>
      <c r="G14" s="95">
        <v>43666</v>
      </c>
      <c r="H14" s="92">
        <v>1</v>
      </c>
    </row>
    <row r="15" spans="1:8">
      <c r="A15" s="93" t="s">
        <v>1063</v>
      </c>
      <c r="B15" s="94" t="s">
        <v>1049</v>
      </c>
      <c r="C15" s="95" t="s">
        <v>1131</v>
      </c>
      <c r="D15" s="95">
        <v>43661</v>
      </c>
      <c r="E15" s="96">
        <v>43662</v>
      </c>
      <c r="F15" s="95">
        <v>43660</v>
      </c>
      <c r="G15" s="95">
        <v>43666</v>
      </c>
      <c r="H15" s="92">
        <v>2</v>
      </c>
    </row>
    <row r="16" spans="1:8">
      <c r="A16" s="93" t="s">
        <v>1064</v>
      </c>
      <c r="B16" s="94" t="s">
        <v>1050</v>
      </c>
      <c r="C16" s="95" t="s">
        <v>1131</v>
      </c>
      <c r="D16" s="95">
        <v>43662</v>
      </c>
      <c r="E16" s="96">
        <v>43662</v>
      </c>
      <c r="F16" s="95">
        <v>43660</v>
      </c>
      <c r="G16" s="95">
        <v>43666</v>
      </c>
      <c r="H16" s="92">
        <v>1</v>
      </c>
    </row>
    <row r="17" spans="1:8">
      <c r="A17" s="93" t="s">
        <v>1066</v>
      </c>
      <c r="B17" s="94" t="s">
        <v>1060</v>
      </c>
      <c r="C17" s="95" t="s">
        <v>1129</v>
      </c>
      <c r="D17" s="95">
        <v>43637</v>
      </c>
      <c r="E17" s="96">
        <v>43642</v>
      </c>
      <c r="F17" s="95">
        <v>43632</v>
      </c>
      <c r="G17" s="95">
        <v>43638</v>
      </c>
      <c r="H17" s="92">
        <v>1</v>
      </c>
    </row>
    <row r="18" spans="1:8">
      <c r="A18" s="93" t="s">
        <v>1066</v>
      </c>
      <c r="B18" s="94" t="s">
        <v>1060</v>
      </c>
      <c r="C18" s="95" t="s">
        <v>1129</v>
      </c>
      <c r="D18" s="95">
        <v>43637</v>
      </c>
      <c r="E18" s="96">
        <v>43642</v>
      </c>
      <c r="F18" s="95">
        <v>43639</v>
      </c>
      <c r="G18" s="95">
        <v>43645</v>
      </c>
      <c r="H18" s="92">
        <v>3</v>
      </c>
    </row>
    <row r="19" spans="1:8">
      <c r="A19" s="93" t="s">
        <v>1067</v>
      </c>
      <c r="B19" s="94" t="s">
        <v>1058</v>
      </c>
      <c r="C19" s="95" t="s">
        <v>1131</v>
      </c>
      <c r="D19" s="95">
        <v>43637</v>
      </c>
      <c r="E19" s="96">
        <v>43642</v>
      </c>
      <c r="F19" s="95">
        <v>43632</v>
      </c>
      <c r="G19" s="95">
        <v>43638</v>
      </c>
      <c r="H19" s="92">
        <v>1</v>
      </c>
    </row>
    <row r="20" spans="1:8">
      <c r="A20" s="93" t="s">
        <v>1067</v>
      </c>
      <c r="B20" s="94" t="s">
        <v>1058</v>
      </c>
      <c r="C20" s="95" t="s">
        <v>1131</v>
      </c>
      <c r="D20" s="95">
        <v>43637</v>
      </c>
      <c r="E20" s="96">
        <v>43642</v>
      </c>
      <c r="F20" s="95">
        <v>43639</v>
      </c>
      <c r="G20" s="95">
        <v>43645</v>
      </c>
      <c r="H20" s="92">
        <v>3</v>
      </c>
    </row>
    <row r="21" spans="1:8">
      <c r="A21" s="93" t="s">
        <v>1068</v>
      </c>
      <c r="B21" s="94" t="s">
        <v>1059</v>
      </c>
      <c r="C21" s="95" t="s">
        <v>1133</v>
      </c>
      <c r="D21" s="95">
        <v>43637</v>
      </c>
      <c r="E21" s="96">
        <v>43642</v>
      </c>
      <c r="F21" s="95">
        <v>43632</v>
      </c>
      <c r="G21" s="95">
        <v>43638</v>
      </c>
      <c r="H21" s="92">
        <v>1</v>
      </c>
    </row>
    <row r="22" spans="1:8">
      <c r="A22" s="93" t="s">
        <v>1068</v>
      </c>
      <c r="B22" s="94" t="s">
        <v>1059</v>
      </c>
      <c r="C22" s="95" t="s">
        <v>1133</v>
      </c>
      <c r="D22" s="95">
        <v>43637</v>
      </c>
      <c r="E22" s="96">
        <v>43642</v>
      </c>
      <c r="F22" s="95">
        <v>43639</v>
      </c>
      <c r="G22" s="95">
        <v>43645</v>
      </c>
      <c r="H22" s="92">
        <v>3</v>
      </c>
    </row>
    <row r="23" spans="1:8">
      <c r="A23" s="93" t="s">
        <v>1075</v>
      </c>
      <c r="B23" s="94" t="s">
        <v>1182</v>
      </c>
      <c r="C23" s="95" t="s">
        <v>1181</v>
      </c>
      <c r="D23" s="95">
        <v>43647</v>
      </c>
      <c r="E23" s="96">
        <v>43648</v>
      </c>
      <c r="F23" s="95">
        <v>43646</v>
      </c>
      <c r="G23" s="95">
        <v>43652</v>
      </c>
      <c r="H23" s="92">
        <v>2</v>
      </c>
    </row>
    <row r="24" spans="1:8">
      <c r="A24" s="93" t="s">
        <v>1076</v>
      </c>
      <c r="B24" s="94" t="s">
        <v>1183</v>
      </c>
      <c r="C24" s="95" t="s">
        <v>1181</v>
      </c>
      <c r="D24" s="95">
        <v>43649</v>
      </c>
      <c r="E24" s="96">
        <v>43649</v>
      </c>
      <c r="F24" s="95">
        <v>43646</v>
      </c>
      <c r="G24" s="95">
        <v>43652</v>
      </c>
      <c r="H24" s="92">
        <v>1</v>
      </c>
    </row>
    <row r="25" spans="1:8">
      <c r="A25" s="93" t="s">
        <v>1272</v>
      </c>
      <c r="B25" s="94" t="s">
        <v>1274</v>
      </c>
      <c r="C25" s="95" t="s">
        <v>1129</v>
      </c>
      <c r="D25" s="95">
        <v>43647</v>
      </c>
      <c r="E25" s="96">
        <v>43651</v>
      </c>
      <c r="F25" s="95">
        <v>43646</v>
      </c>
      <c r="G25" s="95">
        <v>43652</v>
      </c>
      <c r="H25" s="92">
        <v>5</v>
      </c>
    </row>
    <row r="26" spans="1:8">
      <c r="A26" s="93" t="s">
        <v>1091</v>
      </c>
      <c r="B26" s="94" t="s">
        <v>1291</v>
      </c>
      <c r="C26" s="95" t="s">
        <v>1133</v>
      </c>
      <c r="D26" s="95">
        <v>43664</v>
      </c>
      <c r="E26" s="96">
        <v>43665</v>
      </c>
      <c r="F26" s="95">
        <v>43660</v>
      </c>
      <c r="G26" s="95">
        <v>43666</v>
      </c>
      <c r="H26" s="92">
        <v>2</v>
      </c>
    </row>
    <row r="27" spans="1:8">
      <c r="A27" s="93" t="s">
        <v>1092</v>
      </c>
      <c r="B27" s="94" t="s">
        <v>1079</v>
      </c>
      <c r="C27" s="95" t="s">
        <v>1129</v>
      </c>
      <c r="D27" s="95">
        <v>43647</v>
      </c>
      <c r="E27" s="96">
        <v>43648</v>
      </c>
      <c r="F27" s="95">
        <v>43646</v>
      </c>
      <c r="G27" s="95">
        <v>43652</v>
      </c>
      <c r="H27" s="92">
        <v>2</v>
      </c>
    </row>
    <row r="28" spans="1:8">
      <c r="A28" s="93" t="s">
        <v>1093</v>
      </c>
      <c r="B28" s="94" t="s">
        <v>1193</v>
      </c>
      <c r="C28" s="95" t="s">
        <v>1210</v>
      </c>
      <c r="D28" s="95">
        <v>43647</v>
      </c>
      <c r="E28" s="96">
        <v>43648</v>
      </c>
      <c r="F28" s="95">
        <v>43646</v>
      </c>
      <c r="G28" s="95">
        <v>43652</v>
      </c>
      <c r="H28" s="92">
        <v>2</v>
      </c>
    </row>
    <row r="29" spans="1:8">
      <c r="A29" s="93" t="s">
        <v>1094</v>
      </c>
      <c r="B29" s="94" t="s">
        <v>1070</v>
      </c>
      <c r="C29" s="95" t="s">
        <v>1219</v>
      </c>
      <c r="D29" s="95">
        <v>43647</v>
      </c>
      <c r="E29" s="96">
        <v>43648</v>
      </c>
      <c r="F29" s="95">
        <v>43646</v>
      </c>
      <c r="G29" s="95">
        <v>43652</v>
      </c>
      <c r="H29" s="92">
        <v>2</v>
      </c>
    </row>
    <row r="30" spans="1:8">
      <c r="A30" s="93" t="s">
        <v>1095</v>
      </c>
      <c r="B30" s="94" t="s">
        <v>1071</v>
      </c>
      <c r="C30" s="95" t="s">
        <v>1133</v>
      </c>
      <c r="D30" s="95">
        <v>43647</v>
      </c>
      <c r="E30" s="96">
        <v>43648</v>
      </c>
      <c r="F30" s="95">
        <v>43646</v>
      </c>
      <c r="G30" s="95">
        <v>43652</v>
      </c>
      <c r="H30" s="92">
        <v>2</v>
      </c>
    </row>
    <row r="31" spans="1:8">
      <c r="A31" s="93" t="s">
        <v>1096</v>
      </c>
      <c r="B31" s="94" t="s">
        <v>1072</v>
      </c>
      <c r="C31" s="95" t="s">
        <v>1131</v>
      </c>
      <c r="D31" s="95">
        <v>43647</v>
      </c>
      <c r="E31" s="96">
        <v>43648</v>
      </c>
      <c r="F31" s="95">
        <v>43646</v>
      </c>
      <c r="G31" s="95">
        <v>43652</v>
      </c>
      <c r="H31" s="92">
        <v>2</v>
      </c>
    </row>
    <row r="32" spans="1:8">
      <c r="A32" s="93" t="s">
        <v>1288</v>
      </c>
      <c r="B32" s="94" t="s">
        <v>1073</v>
      </c>
      <c r="C32" s="95" t="s">
        <v>1129</v>
      </c>
      <c r="D32" s="95">
        <v>43647</v>
      </c>
      <c r="E32" s="96">
        <v>43648</v>
      </c>
      <c r="F32" s="95">
        <v>43646</v>
      </c>
      <c r="G32" s="95">
        <v>43652</v>
      </c>
      <c r="H32" s="92">
        <v>2</v>
      </c>
    </row>
    <row r="33" spans="1:8">
      <c r="A33" s="93" t="s">
        <v>1292</v>
      </c>
      <c r="B33" s="94" t="s">
        <v>1293</v>
      </c>
      <c r="C33" s="95" t="s">
        <v>1181</v>
      </c>
      <c r="D33" s="95">
        <v>43650</v>
      </c>
      <c r="E33" s="96">
        <v>43651</v>
      </c>
      <c r="F33" s="95">
        <v>43646</v>
      </c>
      <c r="G33" s="95">
        <v>43652</v>
      </c>
      <c r="H33" s="92">
        <v>2</v>
      </c>
    </row>
    <row r="34" spans="1:8">
      <c r="A34" s="93" t="s">
        <v>1241</v>
      </c>
      <c r="B34" s="94" t="s">
        <v>1233</v>
      </c>
      <c r="C34" s="95" t="s">
        <v>1181</v>
      </c>
      <c r="D34" s="95">
        <v>43655</v>
      </c>
      <c r="E34" s="96">
        <v>43656</v>
      </c>
      <c r="F34" s="95">
        <v>43653</v>
      </c>
      <c r="G34" s="95">
        <v>43659</v>
      </c>
      <c r="H34" s="92">
        <v>2</v>
      </c>
    </row>
    <row r="35" spans="1:8">
      <c r="A35" s="93" t="s">
        <v>1242</v>
      </c>
      <c r="B35" s="94" t="s">
        <v>1232</v>
      </c>
      <c r="C35" s="95" t="s">
        <v>1181</v>
      </c>
      <c r="D35" s="95">
        <v>43654</v>
      </c>
      <c r="E35" s="96">
        <v>43654</v>
      </c>
      <c r="F35" s="95">
        <v>43653</v>
      </c>
      <c r="G35" s="95">
        <v>43659</v>
      </c>
      <c r="H35" s="92">
        <v>1</v>
      </c>
    </row>
    <row r="36" spans="1:8">
      <c r="A36" s="93" t="s">
        <v>1100</v>
      </c>
      <c r="B36" s="94" t="s">
        <v>1083</v>
      </c>
      <c r="C36" s="95" t="s">
        <v>1003</v>
      </c>
      <c r="D36" s="95">
        <v>43626</v>
      </c>
      <c r="E36" s="96">
        <v>43674</v>
      </c>
      <c r="F36" s="95">
        <v>43626</v>
      </c>
      <c r="G36" s="95">
        <v>43631</v>
      </c>
      <c r="H36" s="92">
        <v>5</v>
      </c>
    </row>
    <row r="37" spans="1:8">
      <c r="A37" s="93" t="s">
        <v>1100</v>
      </c>
      <c r="B37" s="94" t="s">
        <v>1083</v>
      </c>
      <c r="C37" s="95" t="s">
        <v>1003</v>
      </c>
      <c r="D37" s="95">
        <v>43626</v>
      </c>
      <c r="E37" s="96">
        <v>43674</v>
      </c>
      <c r="F37" s="95">
        <v>43632</v>
      </c>
      <c r="G37" s="95">
        <v>43638</v>
      </c>
      <c r="H37" s="92">
        <v>5</v>
      </c>
    </row>
    <row r="38" spans="1:8">
      <c r="A38" s="93" t="s">
        <v>1100</v>
      </c>
      <c r="B38" s="94" t="s">
        <v>1083</v>
      </c>
      <c r="C38" s="95" t="s">
        <v>1003</v>
      </c>
      <c r="D38" s="95">
        <v>43626</v>
      </c>
      <c r="E38" s="96">
        <v>43674</v>
      </c>
      <c r="F38" s="95">
        <v>43639</v>
      </c>
      <c r="G38" s="95">
        <v>43645</v>
      </c>
      <c r="H38" s="92">
        <v>5</v>
      </c>
    </row>
    <row r="39" spans="1:8">
      <c r="A39" s="93" t="s">
        <v>1100</v>
      </c>
      <c r="B39" s="94" t="s">
        <v>1083</v>
      </c>
      <c r="C39" s="95" t="s">
        <v>1003</v>
      </c>
      <c r="D39" s="95">
        <v>43626</v>
      </c>
      <c r="E39" s="96">
        <v>43674</v>
      </c>
      <c r="F39" s="95">
        <v>43646</v>
      </c>
      <c r="G39" s="95">
        <v>43652</v>
      </c>
      <c r="H39" s="92">
        <v>5</v>
      </c>
    </row>
    <row r="40" spans="1:8">
      <c r="A40" s="93" t="s">
        <v>1100</v>
      </c>
      <c r="B40" s="94" t="s">
        <v>1083</v>
      </c>
      <c r="C40" s="95" t="s">
        <v>1003</v>
      </c>
      <c r="D40" s="95">
        <v>43626</v>
      </c>
      <c r="E40" s="96">
        <v>43674</v>
      </c>
      <c r="F40" s="95">
        <v>43653</v>
      </c>
      <c r="G40" s="95">
        <v>43659</v>
      </c>
      <c r="H40" s="92">
        <v>5</v>
      </c>
    </row>
    <row r="41" spans="1:8">
      <c r="A41" s="93" t="s">
        <v>1100</v>
      </c>
      <c r="B41" s="94" t="s">
        <v>1083</v>
      </c>
      <c r="C41" s="95" t="s">
        <v>1003</v>
      </c>
      <c r="D41" s="95">
        <v>43626</v>
      </c>
      <c r="E41" s="96">
        <v>43674</v>
      </c>
      <c r="F41" s="95">
        <v>43660</v>
      </c>
      <c r="G41" s="95">
        <v>43666</v>
      </c>
      <c r="H41" s="92">
        <v>5</v>
      </c>
    </row>
    <row r="42" spans="1:8">
      <c r="A42" s="93" t="s">
        <v>1100</v>
      </c>
      <c r="B42" s="94" t="s">
        <v>1083</v>
      </c>
      <c r="C42" s="95" t="s">
        <v>1003</v>
      </c>
      <c r="D42" s="95">
        <v>43626</v>
      </c>
      <c r="E42" s="96">
        <v>43674</v>
      </c>
      <c r="F42" s="95">
        <v>43667</v>
      </c>
      <c r="G42" s="95">
        <v>43673</v>
      </c>
      <c r="H42" s="92">
        <v>5</v>
      </c>
    </row>
    <row r="43" spans="1:8">
      <c r="A43" s="93" t="s">
        <v>1100</v>
      </c>
      <c r="B43" s="94" t="s">
        <v>1083</v>
      </c>
      <c r="C43" s="95" t="s">
        <v>1003</v>
      </c>
      <c r="D43" s="95">
        <v>43626</v>
      </c>
      <c r="E43" s="96">
        <v>43674</v>
      </c>
      <c r="F43" s="95">
        <v>43674</v>
      </c>
      <c r="G43" s="95">
        <v>43680</v>
      </c>
      <c r="H43" s="92">
        <v>0</v>
      </c>
    </row>
    <row r="44" spans="1:8">
      <c r="A44" s="93" t="s">
        <v>1101</v>
      </c>
      <c r="B44" s="94" t="s">
        <v>1084</v>
      </c>
      <c r="C44" s="95" t="s">
        <v>1003</v>
      </c>
      <c r="D44" s="95">
        <v>43626</v>
      </c>
      <c r="E44" s="96">
        <v>43674</v>
      </c>
      <c r="F44" s="95">
        <v>43626</v>
      </c>
      <c r="G44" s="95">
        <v>43631</v>
      </c>
      <c r="H44" s="92">
        <v>5</v>
      </c>
    </row>
    <row r="45" spans="1:8">
      <c r="A45" s="93" t="s">
        <v>1101</v>
      </c>
      <c r="B45" s="94" t="s">
        <v>1084</v>
      </c>
      <c r="C45" s="95" t="s">
        <v>1003</v>
      </c>
      <c r="D45" s="95">
        <v>43626</v>
      </c>
      <c r="E45" s="96">
        <v>43674</v>
      </c>
      <c r="F45" s="95">
        <v>43632</v>
      </c>
      <c r="G45" s="95">
        <v>43638</v>
      </c>
      <c r="H45" s="92">
        <v>5</v>
      </c>
    </row>
    <row r="46" spans="1:8">
      <c r="A46" s="93" t="s">
        <v>1101</v>
      </c>
      <c r="B46" s="94" t="s">
        <v>1084</v>
      </c>
      <c r="C46" s="95" t="s">
        <v>1003</v>
      </c>
      <c r="D46" s="95">
        <v>43626</v>
      </c>
      <c r="E46" s="96">
        <v>43674</v>
      </c>
      <c r="F46" s="95">
        <v>43639</v>
      </c>
      <c r="G46" s="95">
        <v>43645</v>
      </c>
      <c r="H46" s="92">
        <v>5</v>
      </c>
    </row>
    <row r="47" spans="1:8">
      <c r="A47" s="93" t="s">
        <v>1101</v>
      </c>
      <c r="B47" s="94" t="s">
        <v>1084</v>
      </c>
      <c r="C47" s="95" t="s">
        <v>1003</v>
      </c>
      <c r="D47" s="95">
        <v>43626</v>
      </c>
      <c r="E47" s="96">
        <v>43674</v>
      </c>
      <c r="F47" s="95">
        <v>43646</v>
      </c>
      <c r="G47" s="95">
        <v>43652</v>
      </c>
      <c r="H47" s="92">
        <v>5</v>
      </c>
    </row>
    <row r="48" spans="1:8">
      <c r="A48" s="93" t="s">
        <v>1101</v>
      </c>
      <c r="B48" s="94" t="s">
        <v>1084</v>
      </c>
      <c r="C48" s="95" t="s">
        <v>1003</v>
      </c>
      <c r="D48" s="95">
        <v>43626</v>
      </c>
      <c r="E48" s="96">
        <v>43674</v>
      </c>
      <c r="F48" s="95">
        <v>43653</v>
      </c>
      <c r="G48" s="95">
        <v>43659</v>
      </c>
      <c r="H48" s="92">
        <v>5</v>
      </c>
    </row>
    <row r="49" spans="1:8">
      <c r="A49" s="93" t="s">
        <v>1101</v>
      </c>
      <c r="B49" s="94" t="s">
        <v>1084</v>
      </c>
      <c r="C49" s="95" t="s">
        <v>1003</v>
      </c>
      <c r="D49" s="95">
        <v>43626</v>
      </c>
      <c r="E49" s="96">
        <v>43674</v>
      </c>
      <c r="F49" s="95">
        <v>43660</v>
      </c>
      <c r="G49" s="95">
        <v>43666</v>
      </c>
      <c r="H49" s="92">
        <v>5</v>
      </c>
    </row>
    <row r="50" spans="1:8">
      <c r="A50" s="93" t="s">
        <v>1101</v>
      </c>
      <c r="B50" s="94" t="s">
        <v>1084</v>
      </c>
      <c r="C50" s="95" t="s">
        <v>1003</v>
      </c>
      <c r="D50" s="95">
        <v>43626</v>
      </c>
      <c r="E50" s="96">
        <v>43674</v>
      </c>
      <c r="F50" s="95">
        <v>43667</v>
      </c>
      <c r="G50" s="95">
        <v>43673</v>
      </c>
      <c r="H50" s="92">
        <v>5</v>
      </c>
    </row>
    <row r="51" spans="1:8">
      <c r="A51" s="93" t="s">
        <v>1101</v>
      </c>
      <c r="B51" s="94" t="s">
        <v>1084</v>
      </c>
      <c r="C51" s="95" t="s">
        <v>1003</v>
      </c>
      <c r="D51" s="95">
        <v>43626</v>
      </c>
      <c r="E51" s="96">
        <v>43674</v>
      </c>
      <c r="F51" s="95">
        <v>43674</v>
      </c>
      <c r="G51" s="95">
        <v>43680</v>
      </c>
      <c r="H51" s="92">
        <v>0</v>
      </c>
    </row>
    <row r="52" spans="1:8">
      <c r="A52" s="93" t="s">
        <v>1102</v>
      </c>
      <c r="B52" s="94" t="s">
        <v>1085</v>
      </c>
      <c r="C52" s="95" t="s">
        <v>1003</v>
      </c>
      <c r="D52" s="95">
        <v>43626</v>
      </c>
      <c r="E52" s="96">
        <v>43674</v>
      </c>
      <c r="F52" s="95">
        <v>43626</v>
      </c>
      <c r="G52" s="95">
        <v>43631</v>
      </c>
      <c r="H52" s="92">
        <v>5</v>
      </c>
    </row>
    <row r="53" spans="1:8">
      <c r="A53" s="93" t="s">
        <v>1102</v>
      </c>
      <c r="B53" s="94" t="s">
        <v>1085</v>
      </c>
      <c r="C53" s="95" t="s">
        <v>1003</v>
      </c>
      <c r="D53" s="95">
        <v>43626</v>
      </c>
      <c r="E53" s="96">
        <v>43674</v>
      </c>
      <c r="F53" s="95">
        <v>43632</v>
      </c>
      <c r="G53" s="95">
        <v>43638</v>
      </c>
      <c r="H53" s="92">
        <v>5</v>
      </c>
    </row>
    <row r="54" spans="1:8">
      <c r="A54" s="93" t="s">
        <v>1102</v>
      </c>
      <c r="B54" s="94" t="s">
        <v>1085</v>
      </c>
      <c r="C54" s="95" t="s">
        <v>1003</v>
      </c>
      <c r="D54" s="95">
        <v>43626</v>
      </c>
      <c r="E54" s="96">
        <v>43674</v>
      </c>
      <c r="F54" s="95">
        <v>43639</v>
      </c>
      <c r="G54" s="95">
        <v>43645</v>
      </c>
      <c r="H54" s="92">
        <v>5</v>
      </c>
    </row>
    <row r="55" spans="1:8">
      <c r="A55" s="93" t="s">
        <v>1102</v>
      </c>
      <c r="B55" s="94" t="s">
        <v>1085</v>
      </c>
      <c r="C55" s="95" t="s">
        <v>1003</v>
      </c>
      <c r="D55" s="95">
        <v>43626</v>
      </c>
      <c r="E55" s="96">
        <v>43674</v>
      </c>
      <c r="F55" s="95">
        <v>43646</v>
      </c>
      <c r="G55" s="95">
        <v>43652</v>
      </c>
      <c r="H55" s="92">
        <v>5</v>
      </c>
    </row>
    <row r="56" spans="1:8">
      <c r="A56" s="93" t="s">
        <v>1102</v>
      </c>
      <c r="B56" s="94" t="s">
        <v>1085</v>
      </c>
      <c r="C56" s="95" t="s">
        <v>1003</v>
      </c>
      <c r="D56" s="95">
        <v>43626</v>
      </c>
      <c r="E56" s="96">
        <v>43674</v>
      </c>
      <c r="F56" s="95">
        <v>43653</v>
      </c>
      <c r="G56" s="95">
        <v>43659</v>
      </c>
      <c r="H56" s="92">
        <v>5</v>
      </c>
    </row>
    <row r="57" spans="1:8">
      <c r="A57" s="93" t="s">
        <v>1102</v>
      </c>
      <c r="B57" s="94" t="s">
        <v>1085</v>
      </c>
      <c r="C57" s="95" t="s">
        <v>1003</v>
      </c>
      <c r="D57" s="95">
        <v>43626</v>
      </c>
      <c r="E57" s="96">
        <v>43674</v>
      </c>
      <c r="F57" s="95">
        <v>43660</v>
      </c>
      <c r="G57" s="95">
        <v>43666</v>
      </c>
      <c r="H57" s="92">
        <v>5</v>
      </c>
    </row>
    <row r="58" spans="1:8">
      <c r="A58" s="93" t="s">
        <v>1102</v>
      </c>
      <c r="B58" s="94" t="s">
        <v>1085</v>
      </c>
      <c r="C58" s="95" t="s">
        <v>1003</v>
      </c>
      <c r="D58" s="95">
        <v>43626</v>
      </c>
      <c r="E58" s="96">
        <v>43674</v>
      </c>
      <c r="F58" s="95">
        <v>43667</v>
      </c>
      <c r="G58" s="95">
        <v>43673</v>
      </c>
      <c r="H58" s="92">
        <v>5</v>
      </c>
    </row>
    <row r="59" spans="1:8">
      <c r="A59" s="93" t="s">
        <v>1102</v>
      </c>
      <c r="B59" s="94" t="s">
        <v>1085</v>
      </c>
      <c r="C59" s="95" t="s">
        <v>1003</v>
      </c>
      <c r="D59" s="95">
        <v>43626</v>
      </c>
      <c r="E59" s="96">
        <v>43674</v>
      </c>
      <c r="F59" s="95">
        <v>43674</v>
      </c>
      <c r="G59" s="95">
        <v>43680</v>
      </c>
      <c r="H59" s="92">
        <v>0</v>
      </c>
    </row>
    <row r="60" spans="1:8">
      <c r="G60" s="92" t="s">
        <v>4</v>
      </c>
      <c r="H60" s="92">
        <f>SUM(H2:H59)</f>
        <v>173</v>
      </c>
    </row>
  </sheetData>
  <phoneticPr fontId="2"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outlinePr summaryBelow="0"/>
    <pageSetUpPr fitToPage="1"/>
  </sheetPr>
  <dimension ref="A1:CF236"/>
  <sheetViews>
    <sheetView tabSelected="1" zoomScale="115" zoomScaleNormal="115" zoomScalePageLayoutView="55" workbookViewId="0">
      <pane ySplit="4" topLeftCell="A42" activePane="bottomLeft" state="frozen"/>
      <selection activeCell="E5" sqref="E5"/>
      <selection pane="bottomLeft" activeCell="D5" sqref="D5"/>
    </sheetView>
  </sheetViews>
  <sheetFormatPr defaultColWidth="10" defaultRowHeight="12" outlineLevelRow="3"/>
  <cols>
    <col min="1" max="1" width="19.875" style="117" hidden="1" customWidth="1"/>
    <col min="2" max="2" width="8.375" style="117" hidden="1" customWidth="1"/>
    <col min="3" max="3" width="9.375" style="117" hidden="1" customWidth="1"/>
    <col min="4" max="4" width="10.125" style="5" customWidth="1"/>
    <col min="5" max="10" width="2.375" style="6" customWidth="1"/>
    <col min="11" max="11" width="10.25" style="6" customWidth="1"/>
    <col min="12" max="12" width="9.75" style="6" customWidth="1"/>
    <col min="13" max="14" width="8.5" style="7" bestFit="1" customWidth="1"/>
    <col min="15" max="15" width="7.625" style="8" hidden="1" customWidth="1"/>
    <col min="16" max="16" width="6" style="9" bestFit="1" customWidth="1"/>
    <col min="17" max="17" width="5.375" style="9" bestFit="1" customWidth="1"/>
    <col min="18" max="18" width="8.375" style="10" hidden="1" customWidth="1"/>
    <col min="19" max="19" width="4.25" style="10" hidden="1" customWidth="1"/>
    <col min="20" max="20" width="13.125" style="7" hidden="1" customWidth="1"/>
    <col min="21" max="21" width="13.625" style="7" hidden="1" customWidth="1"/>
    <col min="22" max="22" width="8.375" style="11" hidden="1" customWidth="1"/>
    <col min="23" max="23" width="6.625" style="12" hidden="1" customWidth="1"/>
    <col min="24" max="24" width="4.75" style="13" customWidth="1"/>
    <col min="25" max="25" width="9.25" style="8" customWidth="1"/>
    <col min="26" max="26" width="11.5" style="14" customWidth="1"/>
    <col min="27" max="27" width="7" style="15" customWidth="1"/>
    <col min="28" max="28" width="7.125" style="16" customWidth="1"/>
    <col min="29" max="84" width="1.875" style="114" customWidth="1"/>
    <col min="85" max="16384" width="10" style="114"/>
  </cols>
  <sheetData>
    <row r="1" spans="1:84" s="197" customFormat="1" ht="20.100000000000001" customHeight="1">
      <c r="A1" s="203"/>
      <c r="B1" s="204"/>
      <c r="C1" s="203"/>
      <c r="D1" s="204" t="str">
        <f ca="1">xlgantt.ProjectName()</f>
        <v>건강 관리 앱 제작 프로젝트</v>
      </c>
      <c r="E1" s="205"/>
      <c r="F1" s="205"/>
      <c r="G1" s="205"/>
      <c r="H1" s="205"/>
      <c r="I1" s="205"/>
      <c r="J1" s="205"/>
      <c r="K1" s="205"/>
      <c r="L1" s="205"/>
      <c r="M1" s="205"/>
      <c r="N1" s="206"/>
      <c r="O1" s="207"/>
      <c r="P1" s="208"/>
      <c r="Q1" s="208"/>
      <c r="R1" s="209"/>
      <c r="S1" s="209"/>
      <c r="T1" s="210"/>
      <c r="U1" s="210"/>
      <c r="V1" s="204"/>
      <c r="W1" s="211"/>
      <c r="X1" s="212"/>
      <c r="Y1" s="213"/>
      <c r="Z1" s="214"/>
      <c r="AA1" s="215"/>
      <c r="AB1" s="216" t="str">
        <f ca="1">xlgantt.ProjectProgressString()</f>
        <v>2019-06-10~2019-07-28 [계획:91.33% 실적:30.06%]</v>
      </c>
      <c r="AC1" s="237" t="s">
        <v>985</v>
      </c>
      <c r="AD1" s="237"/>
      <c r="AE1" s="237"/>
      <c r="AF1" s="237"/>
      <c r="AG1" s="237"/>
      <c r="AH1" s="237"/>
      <c r="AI1" s="237"/>
      <c r="AJ1" s="237"/>
      <c r="AK1" s="237"/>
      <c r="AL1" s="237"/>
      <c r="AM1" s="237"/>
      <c r="AN1" s="237"/>
      <c r="AO1" s="237"/>
      <c r="AP1" s="237"/>
      <c r="AQ1" s="237"/>
      <c r="AR1" s="237"/>
      <c r="AS1" s="237"/>
      <c r="AT1" s="237"/>
      <c r="AU1" s="237"/>
      <c r="AV1" s="237"/>
      <c r="AW1" s="237"/>
      <c r="AX1" s="237"/>
      <c r="AY1" s="237"/>
      <c r="AZ1" s="237"/>
      <c r="BA1" s="237"/>
      <c r="BB1" s="237"/>
      <c r="BC1" s="237"/>
      <c r="BD1" s="237"/>
      <c r="BE1" s="237"/>
      <c r="BF1" s="237"/>
      <c r="BG1" s="237"/>
      <c r="BH1" s="237"/>
      <c r="BI1" s="237"/>
      <c r="BJ1" s="237"/>
      <c r="BK1" s="237"/>
      <c r="BL1" s="237"/>
      <c r="BM1" s="237"/>
      <c r="BN1" s="237"/>
      <c r="BO1" s="237"/>
      <c r="BP1" s="237"/>
      <c r="BQ1" s="237"/>
      <c r="BR1" s="237"/>
      <c r="BS1" s="237"/>
      <c r="BT1" s="237"/>
      <c r="BU1" s="237"/>
      <c r="BV1" s="237"/>
      <c r="BW1" s="237"/>
      <c r="BX1" s="237"/>
      <c r="BY1" s="237"/>
      <c r="BZ1" s="237"/>
      <c r="CA1" s="237"/>
    </row>
    <row r="2" spans="1:84" s="197" customFormat="1" ht="15" customHeight="1">
      <c r="A2" s="217"/>
      <c r="B2" s="217"/>
      <c r="C2" s="217"/>
      <c r="D2" s="248"/>
      <c r="E2" s="248"/>
      <c r="F2" s="248"/>
      <c r="G2" s="141"/>
      <c r="H2" s="142"/>
      <c r="I2" s="141"/>
      <c r="J2" s="141"/>
      <c r="K2" s="141"/>
      <c r="L2" s="141"/>
      <c r="M2" s="141"/>
      <c r="N2" s="141"/>
      <c r="O2" s="141"/>
      <c r="P2" s="141"/>
      <c r="Q2" s="141"/>
      <c r="R2" s="141"/>
      <c r="S2" s="141"/>
      <c r="T2" s="141"/>
      <c r="U2" s="141"/>
      <c r="V2" s="141"/>
      <c r="W2" s="141"/>
      <c r="X2" s="141"/>
      <c r="Y2" s="141"/>
      <c r="Z2" s="143"/>
      <c r="AA2" s="144"/>
      <c r="AB2" s="141" t="str">
        <f ca="1">xlgantt.CommentOnHeadArea()</f>
        <v>별(*)표시는 필수입력, 주황색열은 자동계산</v>
      </c>
      <c r="AC2" s="145" t="s">
        <v>1000</v>
      </c>
    </row>
    <row r="3" spans="1:84" s="1" customFormat="1" ht="20.100000000000001" customHeight="1">
      <c r="A3" s="239" t="s">
        <v>1206</v>
      </c>
      <c r="B3" s="241" t="s">
        <v>1296</v>
      </c>
      <c r="C3" s="243" t="s">
        <v>1249</v>
      </c>
      <c r="D3" s="244" t="s">
        <v>1209</v>
      </c>
      <c r="E3" s="245" t="s">
        <v>1234</v>
      </c>
      <c r="F3" s="246"/>
      <c r="G3" s="246"/>
      <c r="H3" s="246"/>
      <c r="I3" s="246"/>
      <c r="J3" s="246"/>
      <c r="K3" s="247"/>
      <c r="L3" s="228" t="s">
        <v>1297</v>
      </c>
      <c r="M3" s="228" t="s">
        <v>1248</v>
      </c>
      <c r="N3" s="228" t="s">
        <v>1281</v>
      </c>
      <c r="O3" s="249" t="s">
        <v>1298</v>
      </c>
      <c r="P3" s="227" t="s">
        <v>1299</v>
      </c>
      <c r="Q3" s="227" t="s">
        <v>1294</v>
      </c>
      <c r="R3" s="227" t="s">
        <v>1300</v>
      </c>
      <c r="S3" s="227" t="s">
        <v>1239</v>
      </c>
      <c r="T3" s="230" t="s">
        <v>1250</v>
      </c>
      <c r="U3" s="230" t="s">
        <v>1207</v>
      </c>
      <c r="V3" s="231" t="s">
        <v>1301</v>
      </c>
      <c r="W3" s="232" t="s">
        <v>1302</v>
      </c>
      <c r="X3" s="233" t="s">
        <v>1303</v>
      </c>
      <c r="Y3" s="228" t="s">
        <v>1304</v>
      </c>
      <c r="Z3" s="241" t="s">
        <v>1295</v>
      </c>
      <c r="AA3" s="234" t="s">
        <v>1220</v>
      </c>
      <c r="AB3" s="229" t="s">
        <v>1305</v>
      </c>
      <c r="AC3" s="235">
        <v>43625</v>
      </c>
      <c r="AD3" s="236"/>
      <c r="AE3" s="236"/>
      <c r="AF3" s="236"/>
      <c r="AG3" s="236">
        <v>43653</v>
      </c>
      <c r="AH3" s="236"/>
      <c r="AI3" s="236"/>
      <c r="AJ3" s="238"/>
    </row>
    <row r="4" spans="1:84" s="2" customFormat="1" ht="5.0999999999999996" customHeight="1">
      <c r="A4" s="240"/>
      <c r="B4" s="242"/>
      <c r="C4" s="239"/>
      <c r="D4" s="244"/>
      <c r="E4" s="245"/>
      <c r="F4" s="246"/>
      <c r="G4" s="246"/>
      <c r="H4" s="246"/>
      <c r="I4" s="246"/>
      <c r="J4" s="246"/>
      <c r="K4" s="247"/>
      <c r="L4" s="228"/>
      <c r="M4" s="228"/>
      <c r="N4" s="228"/>
      <c r="O4" s="249"/>
      <c r="P4" s="227"/>
      <c r="Q4" s="227"/>
      <c r="R4" s="227"/>
      <c r="S4" s="227"/>
      <c r="T4" s="228"/>
      <c r="U4" s="228"/>
      <c r="V4" s="231"/>
      <c r="W4" s="232"/>
      <c r="X4" s="233"/>
      <c r="Y4" s="228"/>
      <c r="Z4" s="241"/>
      <c r="AA4" s="234"/>
      <c r="AB4" s="229"/>
      <c r="AC4" s="112">
        <v>43625</v>
      </c>
      <c r="AD4" s="113">
        <v>43632</v>
      </c>
      <c r="AE4" s="113">
        <v>43639</v>
      </c>
      <c r="AF4" s="113">
        <v>43646</v>
      </c>
      <c r="AG4" s="113">
        <v>43653</v>
      </c>
      <c r="AH4" s="113">
        <v>43660</v>
      </c>
      <c r="AI4" s="113">
        <v>43667</v>
      </c>
      <c r="AJ4" s="115">
        <v>43674</v>
      </c>
      <c r="AK4" s="121"/>
      <c r="AL4" s="122"/>
      <c r="AM4" s="122"/>
      <c r="AN4" s="122"/>
      <c r="AO4" s="122"/>
      <c r="AP4" s="122"/>
      <c r="AQ4" s="122"/>
      <c r="AR4" s="122"/>
      <c r="AS4" s="122"/>
      <c r="AT4" s="122"/>
      <c r="AU4" s="122"/>
      <c r="AV4" s="122"/>
      <c r="AW4" s="122"/>
      <c r="AX4" s="122"/>
      <c r="AY4" s="122"/>
      <c r="AZ4" s="122"/>
      <c r="BA4" s="122"/>
      <c r="BB4" s="122"/>
      <c r="BC4" s="122"/>
      <c r="BD4" s="122"/>
      <c r="BE4" s="122"/>
      <c r="BF4" s="122"/>
      <c r="BG4" s="122"/>
      <c r="BH4" s="122"/>
      <c r="BI4" s="122"/>
      <c r="BJ4" s="122"/>
      <c r="BK4" s="122"/>
      <c r="BL4" s="122"/>
      <c r="BM4" s="122"/>
      <c r="BN4" s="122"/>
      <c r="BO4" s="122"/>
      <c r="BP4" s="122"/>
      <c r="BQ4" s="122"/>
      <c r="BR4" s="122"/>
      <c r="BS4" s="122"/>
      <c r="BT4" s="122"/>
      <c r="BU4" s="122"/>
      <c r="BV4" s="122"/>
      <c r="BW4" s="122"/>
      <c r="BX4" s="122"/>
      <c r="BY4" s="122"/>
      <c r="BZ4" s="122"/>
      <c r="CA4" s="122"/>
      <c r="CB4" s="122"/>
      <c r="CC4" s="122"/>
      <c r="CD4" s="122"/>
      <c r="CE4" s="122"/>
      <c r="CF4" s="122"/>
    </row>
    <row r="5" spans="1:84">
      <c r="A5" s="116"/>
      <c r="B5" s="116" t="s">
        <v>976</v>
      </c>
      <c r="C5" s="116">
        <v>1</v>
      </c>
      <c r="D5" s="218" t="s">
        <v>977</v>
      </c>
      <c r="E5" s="163" t="s">
        <v>1016</v>
      </c>
      <c r="F5" s="163"/>
      <c r="G5" s="163"/>
      <c r="H5" s="163"/>
      <c r="I5" s="163"/>
      <c r="J5" s="163"/>
      <c r="K5" s="163"/>
      <c r="L5" s="163"/>
      <c r="M5" s="164">
        <v>43626</v>
      </c>
      <c r="N5" s="164">
        <v>43626</v>
      </c>
      <c r="O5" s="165"/>
      <c r="P5" s="166">
        <v>1</v>
      </c>
      <c r="Q5" s="166">
        <v>1</v>
      </c>
      <c r="R5" s="167">
        <v>1</v>
      </c>
      <c r="S5" s="167">
        <v>1</v>
      </c>
      <c r="T5" s="164"/>
      <c r="U5" s="164"/>
      <c r="V5" s="168">
        <v>0</v>
      </c>
      <c r="W5" s="169">
        <v>0</v>
      </c>
      <c r="X5" s="170"/>
      <c r="Y5" s="165"/>
      <c r="Z5" s="171"/>
      <c r="AA5" s="97">
        <v>1</v>
      </c>
      <c r="AB5" s="172">
        <v>1</v>
      </c>
      <c r="AC5" s="123" t="str">
        <f>"  " &amp; TEXT(AB5,"#0.00%") &amp; " " &amp; "착수" &amp; " " &amp; IF(M5="","",TEXT(M5,"M/D-")) &amp; IF(N5="","",TEXT(N5,"M/D")) &amp; " "</f>
        <v xml:space="preserve">  100.00% 착수 6/10-6/10 </v>
      </c>
      <c r="AD5" s="4"/>
      <c r="AE5" s="4"/>
      <c r="AF5" s="4"/>
      <c r="AG5" s="4"/>
      <c r="AH5" s="4"/>
      <c r="AI5" s="4"/>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row>
    <row r="6" spans="1:84" outlineLevel="1">
      <c r="A6" s="116"/>
      <c r="B6" s="116" t="s">
        <v>976</v>
      </c>
      <c r="C6" s="116">
        <v>2</v>
      </c>
      <c r="D6" s="218" t="s">
        <v>978</v>
      </c>
      <c r="E6" s="163"/>
      <c r="F6" s="163" t="s">
        <v>0</v>
      </c>
      <c r="G6" s="163"/>
      <c r="H6" s="163"/>
      <c r="I6" s="163"/>
      <c r="J6" s="163"/>
      <c r="K6" s="163"/>
      <c r="L6" s="163"/>
      <c r="M6" s="164">
        <v>43626</v>
      </c>
      <c r="N6" s="164">
        <v>43626</v>
      </c>
      <c r="O6" s="165"/>
      <c r="P6" s="166">
        <v>1</v>
      </c>
      <c r="Q6" s="166">
        <v>1</v>
      </c>
      <c r="R6" s="167">
        <v>1</v>
      </c>
      <c r="S6" s="167">
        <v>1</v>
      </c>
      <c r="T6" s="164"/>
      <c r="U6" s="164"/>
      <c r="V6" s="168">
        <v>0</v>
      </c>
      <c r="W6" s="169">
        <v>0</v>
      </c>
      <c r="X6" s="170"/>
      <c r="Y6" s="165"/>
      <c r="Z6" s="171"/>
      <c r="AA6" s="97">
        <v>1</v>
      </c>
      <c r="AB6" s="172">
        <v>1</v>
      </c>
      <c r="AC6" s="123" t="str">
        <f>"  " &amp; TEXT(AB6,"#0.00%") &amp; " " &amp; "프로젝트 착수" &amp; " " &amp; IF(M6="","",TEXT(M6,"M/D-")) &amp; IF(N6="","",TEXT(N6,"M/D")) &amp; " "</f>
        <v xml:space="preserve">  100.00% 프로젝트 착수 6/10-6/10 </v>
      </c>
      <c r="AD6" s="4"/>
      <c r="AE6" s="4"/>
      <c r="AF6" s="4"/>
      <c r="AG6" s="4"/>
      <c r="AH6" s="4"/>
      <c r="AI6" s="4"/>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row>
    <row r="7" spans="1:84" outlineLevel="2">
      <c r="A7" s="116"/>
      <c r="B7" s="116"/>
      <c r="C7" s="116">
        <v>3</v>
      </c>
      <c r="D7" s="218" t="s">
        <v>955</v>
      </c>
      <c r="E7" s="163"/>
      <c r="F7" s="163"/>
      <c r="G7" s="163" t="s">
        <v>1019</v>
      </c>
      <c r="H7" s="163"/>
      <c r="I7" s="163"/>
      <c r="J7" s="163"/>
      <c r="K7" s="163"/>
      <c r="L7" s="163"/>
      <c r="M7" s="164">
        <v>43626</v>
      </c>
      <c r="N7" s="164">
        <v>43626</v>
      </c>
      <c r="O7" s="165"/>
      <c r="P7" s="166">
        <v>1</v>
      </c>
      <c r="Q7" s="166">
        <v>1</v>
      </c>
      <c r="R7" s="167">
        <v>1</v>
      </c>
      <c r="S7" s="167">
        <v>1</v>
      </c>
      <c r="T7" s="164"/>
      <c r="U7" s="164"/>
      <c r="V7" s="168"/>
      <c r="W7" s="169">
        <v>0</v>
      </c>
      <c r="X7" s="170">
        <v>1</v>
      </c>
      <c r="Y7" s="223" t="s">
        <v>1279</v>
      </c>
      <c r="Z7" s="171"/>
      <c r="AA7" s="97">
        <v>1</v>
      </c>
      <c r="AB7" s="172">
        <v>1</v>
      </c>
      <c r="AC7" s="123" t="str">
        <f>"  " &amp; TEXT(AB7,"#0.00%") &amp; " " &amp; "킥오프 / 일정 협의" &amp; "(칼로그(공통))" &amp; " " &amp; IF(M7="","",TEXT(M7,"M/D-")) &amp; IF(N7="","",TEXT(N7,"M/D")) &amp; " "</f>
        <v xml:space="preserve">  100.00% 킥오프 / 일정 협의(칼로그(공통)) 6/10-6/10 </v>
      </c>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row>
    <row r="8" spans="1:84">
      <c r="A8" s="116"/>
      <c r="B8" s="116" t="s">
        <v>976</v>
      </c>
      <c r="C8" s="116">
        <v>1</v>
      </c>
      <c r="D8" s="218" t="s">
        <v>979</v>
      </c>
      <c r="E8" s="260" t="s">
        <v>960</v>
      </c>
      <c r="F8" s="163"/>
      <c r="G8" s="163"/>
      <c r="H8" s="163"/>
      <c r="I8" s="163"/>
      <c r="J8" s="163"/>
      <c r="K8" s="163"/>
      <c r="L8" s="163"/>
      <c r="M8" s="164"/>
      <c r="N8" s="164"/>
      <c r="O8" s="165"/>
      <c r="P8" s="166">
        <v>0</v>
      </c>
      <c r="Q8" s="166">
        <v>0</v>
      </c>
      <c r="R8" s="167">
        <v>0</v>
      </c>
      <c r="S8" s="167">
        <v>0</v>
      </c>
      <c r="T8" s="164"/>
      <c r="U8" s="164"/>
      <c r="V8" s="168">
        <v>0</v>
      </c>
      <c r="W8" s="169">
        <v>0</v>
      </c>
      <c r="X8" s="170"/>
      <c r="Y8" s="165"/>
      <c r="Z8" s="171"/>
      <c r="AA8" s="97">
        <v>0</v>
      </c>
      <c r="AB8" s="172">
        <v>0</v>
      </c>
      <c r="AC8" s="123"/>
      <c r="AD8" s="4"/>
      <c r="AE8" s="4"/>
      <c r="AF8" s="4"/>
      <c r="AG8" s="4"/>
      <c r="AH8" s="4"/>
      <c r="AI8" s="4"/>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row>
    <row r="9" spans="1:84" outlineLevel="1">
      <c r="A9" s="116"/>
      <c r="B9" s="116" t="s">
        <v>976</v>
      </c>
      <c r="C9" s="116">
        <v>2</v>
      </c>
      <c r="D9" s="218" t="s">
        <v>980</v>
      </c>
      <c r="E9" s="163"/>
      <c r="F9" s="260" t="s">
        <v>1020</v>
      </c>
      <c r="G9" s="163"/>
      <c r="H9" s="163"/>
      <c r="I9" s="163"/>
      <c r="J9" s="163"/>
      <c r="K9" s="163"/>
      <c r="L9" s="163"/>
      <c r="M9" s="164"/>
      <c r="N9" s="164"/>
      <c r="O9" s="165"/>
      <c r="P9" s="166">
        <v>0</v>
      </c>
      <c r="Q9" s="166">
        <v>0</v>
      </c>
      <c r="R9" s="167">
        <v>0</v>
      </c>
      <c r="S9" s="167">
        <v>0</v>
      </c>
      <c r="T9" s="164"/>
      <c r="U9" s="164"/>
      <c r="V9" s="168">
        <v>0</v>
      </c>
      <c r="W9" s="169">
        <v>0</v>
      </c>
      <c r="X9" s="170"/>
      <c r="Y9" s="165"/>
      <c r="Z9" s="171"/>
      <c r="AA9" s="97">
        <v>0</v>
      </c>
      <c r="AB9" s="172">
        <v>0</v>
      </c>
      <c r="AC9" s="123"/>
      <c r="AD9" s="4"/>
      <c r="AE9" s="4"/>
      <c r="AF9" s="4"/>
      <c r="AG9" s="4"/>
      <c r="AH9" s="4"/>
      <c r="AI9" s="4"/>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row>
    <row r="10" spans="1:84" outlineLevel="2">
      <c r="A10" s="116"/>
      <c r="B10" s="116"/>
      <c r="C10" s="116">
        <v>3</v>
      </c>
      <c r="D10" s="218" t="s">
        <v>957</v>
      </c>
      <c r="E10" s="163"/>
      <c r="F10" s="163"/>
      <c r="G10" s="163" t="s">
        <v>1020</v>
      </c>
      <c r="H10" s="163"/>
      <c r="I10" s="163"/>
      <c r="J10" s="163"/>
      <c r="K10" s="163"/>
      <c r="L10" s="163"/>
      <c r="M10" s="164"/>
      <c r="N10" s="164"/>
      <c r="O10" s="165"/>
      <c r="P10" s="166">
        <v>0</v>
      </c>
      <c r="Q10" s="166">
        <v>0</v>
      </c>
      <c r="R10" s="167">
        <v>0</v>
      </c>
      <c r="S10" s="167">
        <v>0</v>
      </c>
      <c r="T10" s="164"/>
      <c r="U10" s="164"/>
      <c r="V10" s="168">
        <v>0</v>
      </c>
      <c r="W10" s="169">
        <v>0</v>
      </c>
      <c r="X10" s="170"/>
      <c r="Y10" s="223" t="s">
        <v>1279</v>
      </c>
      <c r="Z10" s="171"/>
      <c r="AA10" s="97">
        <v>0</v>
      </c>
      <c r="AB10" s="172">
        <v>0</v>
      </c>
      <c r="AC10" s="123"/>
      <c r="AD10" s="4"/>
      <c r="AE10" s="4"/>
      <c r="AF10" s="4"/>
      <c r="AG10" s="4"/>
      <c r="AH10" s="4"/>
      <c r="AI10" s="4"/>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c r="BT10" s="4"/>
      <c r="BU10" s="4"/>
      <c r="BV10" s="4"/>
      <c r="BW10" s="4"/>
      <c r="BX10" s="4"/>
      <c r="BY10" s="4"/>
      <c r="BZ10" s="4"/>
      <c r="CA10" s="4"/>
      <c r="CB10" s="4"/>
      <c r="CC10" s="4"/>
      <c r="CD10" s="4"/>
      <c r="CE10" s="4"/>
      <c r="CF10" s="4"/>
    </row>
    <row r="11" spans="1:84" outlineLevel="2">
      <c r="A11" s="116"/>
      <c r="B11" s="116"/>
      <c r="C11" s="116">
        <v>3</v>
      </c>
      <c r="D11" s="218" t="s">
        <v>981</v>
      </c>
      <c r="E11" s="163"/>
      <c r="F11" s="163"/>
      <c r="G11" s="163" t="s">
        <v>1021</v>
      </c>
      <c r="H11" s="163"/>
      <c r="I11" s="163"/>
      <c r="J11" s="163"/>
      <c r="K11" s="163"/>
      <c r="L11" s="163"/>
      <c r="M11" s="164"/>
      <c r="N11" s="164"/>
      <c r="O11" s="165"/>
      <c r="P11" s="166">
        <v>0</v>
      </c>
      <c r="Q11" s="166">
        <v>0</v>
      </c>
      <c r="R11" s="167">
        <v>0</v>
      </c>
      <c r="S11" s="167">
        <v>0</v>
      </c>
      <c r="T11" s="164"/>
      <c r="U11" s="164"/>
      <c r="V11" s="168">
        <v>0</v>
      </c>
      <c r="W11" s="169">
        <v>0</v>
      </c>
      <c r="X11" s="170"/>
      <c r="Y11" s="223" t="s">
        <v>1279</v>
      </c>
      <c r="Z11" s="171"/>
      <c r="AA11" s="97">
        <v>0</v>
      </c>
      <c r="AB11" s="172">
        <v>0</v>
      </c>
      <c r="AC11" s="123"/>
      <c r="AD11" s="4"/>
      <c r="AE11" s="4"/>
      <c r="AF11" s="4"/>
      <c r="AG11" s="4"/>
      <c r="AH11" s="4"/>
      <c r="AI11" s="4"/>
      <c r="AJ11" s="4"/>
      <c r="AK11" s="4"/>
      <c r="AL11" s="4"/>
      <c r="AM11" s="4"/>
      <c r="AN11" s="4"/>
      <c r="AO11" s="4"/>
      <c r="AP11" s="4"/>
      <c r="AQ11" s="4"/>
      <c r="AR11" s="4"/>
      <c r="AS11" s="4"/>
      <c r="AT11" s="4"/>
      <c r="AU11" s="4"/>
      <c r="AV11" s="4"/>
      <c r="AW11" s="4"/>
      <c r="AX11" s="4"/>
      <c r="AY11" s="4"/>
      <c r="AZ11" s="4"/>
      <c r="BA11" s="4"/>
      <c r="BB11" s="4"/>
      <c r="BC11" s="4"/>
      <c r="BD11" s="4"/>
      <c r="BE11" s="4"/>
      <c r="BF11" s="4"/>
      <c r="BG11" s="4"/>
      <c r="BH11" s="4"/>
      <c r="BI11" s="4"/>
      <c r="BJ11" s="4"/>
      <c r="BK11" s="4"/>
      <c r="BL11" s="4"/>
      <c r="BM11" s="4"/>
      <c r="BN11" s="4"/>
      <c r="BO11" s="4"/>
      <c r="BP11" s="4"/>
      <c r="BQ11" s="4"/>
      <c r="BR11" s="4"/>
      <c r="BS11" s="4"/>
      <c r="BT11" s="4"/>
      <c r="BU11" s="4"/>
      <c r="BV11" s="4"/>
      <c r="BW11" s="4"/>
      <c r="BX11" s="4"/>
      <c r="BY11" s="4"/>
      <c r="BZ11" s="4"/>
      <c r="CA11" s="4"/>
      <c r="CB11" s="4"/>
      <c r="CC11" s="4"/>
      <c r="CD11" s="4"/>
      <c r="CE11" s="4"/>
      <c r="CF11" s="4"/>
    </row>
    <row r="12" spans="1:84" outlineLevel="1">
      <c r="A12" s="116"/>
      <c r="B12" s="116" t="s">
        <v>976</v>
      </c>
      <c r="C12" s="116">
        <v>2</v>
      </c>
      <c r="D12" s="218" t="s">
        <v>982</v>
      </c>
      <c r="E12" s="163"/>
      <c r="F12" s="163" t="s">
        <v>1021</v>
      </c>
      <c r="G12" s="163"/>
      <c r="H12" s="163"/>
      <c r="I12" s="163"/>
      <c r="J12" s="163"/>
      <c r="K12" s="163"/>
      <c r="L12" s="163"/>
      <c r="M12" s="164"/>
      <c r="N12" s="164"/>
      <c r="O12" s="165"/>
      <c r="P12" s="166">
        <v>0</v>
      </c>
      <c r="Q12" s="166">
        <v>0</v>
      </c>
      <c r="R12" s="167">
        <v>0</v>
      </c>
      <c r="S12" s="167">
        <v>0</v>
      </c>
      <c r="T12" s="164"/>
      <c r="U12" s="164"/>
      <c r="V12" s="168">
        <v>0</v>
      </c>
      <c r="W12" s="169">
        <v>0</v>
      </c>
      <c r="X12" s="170"/>
      <c r="Y12" s="165"/>
      <c r="Z12" s="171"/>
      <c r="AA12" s="97">
        <v>0</v>
      </c>
      <c r="AB12" s="172">
        <v>0</v>
      </c>
      <c r="AC12" s="123"/>
      <c r="AD12" s="4"/>
      <c r="AE12" s="4"/>
      <c r="AF12" s="4"/>
      <c r="AG12" s="4"/>
      <c r="AH12" s="4"/>
      <c r="AI12" s="4"/>
      <c r="AJ12" s="4"/>
      <c r="AK12" s="4"/>
      <c r="AL12" s="4"/>
      <c r="AM12" s="4"/>
      <c r="AN12" s="4"/>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c r="BR12" s="4"/>
      <c r="BS12" s="4"/>
      <c r="BT12" s="4"/>
      <c r="BU12" s="4"/>
      <c r="BV12" s="4"/>
      <c r="BW12" s="4"/>
      <c r="BX12" s="4"/>
      <c r="BY12" s="4"/>
      <c r="BZ12" s="4"/>
      <c r="CA12" s="4"/>
      <c r="CB12" s="4"/>
      <c r="CC12" s="4"/>
      <c r="CD12" s="4"/>
      <c r="CE12" s="4"/>
      <c r="CF12" s="4"/>
    </row>
    <row r="13" spans="1:84" outlineLevel="2">
      <c r="A13" s="116"/>
      <c r="B13" s="116"/>
      <c r="C13" s="116">
        <v>3</v>
      </c>
      <c r="D13" s="218" t="s">
        <v>958</v>
      </c>
      <c r="E13" s="163"/>
      <c r="F13" s="163"/>
      <c r="G13" s="163" t="s">
        <v>1022</v>
      </c>
      <c r="H13" s="163"/>
      <c r="I13" s="163"/>
      <c r="J13" s="163"/>
      <c r="K13" s="163"/>
      <c r="L13" s="163"/>
      <c r="M13" s="164"/>
      <c r="N13" s="164"/>
      <c r="O13" s="165"/>
      <c r="P13" s="166">
        <v>0</v>
      </c>
      <c r="Q13" s="166">
        <v>0</v>
      </c>
      <c r="R13" s="167">
        <v>0</v>
      </c>
      <c r="S13" s="167">
        <v>0</v>
      </c>
      <c r="T13" s="164"/>
      <c r="U13" s="164"/>
      <c r="V13" s="168">
        <v>0</v>
      </c>
      <c r="W13" s="169">
        <v>0</v>
      </c>
      <c r="X13" s="170"/>
      <c r="Y13" s="223" t="s">
        <v>1279</v>
      </c>
      <c r="Z13" s="171"/>
      <c r="AA13" s="97">
        <v>0</v>
      </c>
      <c r="AB13" s="172">
        <v>0</v>
      </c>
      <c r="AC13" s="123"/>
      <c r="AD13" s="4"/>
      <c r="AE13" s="4"/>
      <c r="AF13" s="4"/>
      <c r="AG13" s="4"/>
      <c r="AH13" s="4"/>
      <c r="AI13" s="4"/>
      <c r="AJ13" s="4"/>
      <c r="AK13" s="4"/>
      <c r="AL13" s="4"/>
      <c r="AM13" s="4"/>
      <c r="AN13" s="4"/>
      <c r="AO13" s="4"/>
      <c r="AP13" s="4"/>
      <c r="AQ13" s="4"/>
      <c r="AR13" s="4"/>
      <c r="AS13" s="4"/>
      <c r="AT13" s="4"/>
      <c r="AU13" s="4"/>
      <c r="AV13" s="4"/>
      <c r="AW13" s="4"/>
      <c r="AX13" s="4"/>
      <c r="AY13" s="4"/>
      <c r="AZ13" s="4"/>
      <c r="BA13" s="4"/>
      <c r="BB13" s="4"/>
      <c r="BC13" s="4"/>
      <c r="BD13" s="4"/>
      <c r="BE13" s="4"/>
      <c r="BF13" s="4"/>
      <c r="BG13" s="4"/>
      <c r="BH13" s="4"/>
      <c r="BI13" s="4"/>
      <c r="BJ13" s="4"/>
      <c r="BK13" s="4"/>
      <c r="BL13" s="4"/>
      <c r="BM13" s="4"/>
      <c r="BN13" s="4"/>
      <c r="BO13" s="4"/>
      <c r="BP13" s="4"/>
      <c r="BQ13" s="4"/>
      <c r="BR13" s="4"/>
      <c r="BS13" s="4"/>
      <c r="BT13" s="4"/>
      <c r="BU13" s="4"/>
      <c r="BV13" s="4"/>
      <c r="BW13" s="4"/>
      <c r="BX13" s="4"/>
      <c r="BY13" s="4"/>
      <c r="BZ13" s="4"/>
      <c r="CA13" s="4"/>
      <c r="CB13" s="4"/>
      <c r="CC13" s="4"/>
      <c r="CD13" s="4"/>
      <c r="CE13" s="4"/>
      <c r="CF13" s="4"/>
    </row>
    <row r="14" spans="1:84" outlineLevel="2">
      <c r="A14" s="116"/>
      <c r="B14" s="116"/>
      <c r="C14" s="116">
        <v>3</v>
      </c>
      <c r="D14" s="218" t="s">
        <v>983</v>
      </c>
      <c r="E14" s="163"/>
      <c r="F14" s="163"/>
      <c r="G14" s="163" t="s">
        <v>1023</v>
      </c>
      <c r="H14" s="163"/>
      <c r="I14" s="163"/>
      <c r="J14" s="163"/>
      <c r="K14" s="163"/>
      <c r="L14" s="163"/>
      <c r="M14" s="164"/>
      <c r="N14" s="164"/>
      <c r="O14" s="165"/>
      <c r="P14" s="166">
        <v>0</v>
      </c>
      <c r="Q14" s="166">
        <v>0</v>
      </c>
      <c r="R14" s="167">
        <v>0</v>
      </c>
      <c r="S14" s="167">
        <v>0</v>
      </c>
      <c r="T14" s="164"/>
      <c r="U14" s="164"/>
      <c r="V14" s="168">
        <v>0</v>
      </c>
      <c r="W14" s="169">
        <v>0</v>
      </c>
      <c r="X14" s="170"/>
      <c r="Y14" s="223" t="s">
        <v>1279</v>
      </c>
      <c r="Z14" s="171"/>
      <c r="AA14" s="97">
        <v>0</v>
      </c>
      <c r="AB14" s="172">
        <v>0</v>
      </c>
      <c r="AC14" s="123"/>
      <c r="AD14" s="4"/>
      <c r="AE14" s="4"/>
      <c r="AF14" s="4"/>
      <c r="AG14" s="4"/>
      <c r="AH14" s="4"/>
      <c r="AI14" s="4"/>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row>
    <row r="15" spans="1:84">
      <c r="A15" s="116"/>
      <c r="B15" s="116" t="s">
        <v>976</v>
      </c>
      <c r="C15" s="116">
        <v>1</v>
      </c>
      <c r="D15" s="218" t="s">
        <v>1024</v>
      </c>
      <c r="E15" s="163" t="s">
        <v>961</v>
      </c>
      <c r="F15" s="163"/>
      <c r="G15" s="163"/>
      <c r="H15" s="163"/>
      <c r="I15" s="163"/>
      <c r="J15" s="163"/>
      <c r="K15" s="163"/>
      <c r="L15" s="163"/>
      <c r="M15" s="164">
        <v>43634</v>
      </c>
      <c r="N15" s="164">
        <v>43662</v>
      </c>
      <c r="O15" s="165"/>
      <c r="P15" s="166">
        <v>40</v>
      </c>
      <c r="Q15" s="166">
        <v>40</v>
      </c>
      <c r="R15" s="167">
        <v>21</v>
      </c>
      <c r="S15" s="167">
        <v>21</v>
      </c>
      <c r="T15" s="164"/>
      <c r="U15" s="164"/>
      <c r="V15" s="168">
        <v>0</v>
      </c>
      <c r="W15" s="169">
        <v>0</v>
      </c>
      <c r="X15" s="170"/>
      <c r="Y15" s="165"/>
      <c r="Z15" s="171"/>
      <c r="AA15" s="97">
        <v>1</v>
      </c>
      <c r="AB15" s="172">
        <v>1</v>
      </c>
      <c r="AC15" s="123"/>
      <c r="AD15" s="4"/>
      <c r="AE15" s="4"/>
      <c r="AF15" s="4"/>
      <c r="AG15" s="4"/>
      <c r="AH15" s="4" t="str">
        <f>"   " &amp; TEXT(AB15,"#0.00%") &amp; " " &amp; "설계" &amp; " " &amp; IF(M15="","",TEXT(M15,"M/D-")) &amp; IF(N15="","",TEXT(N15,"M/D")) &amp; " "</f>
        <v xml:space="preserve">   100.00% 설계 6/18-7/16 </v>
      </c>
      <c r="AI15" s="4"/>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c r="BT15" s="4"/>
      <c r="BU15" s="4"/>
      <c r="BV15" s="4"/>
      <c r="BW15" s="4"/>
      <c r="BX15" s="4"/>
      <c r="BY15" s="4"/>
      <c r="BZ15" s="4"/>
      <c r="CA15" s="4"/>
      <c r="CB15" s="4"/>
      <c r="CC15" s="4"/>
      <c r="CD15" s="4"/>
      <c r="CE15" s="4"/>
      <c r="CF15" s="4"/>
    </row>
    <row r="16" spans="1:84" outlineLevel="1">
      <c r="A16" s="116"/>
      <c r="B16" s="116" t="s">
        <v>976</v>
      </c>
      <c r="C16" s="116">
        <v>2</v>
      </c>
      <c r="D16" s="218" t="s">
        <v>1037</v>
      </c>
      <c r="E16" s="163"/>
      <c r="F16" s="163" t="s">
        <v>1029</v>
      </c>
      <c r="G16" s="163"/>
      <c r="H16" s="163"/>
      <c r="I16" s="163"/>
      <c r="J16" s="163"/>
      <c r="K16" s="163"/>
      <c r="L16" s="163"/>
      <c r="M16" s="164">
        <v>43634</v>
      </c>
      <c r="N16" s="164">
        <v>43637</v>
      </c>
      <c r="O16" s="165"/>
      <c r="P16" s="166">
        <v>12</v>
      </c>
      <c r="Q16" s="166">
        <v>12</v>
      </c>
      <c r="R16" s="167">
        <v>4</v>
      </c>
      <c r="S16" s="167">
        <v>4</v>
      </c>
      <c r="T16" s="164"/>
      <c r="U16" s="164"/>
      <c r="V16" s="168">
        <v>0</v>
      </c>
      <c r="W16" s="169">
        <v>0</v>
      </c>
      <c r="X16" s="170"/>
      <c r="Y16" s="165"/>
      <c r="Z16" s="171"/>
      <c r="AA16" s="97">
        <v>1</v>
      </c>
      <c r="AB16" s="172">
        <v>1</v>
      </c>
      <c r="AC16" s="123"/>
      <c r="AD16" s="4" t="str">
        <f>"      " &amp; TEXT(AB16,"#0.00%") &amp; " " &amp; "기초 설계" &amp; " " &amp; IF(M16="","",TEXT(M16,"M/D-")) &amp; IF(N16="","",TEXT(N16,"M/D")) &amp; " "</f>
        <v xml:space="preserve">      100.00% 기초 설계 6/18-6/21 </v>
      </c>
      <c r="AE16" s="4"/>
      <c r="AF16" s="4"/>
      <c r="AG16" s="4"/>
      <c r="AH16" s="4"/>
      <c r="AI16" s="4"/>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c r="BT16" s="4"/>
      <c r="BU16" s="4"/>
      <c r="BV16" s="4"/>
      <c r="BW16" s="4"/>
      <c r="BX16" s="4"/>
      <c r="BY16" s="4"/>
      <c r="BZ16" s="4"/>
      <c r="CA16" s="4"/>
      <c r="CB16" s="4"/>
      <c r="CC16" s="4"/>
      <c r="CD16" s="4"/>
      <c r="CE16" s="4"/>
      <c r="CF16" s="4"/>
    </row>
    <row r="17" spans="1:84" outlineLevel="2">
      <c r="A17" s="116"/>
      <c r="B17" s="116"/>
      <c r="C17" s="116">
        <v>3</v>
      </c>
      <c r="D17" s="218" t="s">
        <v>1038</v>
      </c>
      <c r="E17" s="163"/>
      <c r="F17" s="163"/>
      <c r="G17" s="163" t="s">
        <v>1030</v>
      </c>
      <c r="H17" s="163"/>
      <c r="I17" s="163"/>
      <c r="J17" s="163"/>
      <c r="K17" s="163"/>
      <c r="L17" s="163"/>
      <c r="M17" s="164"/>
      <c r="N17" s="164"/>
      <c r="O17" s="165"/>
      <c r="P17" s="166">
        <v>0</v>
      </c>
      <c r="Q17" s="166">
        <v>0</v>
      </c>
      <c r="R17" s="167">
        <v>0</v>
      </c>
      <c r="S17" s="167">
        <v>0</v>
      </c>
      <c r="T17" s="164"/>
      <c r="U17" s="164"/>
      <c r="V17" s="168">
        <v>0</v>
      </c>
      <c r="W17" s="169">
        <v>0</v>
      </c>
      <c r="X17" s="170"/>
      <c r="Y17" s="223" t="s">
        <v>1279</v>
      </c>
      <c r="Z17" s="171"/>
      <c r="AA17" s="97">
        <v>0</v>
      </c>
      <c r="AB17" s="172">
        <v>0</v>
      </c>
      <c r="AC17" s="123"/>
      <c r="AD17" s="4"/>
      <c r="AE17" s="4"/>
      <c r="AF17" s="4"/>
      <c r="AG17" s="4"/>
      <c r="AH17" s="4"/>
      <c r="AI17" s="4"/>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c r="BT17" s="4"/>
      <c r="BU17" s="4"/>
      <c r="BV17" s="4"/>
      <c r="BW17" s="4"/>
      <c r="BX17" s="4"/>
      <c r="BY17" s="4"/>
      <c r="BZ17" s="4"/>
      <c r="CA17" s="4"/>
      <c r="CB17" s="4"/>
      <c r="CC17" s="4"/>
      <c r="CD17" s="4"/>
      <c r="CE17" s="4"/>
      <c r="CF17" s="4"/>
    </row>
    <row r="18" spans="1:84" outlineLevel="2">
      <c r="A18" s="116"/>
      <c r="B18" s="116"/>
      <c r="C18" s="116">
        <v>3</v>
      </c>
      <c r="D18" s="218" t="s">
        <v>1039</v>
      </c>
      <c r="E18" s="163"/>
      <c r="F18" s="163"/>
      <c r="G18" s="163" t="s">
        <v>1028</v>
      </c>
      <c r="H18" s="163"/>
      <c r="I18" s="163"/>
      <c r="J18" s="163"/>
      <c r="K18" s="163"/>
      <c r="L18" s="163"/>
      <c r="M18" s="164"/>
      <c r="N18" s="164"/>
      <c r="O18" s="165"/>
      <c r="P18" s="166">
        <v>0</v>
      </c>
      <c r="Q18" s="166">
        <v>0</v>
      </c>
      <c r="R18" s="167">
        <v>0</v>
      </c>
      <c r="S18" s="167">
        <v>0</v>
      </c>
      <c r="T18" s="164"/>
      <c r="U18" s="164"/>
      <c r="V18" s="168">
        <v>0</v>
      </c>
      <c r="W18" s="169">
        <v>0</v>
      </c>
      <c r="X18" s="170"/>
      <c r="Y18" s="223" t="s">
        <v>1279</v>
      </c>
      <c r="Z18" s="171"/>
      <c r="AA18" s="97">
        <v>0</v>
      </c>
      <c r="AB18" s="172">
        <v>0</v>
      </c>
      <c r="AC18" s="123"/>
      <c r="AD18" s="4"/>
      <c r="AE18" s="4"/>
      <c r="AF18" s="4"/>
      <c r="AG18" s="4"/>
      <c r="AH18" s="4"/>
      <c r="AI18" s="4"/>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c r="BT18" s="4"/>
      <c r="BU18" s="4"/>
      <c r="BV18" s="4"/>
      <c r="BW18" s="4"/>
      <c r="BX18" s="4"/>
      <c r="BY18" s="4"/>
      <c r="BZ18" s="4"/>
      <c r="CA18" s="4"/>
      <c r="CB18" s="4"/>
      <c r="CC18" s="4"/>
      <c r="CD18" s="4"/>
      <c r="CE18" s="4"/>
      <c r="CF18" s="4"/>
    </row>
    <row r="19" spans="1:84" outlineLevel="2">
      <c r="A19" s="116"/>
      <c r="B19" s="116"/>
      <c r="C19" s="116">
        <v>3</v>
      </c>
      <c r="D19" s="218" t="s">
        <v>1040</v>
      </c>
      <c r="E19" s="163"/>
      <c r="F19" s="163"/>
      <c r="G19" s="220" t="s">
        <v>1031</v>
      </c>
      <c r="H19" s="163"/>
      <c r="I19" s="163"/>
      <c r="J19" s="163"/>
      <c r="K19" s="163"/>
      <c r="L19" s="163"/>
      <c r="M19" s="164"/>
      <c r="N19" s="164"/>
      <c r="O19" s="165"/>
      <c r="P19" s="166">
        <v>0</v>
      </c>
      <c r="Q19" s="166">
        <v>0</v>
      </c>
      <c r="R19" s="167">
        <v>0</v>
      </c>
      <c r="S19" s="167">
        <v>0</v>
      </c>
      <c r="T19" s="164"/>
      <c r="U19" s="164"/>
      <c r="V19" s="168">
        <v>0</v>
      </c>
      <c r="W19" s="169">
        <v>0</v>
      </c>
      <c r="X19" s="170"/>
      <c r="Y19" s="223" t="s">
        <v>1279</v>
      </c>
      <c r="Z19" s="171"/>
      <c r="AA19" s="97">
        <v>0</v>
      </c>
      <c r="AB19" s="172">
        <v>0</v>
      </c>
      <c r="AC19" s="123"/>
      <c r="AD19" s="4"/>
      <c r="AE19" s="4"/>
      <c r="AF19" s="4"/>
      <c r="AG19" s="4"/>
      <c r="AH19" s="4"/>
      <c r="AI19" s="4"/>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c r="BT19" s="4"/>
      <c r="BU19" s="4"/>
      <c r="BV19" s="4"/>
      <c r="BW19" s="4"/>
      <c r="BX19" s="4"/>
      <c r="BY19" s="4"/>
      <c r="BZ19" s="4"/>
      <c r="CA19" s="4"/>
      <c r="CB19" s="4"/>
      <c r="CC19" s="4"/>
      <c r="CD19" s="4"/>
      <c r="CE19" s="4"/>
      <c r="CF19" s="4"/>
    </row>
    <row r="20" spans="1:84" outlineLevel="2">
      <c r="A20" s="116"/>
      <c r="B20" s="116"/>
      <c r="C20" s="116">
        <v>3</v>
      </c>
      <c r="D20" s="218" t="s">
        <v>1041</v>
      </c>
      <c r="E20" s="163"/>
      <c r="F20" s="163"/>
      <c r="G20" s="220" t="s">
        <v>1032</v>
      </c>
      <c r="H20" s="163"/>
      <c r="I20" s="163"/>
      <c r="J20" s="163"/>
      <c r="K20" s="163"/>
      <c r="L20" s="163"/>
      <c r="M20" s="164">
        <v>43634</v>
      </c>
      <c r="N20" s="164">
        <v>43636</v>
      </c>
      <c r="O20" s="165"/>
      <c r="P20" s="166">
        <v>3</v>
      </c>
      <c r="Q20" s="166">
        <v>3</v>
      </c>
      <c r="R20" s="167">
        <v>3</v>
      </c>
      <c r="S20" s="167">
        <v>3</v>
      </c>
      <c r="T20" s="164"/>
      <c r="U20" s="164"/>
      <c r="V20" s="168"/>
      <c r="W20" s="169">
        <v>0</v>
      </c>
      <c r="X20" s="170">
        <v>1</v>
      </c>
      <c r="Y20" s="223" t="s">
        <v>1279</v>
      </c>
      <c r="Z20" s="171"/>
      <c r="AA20" s="97">
        <v>1</v>
      </c>
      <c r="AB20" s="172">
        <v>1</v>
      </c>
      <c r="AC20" s="123"/>
      <c r="AD20" s="4" t="str">
        <f>"     " &amp; TEXT(AB20,"#0.00%") &amp; " " &amp; "메인 시안 화면 설계서 작업" &amp; "(칼로그(공통))" &amp; " " &amp; IF(M20="","",TEXT(M20,"M/D-")) &amp; IF(N20="","",TEXT(N20,"M/D")) &amp; " "</f>
        <v xml:space="preserve">     100.00% 메인 시안 화면 설계서 작업(칼로그(공통)) 6/18-6/20 </v>
      </c>
      <c r="AE20" s="4"/>
      <c r="AF20" s="4"/>
      <c r="AG20" s="4"/>
      <c r="AH20" s="4"/>
      <c r="AI20" s="4"/>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c r="BT20" s="4"/>
      <c r="BU20" s="4"/>
      <c r="BV20" s="4"/>
      <c r="BW20" s="4"/>
      <c r="BX20" s="4"/>
      <c r="BY20" s="4"/>
      <c r="BZ20" s="4"/>
      <c r="CA20" s="4"/>
      <c r="CB20" s="4"/>
      <c r="CC20" s="4"/>
      <c r="CD20" s="4"/>
      <c r="CE20" s="4"/>
      <c r="CF20" s="4"/>
    </row>
    <row r="21" spans="1:84" outlineLevel="2">
      <c r="A21" s="116"/>
      <c r="B21" s="116"/>
      <c r="C21" s="116">
        <v>3</v>
      </c>
      <c r="D21" s="218" t="s">
        <v>1042</v>
      </c>
      <c r="E21" s="163"/>
      <c r="F21" s="163"/>
      <c r="G21" s="220" t="s">
        <v>1033</v>
      </c>
      <c r="H21" s="163"/>
      <c r="I21" s="163"/>
      <c r="J21" s="163"/>
      <c r="K21" s="163"/>
      <c r="L21" s="163"/>
      <c r="M21" s="164">
        <v>43634</v>
      </c>
      <c r="N21" s="164">
        <v>43636</v>
      </c>
      <c r="O21" s="165"/>
      <c r="P21" s="166">
        <v>3</v>
      </c>
      <c r="Q21" s="166">
        <v>3</v>
      </c>
      <c r="R21" s="167">
        <v>3</v>
      </c>
      <c r="S21" s="167">
        <v>3</v>
      </c>
      <c r="T21" s="164"/>
      <c r="U21" s="164"/>
      <c r="V21" s="168"/>
      <c r="W21" s="169">
        <v>0</v>
      </c>
      <c r="X21" s="170">
        <v>1</v>
      </c>
      <c r="Y21" s="223" t="s">
        <v>1279</v>
      </c>
      <c r="Z21" s="171"/>
      <c r="AA21" s="97">
        <v>1</v>
      </c>
      <c r="AB21" s="172">
        <v>1</v>
      </c>
      <c r="AC21" s="123"/>
      <c r="AD21" s="4" t="str">
        <f>"     " &amp; TEXT(AB21,"#0.00%") &amp; " " &amp; "메인 디자인 시안 작업" &amp; "(칼로그(공통))" &amp; " " &amp; IF(M21="","",TEXT(M21,"M/D-")) &amp; IF(N21="","",TEXT(N21,"M/D")) &amp; " "</f>
        <v xml:space="preserve">     100.00% 메인 디자인 시안 작업(칼로그(공통)) 6/18-6/20 </v>
      </c>
      <c r="AE21" s="4"/>
      <c r="AF21" s="4"/>
      <c r="AG21" s="4"/>
      <c r="AH21" s="4"/>
      <c r="AI21" s="4"/>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c r="BT21" s="4"/>
      <c r="BU21" s="4"/>
      <c r="BV21" s="4"/>
      <c r="BW21" s="4"/>
      <c r="BX21" s="4"/>
      <c r="BY21" s="4"/>
      <c r="BZ21" s="4"/>
      <c r="CA21" s="4"/>
      <c r="CB21" s="4"/>
      <c r="CC21" s="4"/>
      <c r="CD21" s="4"/>
      <c r="CE21" s="4"/>
      <c r="CF21" s="4"/>
    </row>
    <row r="22" spans="1:84" outlineLevel="2">
      <c r="A22" s="116"/>
      <c r="B22" s="116"/>
      <c r="C22" s="116">
        <v>3</v>
      </c>
      <c r="D22" s="218" t="s">
        <v>1043</v>
      </c>
      <c r="E22" s="163"/>
      <c r="F22" s="163"/>
      <c r="G22" s="220" t="s">
        <v>1034</v>
      </c>
      <c r="H22" s="163"/>
      <c r="I22" s="163"/>
      <c r="J22" s="163"/>
      <c r="K22" s="163"/>
      <c r="L22" s="163"/>
      <c r="M22" s="164">
        <v>43634</v>
      </c>
      <c r="N22" s="164">
        <v>43636</v>
      </c>
      <c r="O22" s="165"/>
      <c r="P22" s="166">
        <v>3</v>
      </c>
      <c r="Q22" s="166">
        <v>3</v>
      </c>
      <c r="R22" s="167">
        <v>3</v>
      </c>
      <c r="S22" s="167">
        <v>3</v>
      </c>
      <c r="T22" s="164"/>
      <c r="U22" s="164"/>
      <c r="V22" s="168"/>
      <c r="W22" s="169">
        <v>0</v>
      </c>
      <c r="X22" s="170">
        <v>1</v>
      </c>
      <c r="Y22" s="223" t="s">
        <v>1279</v>
      </c>
      <c r="Z22" s="171"/>
      <c r="AA22" s="97">
        <v>1</v>
      </c>
      <c r="AB22" s="172">
        <v>1</v>
      </c>
      <c r="AC22" s="123"/>
      <c r="AD22" s="4" t="str">
        <f>"     " &amp; TEXT(AB22,"#0.00%") &amp; " " &amp; "메인 시안 검토" &amp; "(칼로그(공통))" &amp; " " &amp; IF(M22="","",TEXT(M22,"M/D-")) &amp; IF(N22="","",TEXT(N22,"M/D")) &amp; " "</f>
        <v xml:space="preserve">     100.00% 메인 시안 검토(칼로그(공통)) 6/18-6/20 </v>
      </c>
      <c r="AE22" s="4"/>
      <c r="AF22" s="4"/>
      <c r="AG22" s="4"/>
      <c r="AH22" s="4"/>
      <c r="AI22" s="4"/>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row>
    <row r="23" spans="1:84" outlineLevel="2">
      <c r="A23" s="116"/>
      <c r="B23" s="116"/>
      <c r="C23" s="116">
        <v>3</v>
      </c>
      <c r="D23" s="218" t="s">
        <v>1044</v>
      </c>
      <c r="E23" s="163"/>
      <c r="F23" s="163"/>
      <c r="G23" s="220" t="s">
        <v>1035</v>
      </c>
      <c r="H23" s="163"/>
      <c r="I23" s="163"/>
      <c r="J23" s="163"/>
      <c r="K23" s="163"/>
      <c r="L23" s="163"/>
      <c r="M23" s="164">
        <v>43636</v>
      </c>
      <c r="N23" s="164">
        <v>43637</v>
      </c>
      <c r="O23" s="165"/>
      <c r="P23" s="166">
        <v>2</v>
      </c>
      <c r="Q23" s="166">
        <v>2</v>
      </c>
      <c r="R23" s="167">
        <v>2</v>
      </c>
      <c r="S23" s="167">
        <v>2</v>
      </c>
      <c r="T23" s="164"/>
      <c r="U23" s="164"/>
      <c r="V23" s="168"/>
      <c r="W23" s="169">
        <v>0</v>
      </c>
      <c r="X23" s="170">
        <v>1</v>
      </c>
      <c r="Y23" s="223" t="s">
        <v>1279</v>
      </c>
      <c r="Z23" s="171"/>
      <c r="AA23" s="97">
        <v>1</v>
      </c>
      <c r="AB23" s="172">
        <v>1</v>
      </c>
      <c r="AC23" s="123"/>
      <c r="AD23" s="4" t="str">
        <f>"      " &amp; TEXT(AB23,"#0.00%") &amp; " " &amp; "메인 시안 검토 및 수정" &amp; "(칼로그(공통))" &amp; " " &amp; IF(M23="","",TEXT(M23,"M/D-")) &amp; IF(N23="","",TEXT(N23,"M/D")) &amp; " "</f>
        <v xml:space="preserve">      100.00% 메인 시안 검토 및 수정(칼로그(공통)) 6/20-6/21 </v>
      </c>
      <c r="AE23" s="4"/>
      <c r="AF23" s="4"/>
      <c r="AG23" s="4"/>
      <c r="AH23" s="4"/>
      <c r="AI23" s="4"/>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c r="BT23" s="4"/>
      <c r="BU23" s="4"/>
      <c r="BV23" s="4"/>
      <c r="BW23" s="4"/>
      <c r="BX23" s="4"/>
      <c r="BY23" s="4"/>
      <c r="BZ23" s="4"/>
      <c r="CA23" s="4"/>
      <c r="CB23" s="4"/>
      <c r="CC23" s="4"/>
      <c r="CD23" s="4"/>
      <c r="CE23" s="4"/>
      <c r="CF23" s="4"/>
    </row>
    <row r="24" spans="1:84" outlineLevel="2">
      <c r="A24" s="116"/>
      <c r="B24" s="116"/>
      <c r="C24" s="116">
        <v>3</v>
      </c>
      <c r="D24" s="199" t="s">
        <v>1045</v>
      </c>
      <c r="E24" s="198"/>
      <c r="F24" s="163"/>
      <c r="G24" s="220" t="s">
        <v>1036</v>
      </c>
      <c r="H24" s="163"/>
      <c r="I24" s="163"/>
      <c r="J24" s="163"/>
      <c r="K24" s="163"/>
      <c r="L24" s="163"/>
      <c r="M24" s="164">
        <v>43637</v>
      </c>
      <c r="N24" s="164">
        <v>43637</v>
      </c>
      <c r="O24" s="165"/>
      <c r="P24" s="166">
        <v>1</v>
      </c>
      <c r="Q24" s="166">
        <v>1</v>
      </c>
      <c r="R24" s="167">
        <v>1</v>
      </c>
      <c r="S24" s="167">
        <v>1</v>
      </c>
      <c r="T24" s="164"/>
      <c r="U24" s="164"/>
      <c r="V24" s="168"/>
      <c r="W24" s="169">
        <v>0</v>
      </c>
      <c r="X24" s="170">
        <v>1</v>
      </c>
      <c r="Y24" s="223" t="s">
        <v>1279</v>
      </c>
      <c r="Z24" s="171"/>
      <c r="AA24" s="97">
        <v>1</v>
      </c>
      <c r="AB24" s="172">
        <v>1</v>
      </c>
      <c r="AC24" s="123"/>
      <c r="AD24" s="4" t="str">
        <f>"      " &amp; TEXT(AB24,"#0.00%") &amp; " " &amp; "메인 시안 fix" &amp; "(칼로그(공통))" &amp; " " &amp; IF(M24="","",TEXT(M24,"M/D-")) &amp; IF(N24="","",TEXT(N24,"M/D")) &amp; " "</f>
        <v xml:space="preserve">      100.00% 메인 시안 fix(칼로그(공통)) 6/21-6/21 </v>
      </c>
      <c r="AE24" s="4"/>
      <c r="AF24" s="4"/>
      <c r="AG24" s="4"/>
      <c r="AH24" s="4"/>
      <c r="AI24" s="4"/>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c r="BR24" s="4"/>
      <c r="BS24" s="4"/>
      <c r="BT24" s="4"/>
      <c r="BU24" s="4"/>
      <c r="BV24" s="4"/>
      <c r="BW24" s="4"/>
      <c r="BX24" s="4"/>
      <c r="BY24" s="4"/>
      <c r="BZ24" s="4"/>
      <c r="CA24" s="4"/>
      <c r="CB24" s="4"/>
      <c r="CC24" s="4"/>
      <c r="CD24" s="4"/>
      <c r="CE24" s="4"/>
      <c r="CF24" s="4"/>
    </row>
    <row r="25" spans="1:84" outlineLevel="1">
      <c r="A25" s="116"/>
      <c r="B25" s="116" t="s">
        <v>976</v>
      </c>
      <c r="C25" s="116">
        <v>2</v>
      </c>
      <c r="D25" s="199" t="s">
        <v>1051</v>
      </c>
      <c r="E25" s="198"/>
      <c r="F25" s="163" t="s">
        <v>1046</v>
      </c>
      <c r="G25" s="220"/>
      <c r="H25" s="163"/>
      <c r="I25" s="163"/>
      <c r="J25" s="163"/>
      <c r="K25" s="163"/>
      <c r="L25" s="163"/>
      <c r="M25" s="164">
        <v>43635</v>
      </c>
      <c r="N25" s="164">
        <v>43662</v>
      </c>
      <c r="O25" s="165"/>
      <c r="P25" s="166">
        <v>28</v>
      </c>
      <c r="Q25" s="166">
        <v>28</v>
      </c>
      <c r="R25" s="167">
        <v>20</v>
      </c>
      <c r="S25" s="167">
        <v>20</v>
      </c>
      <c r="T25" s="164"/>
      <c r="U25" s="164"/>
      <c r="V25" s="168">
        <v>0</v>
      </c>
      <c r="W25" s="169">
        <v>0</v>
      </c>
      <c r="X25" s="170"/>
      <c r="Y25" s="165"/>
      <c r="Z25" s="171"/>
      <c r="AA25" s="97">
        <v>1</v>
      </c>
      <c r="AB25" s="172">
        <v>1</v>
      </c>
      <c r="AC25" s="123"/>
      <c r="AD25" s="4"/>
      <c r="AE25" s="4"/>
      <c r="AF25" s="4"/>
      <c r="AG25" s="4"/>
      <c r="AH25" s="4" t="str">
        <f>"   " &amp; TEXT(AB25,"#0.00%") &amp; " " &amp; "상세 설계" &amp; " " &amp; IF(M25="","",TEXT(M25,"M/D-")) &amp; IF(N25="","",TEXT(N25,"M/D")) &amp; " "</f>
        <v xml:space="preserve">   100.00% 상세 설계 6/19-7/16 </v>
      </c>
      <c r="AI25" s="4"/>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row>
    <row r="26" spans="1:84" ht="12" customHeight="1" outlineLevel="2">
      <c r="A26" s="116"/>
      <c r="B26" s="116" t="s">
        <v>976</v>
      </c>
      <c r="C26" s="116">
        <v>3</v>
      </c>
      <c r="D26" s="199" t="s">
        <v>1052</v>
      </c>
      <c r="E26" s="198"/>
      <c r="F26" s="163"/>
      <c r="G26" s="220" t="s">
        <v>1289</v>
      </c>
      <c r="H26" s="163"/>
      <c r="I26" s="163"/>
      <c r="J26" s="163"/>
      <c r="K26" s="163"/>
      <c r="L26" s="163"/>
      <c r="M26" s="164">
        <v>43635</v>
      </c>
      <c r="N26" s="164">
        <v>43645</v>
      </c>
      <c r="O26" s="165"/>
      <c r="P26" s="166">
        <v>11</v>
      </c>
      <c r="Q26" s="166">
        <v>11</v>
      </c>
      <c r="R26" s="167">
        <v>8</v>
      </c>
      <c r="S26" s="167">
        <v>8</v>
      </c>
      <c r="T26" s="164"/>
      <c r="U26" s="164"/>
      <c r="V26" s="168">
        <v>0</v>
      </c>
      <c r="W26" s="169">
        <v>0</v>
      </c>
      <c r="X26" s="170"/>
      <c r="Y26" s="165"/>
      <c r="Z26" s="171"/>
      <c r="AA26" s="97">
        <v>1</v>
      </c>
      <c r="AB26" s="172">
        <v>1</v>
      </c>
      <c r="AC26" s="123"/>
      <c r="AD26" s="4"/>
      <c r="AE26" s="4"/>
      <c r="AF26" s="4" t="str">
        <f>"" &amp; TEXT(AB26,"#0.00%") &amp; " " &amp; "안드로이드 화면 (운동,수면,음주,식단,메인 외)" &amp; " " &amp; IF(M26="","",TEXT(M26,"M/D-")) &amp; IF(N26="","",TEXT(N26,"M/D")) &amp; " "</f>
        <v xml:space="preserve">100.00% 안드로이드 화면 (운동,수면,음주,식단,메인 외) 6/19-6/29 </v>
      </c>
      <c r="AG26" s="4"/>
      <c r="AH26" s="4"/>
      <c r="AI26" s="4"/>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row>
    <row r="27" spans="1:84" ht="12" customHeight="1" outlineLevel="3">
      <c r="A27" s="116"/>
      <c r="B27" s="116"/>
      <c r="C27" s="116">
        <v>4</v>
      </c>
      <c r="D27" s="199" t="s">
        <v>1053</v>
      </c>
      <c r="E27" s="198"/>
      <c r="F27" s="163"/>
      <c r="G27" s="220"/>
      <c r="H27" s="220" t="s">
        <v>1047</v>
      </c>
      <c r="I27" s="163"/>
      <c r="J27" s="163"/>
      <c r="K27" s="163"/>
      <c r="L27" s="163"/>
      <c r="M27" s="164">
        <v>43635</v>
      </c>
      <c r="N27" s="164">
        <v>43637</v>
      </c>
      <c r="O27" s="165"/>
      <c r="P27" s="166">
        <v>3</v>
      </c>
      <c r="Q27" s="166">
        <v>3</v>
      </c>
      <c r="R27" s="167">
        <v>3</v>
      </c>
      <c r="S27" s="167">
        <v>3</v>
      </c>
      <c r="T27" s="164"/>
      <c r="U27" s="164"/>
      <c r="V27" s="168"/>
      <c r="W27" s="169">
        <v>0</v>
      </c>
      <c r="X27" s="170">
        <v>1</v>
      </c>
      <c r="Y27" s="223" t="s">
        <v>1131</v>
      </c>
      <c r="Z27" s="171" t="s">
        <v>1149</v>
      </c>
      <c r="AA27" s="97">
        <v>1</v>
      </c>
      <c r="AB27" s="172">
        <v>1</v>
      </c>
      <c r="AC27" s="123"/>
      <c r="AD27" s="4" t="str">
        <f>"      " &amp; TEXT(AB27,"#0.00%") &amp; " " &amp; "화면 설계서 작성" &amp; "(지준혁)" &amp; " " &amp; IF(M27="","",TEXT(M27,"M/D-")) &amp; IF(N27="","",TEXT(N27,"M/D")) &amp; " "</f>
        <v xml:space="preserve">      100.00% 화면 설계서 작성(지준혁) 6/19-6/21 </v>
      </c>
      <c r="AE27" s="4"/>
      <c r="AF27" s="4"/>
      <c r="AG27" s="4"/>
      <c r="AH27" s="4"/>
      <c r="AI27" s="4"/>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row>
    <row r="28" spans="1:84" ht="12" customHeight="1" outlineLevel="3">
      <c r="A28" s="116"/>
      <c r="B28" s="116"/>
      <c r="C28" s="116">
        <v>4</v>
      </c>
      <c r="D28" s="199" t="s">
        <v>1054</v>
      </c>
      <c r="E28" s="198"/>
      <c r="F28" s="163"/>
      <c r="G28" s="220"/>
      <c r="H28" s="220" t="s">
        <v>1048</v>
      </c>
      <c r="I28" s="163"/>
      <c r="J28" s="163"/>
      <c r="K28" s="163"/>
      <c r="L28" s="163"/>
      <c r="M28" s="164">
        <v>43637</v>
      </c>
      <c r="N28" s="164">
        <v>43637</v>
      </c>
      <c r="O28" s="165"/>
      <c r="P28" s="166">
        <v>1</v>
      </c>
      <c r="Q28" s="166">
        <v>1</v>
      </c>
      <c r="R28" s="167">
        <v>1</v>
      </c>
      <c r="S28" s="167">
        <v>1</v>
      </c>
      <c r="T28" s="164"/>
      <c r="U28" s="164"/>
      <c r="V28" s="168"/>
      <c r="W28" s="169">
        <v>0</v>
      </c>
      <c r="X28" s="170">
        <v>1</v>
      </c>
      <c r="Y28" s="223" t="s">
        <v>1131</v>
      </c>
      <c r="Z28" s="171" t="s">
        <v>1161</v>
      </c>
      <c r="AA28" s="97">
        <v>1</v>
      </c>
      <c r="AB28" s="172">
        <v>1</v>
      </c>
      <c r="AC28" s="123"/>
      <c r="AD28" s="4" t="str">
        <f>"      " &amp; TEXT(AB28,"#0.00%") &amp; " " &amp; "화면 설계서 검토" &amp; "(지준혁)" &amp; " " &amp; IF(M28="","",TEXT(M28,"M/D-")) &amp; IF(N28="","",TEXT(N28,"M/D")) &amp; " "</f>
        <v xml:space="preserve">      100.00% 화면 설계서 검토(지준혁) 6/21-6/21 </v>
      </c>
      <c r="AE28" s="4"/>
      <c r="AF28" s="4"/>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row>
    <row r="29" spans="1:84" ht="12" customHeight="1" outlineLevel="3">
      <c r="A29" s="116"/>
      <c r="B29" s="116"/>
      <c r="C29" s="116">
        <v>4</v>
      </c>
      <c r="D29" s="199" t="s">
        <v>1055</v>
      </c>
      <c r="E29" s="198"/>
      <c r="F29" s="163"/>
      <c r="G29" s="220"/>
      <c r="H29" s="220" t="s">
        <v>1049</v>
      </c>
      <c r="I29" s="163"/>
      <c r="J29" s="163"/>
      <c r="K29" s="163"/>
      <c r="L29" s="163"/>
      <c r="M29" s="164">
        <v>43637</v>
      </c>
      <c r="N29" s="164">
        <v>43642</v>
      </c>
      <c r="O29" s="165"/>
      <c r="P29" s="166">
        <v>4</v>
      </c>
      <c r="Q29" s="166">
        <v>4</v>
      </c>
      <c r="R29" s="167">
        <v>4</v>
      </c>
      <c r="S29" s="167">
        <v>4</v>
      </c>
      <c r="T29" s="164"/>
      <c r="U29" s="164"/>
      <c r="V29" s="168"/>
      <c r="W29" s="169">
        <v>0</v>
      </c>
      <c r="X29" s="170">
        <v>1</v>
      </c>
      <c r="Y29" s="223" t="s">
        <v>1131</v>
      </c>
      <c r="Z29" s="171" t="s">
        <v>1150</v>
      </c>
      <c r="AA29" s="97">
        <v>1</v>
      </c>
      <c r="AB29" s="172">
        <v>1</v>
      </c>
      <c r="AC29" s="123"/>
      <c r="AD29" s="4"/>
      <c r="AE29" s="4" t="str">
        <f>"    " &amp; TEXT(AB29,"#0.00%") &amp; " " &amp; "화면 설계서 수정 및 보완" &amp; "(지준혁)" &amp; " " &amp; IF(M29="","",TEXT(M29,"M/D-")) &amp; IF(N29="","",TEXT(N29,"M/D")) &amp; " "</f>
        <v xml:space="preserve">    100.00% 화면 설계서 수정 및 보완(지준혁) 6/21-6/26 </v>
      </c>
      <c r="AF29" s="4"/>
      <c r="AG29" s="4"/>
      <c r="AH29" s="4"/>
      <c r="AI29" s="4"/>
      <c r="AJ29" s="4"/>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row>
    <row r="30" spans="1:84" outlineLevel="3">
      <c r="A30" s="116"/>
      <c r="B30" s="116"/>
      <c r="C30" s="116">
        <v>4</v>
      </c>
      <c r="D30" s="199" t="s">
        <v>1056</v>
      </c>
      <c r="E30" s="198"/>
      <c r="F30" s="163"/>
      <c r="G30" s="220"/>
      <c r="H30" s="220" t="s">
        <v>1050</v>
      </c>
      <c r="I30" s="163"/>
      <c r="J30" s="163"/>
      <c r="K30" s="163"/>
      <c r="L30" s="163"/>
      <c r="M30" s="164">
        <v>43642</v>
      </c>
      <c r="N30" s="164">
        <v>43645</v>
      </c>
      <c r="O30" s="165"/>
      <c r="P30" s="166">
        <v>3</v>
      </c>
      <c r="Q30" s="166">
        <v>3</v>
      </c>
      <c r="R30" s="167">
        <v>3</v>
      </c>
      <c r="S30" s="167">
        <v>3</v>
      </c>
      <c r="T30" s="164"/>
      <c r="U30" s="164"/>
      <c r="V30" s="168"/>
      <c r="W30" s="169">
        <v>0</v>
      </c>
      <c r="X30" s="170">
        <v>1</v>
      </c>
      <c r="Y30" s="223" t="s">
        <v>1131</v>
      </c>
      <c r="Z30" s="171" t="s">
        <v>1150</v>
      </c>
      <c r="AA30" s="97">
        <v>1</v>
      </c>
      <c r="AB30" s="172">
        <v>1</v>
      </c>
      <c r="AC30" s="123"/>
      <c r="AD30" s="4"/>
      <c r="AE30" s="4"/>
      <c r="AF30" s="4" t="str">
        <f>"" &amp; TEXT(AB30,"#0.00%") &amp; " " &amp; "화면 설계서 최종 fix" &amp; "(지준혁)" &amp; " " &amp; IF(M30="","",TEXT(M30,"M/D-")) &amp; IF(N30="","",TEXT(N30,"M/D")) &amp; " "</f>
        <v xml:space="preserve">100.00% 화면 설계서 최종 fix(지준혁) 6/26-6/29 </v>
      </c>
      <c r="AG30" s="4"/>
      <c r="AH30" s="4"/>
      <c r="AI30" s="4"/>
      <c r="AJ30" s="4"/>
      <c r="AK30" s="4"/>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row>
    <row r="31" spans="1:84" outlineLevel="2">
      <c r="A31" s="116"/>
      <c r="B31" s="116" t="s">
        <v>976</v>
      </c>
      <c r="C31" s="116">
        <v>3</v>
      </c>
      <c r="D31" s="199" t="s">
        <v>1061</v>
      </c>
      <c r="E31" s="198"/>
      <c r="F31" s="163"/>
      <c r="G31" s="220" t="s">
        <v>1290</v>
      </c>
      <c r="H31" s="220"/>
      <c r="I31" s="163"/>
      <c r="J31" s="163"/>
      <c r="K31" s="163"/>
      <c r="L31" s="163"/>
      <c r="M31" s="164">
        <v>43658</v>
      </c>
      <c r="N31" s="164">
        <v>43662</v>
      </c>
      <c r="O31" s="165"/>
      <c r="P31" s="166">
        <v>5</v>
      </c>
      <c r="Q31" s="166">
        <v>5</v>
      </c>
      <c r="R31" s="167">
        <v>3</v>
      </c>
      <c r="S31" s="167">
        <v>3</v>
      </c>
      <c r="T31" s="164"/>
      <c r="U31" s="164"/>
      <c r="V31" s="168">
        <v>0</v>
      </c>
      <c r="W31" s="169">
        <v>0</v>
      </c>
      <c r="X31" s="170"/>
      <c r="Y31" s="165"/>
      <c r="Z31" s="171"/>
      <c r="AA31" s="97">
        <v>1</v>
      </c>
      <c r="AB31" s="172">
        <v>1</v>
      </c>
      <c r="AC31" s="123"/>
      <c r="AD31" s="4"/>
      <c r="AE31" s="4"/>
      <c r="AF31" s="4"/>
      <c r="AG31" s="4"/>
      <c r="AH31" s="4" t="str">
        <f>"   " &amp; TEXT(AB31,"#0.00%") &amp; " " &amp; "웹 관리자 화면" &amp; " " &amp; IF(M31="","",TEXT(M31,"M/D-")) &amp; IF(N31="","",TEXT(N31,"M/D")) &amp; " "</f>
        <v xml:space="preserve">   100.00% 웹 관리자 화면 7/12-7/16 </v>
      </c>
      <c r="AI31" s="4"/>
      <c r="AJ31" s="4"/>
      <c r="AK31" s="4"/>
      <c r="AL31" s="4"/>
      <c r="AM31" s="4"/>
      <c r="AN31" s="4"/>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row>
    <row r="32" spans="1:84" outlineLevel="3">
      <c r="A32" s="116"/>
      <c r="B32" s="116"/>
      <c r="C32" s="116">
        <v>4</v>
      </c>
      <c r="D32" s="199" t="s">
        <v>1062</v>
      </c>
      <c r="E32" s="198"/>
      <c r="F32" s="163"/>
      <c r="G32" s="220"/>
      <c r="H32" s="220" t="s">
        <v>1047</v>
      </c>
      <c r="I32" s="163"/>
      <c r="J32" s="163"/>
      <c r="K32" s="163"/>
      <c r="L32" s="163"/>
      <c r="M32" s="164">
        <v>43658</v>
      </c>
      <c r="N32" s="164">
        <v>43661</v>
      </c>
      <c r="O32" s="165"/>
      <c r="P32" s="166">
        <v>2</v>
      </c>
      <c r="Q32" s="166">
        <v>2</v>
      </c>
      <c r="R32" s="167">
        <v>2</v>
      </c>
      <c r="S32" s="167">
        <v>2</v>
      </c>
      <c r="T32" s="164"/>
      <c r="U32" s="164"/>
      <c r="V32" s="168"/>
      <c r="W32" s="169">
        <v>0</v>
      </c>
      <c r="X32" s="170">
        <v>1</v>
      </c>
      <c r="Y32" s="223" t="s">
        <v>1131</v>
      </c>
      <c r="Z32" s="171" t="s">
        <v>1149</v>
      </c>
      <c r="AA32" s="97">
        <v>1</v>
      </c>
      <c r="AB32" s="172">
        <v>1</v>
      </c>
      <c r="AC32" s="123"/>
      <c r="AD32" s="4"/>
      <c r="AE32" s="4"/>
      <c r="AF32" s="4"/>
      <c r="AG32" s="4"/>
      <c r="AH32" s="4" t="str">
        <f>"  " &amp; TEXT(AB32,"#0.00%") &amp; " " &amp; "화면 설계서 작성" &amp; "(지준혁)" &amp; " " &amp; IF(M32="","",TEXT(M32,"M/D-")) &amp; IF(N32="","",TEXT(N32,"M/D")) &amp; " "</f>
        <v xml:space="preserve">  100.00% 화면 설계서 작성(지준혁) 7/12-7/15 </v>
      </c>
      <c r="AI32" s="4"/>
      <c r="AJ32" s="4"/>
      <c r="AK32" s="4"/>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row>
    <row r="33" spans="1:84" outlineLevel="3">
      <c r="A33" s="116"/>
      <c r="B33" s="116"/>
      <c r="C33" s="116">
        <v>4</v>
      </c>
      <c r="D33" s="199" t="s">
        <v>1063</v>
      </c>
      <c r="E33" s="198"/>
      <c r="F33" s="163"/>
      <c r="G33" s="220"/>
      <c r="H33" s="220" t="s">
        <v>1049</v>
      </c>
      <c r="I33" s="163"/>
      <c r="J33" s="163"/>
      <c r="K33" s="163"/>
      <c r="L33" s="163"/>
      <c r="M33" s="164">
        <v>43661</v>
      </c>
      <c r="N33" s="164">
        <v>43662</v>
      </c>
      <c r="O33" s="165"/>
      <c r="P33" s="166">
        <v>2</v>
      </c>
      <c r="Q33" s="166">
        <v>2</v>
      </c>
      <c r="R33" s="167">
        <v>2</v>
      </c>
      <c r="S33" s="167">
        <v>2</v>
      </c>
      <c r="T33" s="164"/>
      <c r="U33" s="164"/>
      <c r="V33" s="168"/>
      <c r="W33" s="169">
        <v>0</v>
      </c>
      <c r="X33" s="170">
        <v>1</v>
      </c>
      <c r="Y33" s="223" t="s">
        <v>1131</v>
      </c>
      <c r="Z33" s="171" t="s">
        <v>1150</v>
      </c>
      <c r="AA33" s="97">
        <v>1</v>
      </c>
      <c r="AB33" s="172">
        <v>1</v>
      </c>
      <c r="AC33" s="123"/>
      <c r="AD33" s="4"/>
      <c r="AE33" s="4"/>
      <c r="AF33" s="4"/>
      <c r="AG33" s="4"/>
      <c r="AH33" s="4" t="str">
        <f>"   " &amp; TEXT(AB33,"#0.00%") &amp; " " &amp; "화면 설계서 수정 및 보완" &amp; "(지준혁)" &amp; " " &amp; IF(M33="","",TEXT(M33,"M/D-")) &amp; IF(N33="","",TEXT(N33,"M/D")) &amp; " "</f>
        <v xml:space="preserve">   100.00% 화면 설계서 수정 및 보완(지준혁) 7/15-7/16 </v>
      </c>
      <c r="AI33" s="4"/>
      <c r="AJ33" s="4"/>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row>
    <row r="34" spans="1:84" outlineLevel="3">
      <c r="A34" s="116"/>
      <c r="B34" s="116"/>
      <c r="C34" s="116">
        <v>4</v>
      </c>
      <c r="D34" s="199" t="s">
        <v>1064</v>
      </c>
      <c r="E34" s="198"/>
      <c r="F34" s="163"/>
      <c r="G34" s="220"/>
      <c r="H34" s="220" t="s">
        <v>1050</v>
      </c>
      <c r="I34" s="163"/>
      <c r="J34" s="163"/>
      <c r="K34" s="163"/>
      <c r="L34" s="163"/>
      <c r="M34" s="164">
        <v>43662</v>
      </c>
      <c r="N34" s="164">
        <v>43662</v>
      </c>
      <c r="O34" s="165"/>
      <c r="P34" s="166">
        <v>1</v>
      </c>
      <c r="Q34" s="166">
        <v>1</v>
      </c>
      <c r="R34" s="167">
        <v>1</v>
      </c>
      <c r="S34" s="167">
        <v>1</v>
      </c>
      <c r="T34" s="164"/>
      <c r="U34" s="164"/>
      <c r="V34" s="168"/>
      <c r="W34" s="169">
        <v>0</v>
      </c>
      <c r="X34" s="170">
        <v>1</v>
      </c>
      <c r="Y34" s="223" t="s">
        <v>1131</v>
      </c>
      <c r="Z34" s="171" t="s">
        <v>1150</v>
      </c>
      <c r="AA34" s="97">
        <v>1</v>
      </c>
      <c r="AB34" s="172">
        <v>1</v>
      </c>
      <c r="AC34" s="123"/>
      <c r="AD34" s="4"/>
      <c r="AE34" s="4"/>
      <c r="AF34" s="4"/>
      <c r="AG34" s="4"/>
      <c r="AH34" s="4" t="str">
        <f>"   " &amp; TEXT(AB34,"#0.00%") &amp; " " &amp; "화면 설계서 최종 fix" &amp; "(지준혁)" &amp; " " &amp; IF(M34="","",TEXT(M34,"M/D-")) &amp; IF(N34="","",TEXT(N34,"M/D")) &amp; " "</f>
        <v xml:space="preserve">   100.00% 화면 설계서 최종 fix(지준혁) 7/16-7/16 </v>
      </c>
      <c r="AI34" s="4"/>
      <c r="AJ34" s="4"/>
      <c r="AK34" s="4"/>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row>
    <row r="35" spans="1:84" outlineLevel="2">
      <c r="A35" s="116"/>
      <c r="B35" s="116" t="s">
        <v>976</v>
      </c>
      <c r="C35" s="116">
        <v>3</v>
      </c>
      <c r="D35" s="199" t="s">
        <v>1065</v>
      </c>
      <c r="E35" s="198"/>
      <c r="F35" s="163"/>
      <c r="G35" s="220" t="s">
        <v>1057</v>
      </c>
      <c r="H35" s="220"/>
      <c r="I35" s="163"/>
      <c r="J35" s="163"/>
      <c r="K35" s="163"/>
      <c r="L35" s="163"/>
      <c r="M35" s="164">
        <v>43637</v>
      </c>
      <c r="N35" s="164">
        <v>43642</v>
      </c>
      <c r="O35" s="165"/>
      <c r="P35" s="166">
        <v>12</v>
      </c>
      <c r="Q35" s="166">
        <v>12</v>
      </c>
      <c r="R35" s="167">
        <v>4</v>
      </c>
      <c r="S35" s="167">
        <v>4</v>
      </c>
      <c r="T35" s="164"/>
      <c r="U35" s="164"/>
      <c r="V35" s="168">
        <v>0</v>
      </c>
      <c r="W35" s="169">
        <v>0</v>
      </c>
      <c r="X35" s="170"/>
      <c r="Y35" s="165"/>
      <c r="Z35" s="171"/>
      <c r="AA35" s="97">
        <v>1</v>
      </c>
      <c r="AB35" s="172">
        <v>1</v>
      </c>
      <c r="AC35" s="123"/>
      <c r="AD35" s="4"/>
      <c r="AE35" s="4" t="str">
        <f>"    " &amp; TEXT(AB35,"#0.00%") &amp; " " &amp; "데이터베이스 설계" &amp; " " &amp; IF(M35="","",TEXT(M35,"M/D-")) &amp; IF(N35="","",TEXT(N35,"M/D")) &amp; " "</f>
        <v xml:space="preserve">    100.00% 데이터베이스 설계 6/21-6/26 </v>
      </c>
      <c r="AF35" s="4"/>
      <c r="AG35" s="4"/>
      <c r="AH35" s="4"/>
      <c r="AI35" s="4"/>
      <c r="AJ35" s="4"/>
      <c r="AK35" s="4"/>
      <c r="AL35" s="4"/>
      <c r="AM35" s="4"/>
      <c r="AN35" s="4"/>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row>
    <row r="36" spans="1:84" outlineLevel="3">
      <c r="A36" s="116"/>
      <c r="B36" s="116"/>
      <c r="C36" s="116">
        <v>4</v>
      </c>
      <c r="D36" s="199" t="s">
        <v>1066</v>
      </c>
      <c r="E36" s="198"/>
      <c r="F36" s="163"/>
      <c r="G36" s="220"/>
      <c r="H36" s="220" t="s">
        <v>1060</v>
      </c>
      <c r="I36" s="163"/>
      <c r="J36" s="163"/>
      <c r="K36" s="163"/>
      <c r="L36" s="163"/>
      <c r="M36" s="164">
        <v>43637</v>
      </c>
      <c r="N36" s="164">
        <v>43642</v>
      </c>
      <c r="O36" s="165"/>
      <c r="P36" s="166">
        <v>4</v>
      </c>
      <c r="Q36" s="166">
        <v>4</v>
      </c>
      <c r="R36" s="167">
        <v>4</v>
      </c>
      <c r="S36" s="167">
        <v>4</v>
      </c>
      <c r="T36" s="164"/>
      <c r="U36" s="164"/>
      <c r="V36" s="168"/>
      <c r="W36" s="169">
        <v>0</v>
      </c>
      <c r="X36" s="170">
        <v>1</v>
      </c>
      <c r="Y36" s="165" t="s">
        <v>1129</v>
      </c>
      <c r="Z36" s="171" t="s">
        <v>1151</v>
      </c>
      <c r="AA36" s="97">
        <v>1</v>
      </c>
      <c r="AB36" s="172">
        <v>1</v>
      </c>
      <c r="AC36" s="123"/>
      <c r="AD36" s="4"/>
      <c r="AE36" s="4" t="str">
        <f>"    " &amp; TEXT(AB36,"#0.00%") &amp; " " &amp; "다이어그램 정의 (다이어그램) -&gt; DB설계" &amp; "(최기현)" &amp; " " &amp; IF(M36="","",TEXT(M36,"M/D-")) &amp; IF(N36="","",TEXT(N36,"M/D")) &amp; " "</f>
        <v xml:space="preserve">    100.00% 다이어그램 정의 (다이어그램) -&gt; DB설계(최기현) 6/21-6/26 </v>
      </c>
      <c r="AF36" s="4"/>
      <c r="AG36" s="4"/>
      <c r="AH36" s="4"/>
      <c r="AI36" s="4"/>
      <c r="AJ36" s="4"/>
      <c r="AK36" s="4"/>
      <c r="AL36" s="4"/>
      <c r="AM36" s="4"/>
      <c r="AN36" s="4"/>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row>
    <row r="37" spans="1:84" outlineLevel="3">
      <c r="A37" s="116"/>
      <c r="B37" s="116"/>
      <c r="C37" s="116">
        <v>4</v>
      </c>
      <c r="D37" s="199" t="s">
        <v>1067</v>
      </c>
      <c r="E37" s="198"/>
      <c r="F37" s="163"/>
      <c r="G37" s="220"/>
      <c r="H37" s="202" t="s">
        <v>1058</v>
      </c>
      <c r="I37" s="163"/>
      <c r="J37" s="163"/>
      <c r="K37" s="163"/>
      <c r="L37" s="163"/>
      <c r="M37" s="164">
        <v>43637</v>
      </c>
      <c r="N37" s="164">
        <v>43642</v>
      </c>
      <c r="O37" s="165"/>
      <c r="P37" s="166">
        <v>4</v>
      </c>
      <c r="Q37" s="166">
        <v>4</v>
      </c>
      <c r="R37" s="167">
        <v>4</v>
      </c>
      <c r="S37" s="167">
        <v>4</v>
      </c>
      <c r="T37" s="164"/>
      <c r="U37" s="164"/>
      <c r="V37" s="168"/>
      <c r="W37" s="169">
        <v>0</v>
      </c>
      <c r="X37" s="170">
        <v>1</v>
      </c>
      <c r="Y37" s="165" t="s">
        <v>1131</v>
      </c>
      <c r="Z37" s="171"/>
      <c r="AA37" s="97">
        <v>1</v>
      </c>
      <c r="AB37" s="172">
        <v>1</v>
      </c>
      <c r="AC37" s="123"/>
      <c r="AD37" s="4"/>
      <c r="AE37" s="4" t="str">
        <f>"    " &amp; TEXT(AB37,"#0.00%") &amp; " " &amp; "아키텍처 설계" &amp; "(지준혁)" &amp; " " &amp; IF(M37="","",TEXT(M37,"M/D-")) &amp; IF(N37="","",TEXT(N37,"M/D")) &amp; " "</f>
        <v xml:space="preserve">    100.00% 아키텍처 설계(지준혁) 6/21-6/26 </v>
      </c>
      <c r="AF37" s="4"/>
      <c r="AG37" s="4"/>
      <c r="AH37" s="4"/>
      <c r="AI37" s="4"/>
      <c r="AJ37" s="4"/>
      <c r="AK37" s="4"/>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row>
    <row r="38" spans="1:84" outlineLevel="3">
      <c r="A38" s="116"/>
      <c r="B38" s="116"/>
      <c r="C38" s="116">
        <v>4</v>
      </c>
      <c r="D38" s="199" t="s">
        <v>1068</v>
      </c>
      <c r="E38" s="198"/>
      <c r="F38" s="163"/>
      <c r="G38" s="220"/>
      <c r="H38" s="202" t="s">
        <v>1059</v>
      </c>
      <c r="I38" s="163"/>
      <c r="J38" s="163"/>
      <c r="K38" s="163"/>
      <c r="L38" s="163"/>
      <c r="M38" s="164">
        <v>43637</v>
      </c>
      <c r="N38" s="164">
        <v>43642</v>
      </c>
      <c r="O38" s="165"/>
      <c r="P38" s="166">
        <v>4</v>
      </c>
      <c r="Q38" s="166">
        <v>4</v>
      </c>
      <c r="R38" s="167">
        <v>4</v>
      </c>
      <c r="S38" s="167">
        <v>4</v>
      </c>
      <c r="T38" s="164"/>
      <c r="U38" s="164"/>
      <c r="V38" s="168"/>
      <c r="W38" s="169">
        <v>0</v>
      </c>
      <c r="X38" s="170">
        <v>1</v>
      </c>
      <c r="Y38" s="165" t="s">
        <v>1133</v>
      </c>
      <c r="Z38" s="171" t="s">
        <v>1152</v>
      </c>
      <c r="AA38" s="97">
        <v>1</v>
      </c>
      <c r="AB38" s="172">
        <v>1</v>
      </c>
      <c r="AC38" s="123"/>
      <c r="AD38" s="4"/>
      <c r="AE38" s="4" t="str">
        <f>"    " &amp; TEXT(AB38,"#0.00%") &amp; " " &amp; "클래스 설계" &amp; "(이승헌)" &amp; " " &amp; IF(M38="","",TEXT(M38,"M/D-")) &amp; IF(N38="","",TEXT(N38,"M/D")) &amp; " "</f>
        <v xml:space="preserve">    100.00% 클래스 설계(이승헌) 6/21-6/26 </v>
      </c>
      <c r="AF38" s="4"/>
      <c r="AG38" s="4"/>
      <c r="AH38" s="4"/>
      <c r="AI38" s="4"/>
      <c r="AJ38" s="4"/>
      <c r="AK38" s="4"/>
      <c r="AL38" s="4"/>
      <c r="AM38" s="4"/>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row>
    <row r="39" spans="1:84">
      <c r="A39" s="116"/>
      <c r="B39" s="116" t="s">
        <v>976</v>
      </c>
      <c r="C39" s="116">
        <v>1</v>
      </c>
      <c r="D39" s="218" t="s">
        <v>1025</v>
      </c>
      <c r="E39" s="163" t="s">
        <v>962</v>
      </c>
      <c r="F39" s="163"/>
      <c r="G39" s="163"/>
      <c r="H39" s="198"/>
      <c r="I39" s="198"/>
      <c r="J39" s="198"/>
      <c r="K39" s="198"/>
      <c r="L39" s="163"/>
      <c r="M39" s="164">
        <v>43647</v>
      </c>
      <c r="N39" s="164">
        <v>43665</v>
      </c>
      <c r="O39" s="165"/>
      <c r="P39" s="166">
        <v>27</v>
      </c>
      <c r="Q39" s="166">
        <v>27</v>
      </c>
      <c r="R39" s="167">
        <v>15</v>
      </c>
      <c r="S39" s="167">
        <v>15</v>
      </c>
      <c r="T39" s="164"/>
      <c r="U39" s="164"/>
      <c r="V39" s="168">
        <v>0</v>
      </c>
      <c r="W39" s="169">
        <v>0</v>
      </c>
      <c r="X39" s="170"/>
      <c r="Y39" s="165"/>
      <c r="Z39" s="171"/>
      <c r="AA39" s="97">
        <v>1</v>
      </c>
      <c r="AB39" s="172">
        <v>0.40740740740740738</v>
      </c>
      <c r="AC39" s="123"/>
      <c r="AD39" s="4"/>
      <c r="AE39" s="4"/>
      <c r="AF39" s="4"/>
      <c r="AG39" s="4" t="str">
        <f>"  " &amp; TEXT(AB39,"#0.00%") &amp; " " &amp; "구현" &amp; " " &amp; IF(M39="","",TEXT(M39,"M/D-")) &amp; IF(N39="","",TEXT(N39,"M/D")) &amp; " "</f>
        <v xml:space="preserve">  40.74% 구현 7/1-7/19 </v>
      </c>
      <c r="AH39" s="4"/>
      <c r="AI39" s="4"/>
      <c r="AJ39" s="4"/>
      <c r="AK39" s="4"/>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row>
    <row r="40" spans="1:84" outlineLevel="1">
      <c r="A40" s="116"/>
      <c r="B40" s="116" t="s">
        <v>976</v>
      </c>
      <c r="C40" s="116">
        <v>2</v>
      </c>
      <c r="D40" s="218" t="s">
        <v>1074</v>
      </c>
      <c r="E40" s="163"/>
      <c r="F40" s="163" t="s">
        <v>1162</v>
      </c>
      <c r="G40" s="163"/>
      <c r="H40" s="198"/>
      <c r="I40" s="198"/>
      <c r="J40" s="198"/>
      <c r="K40" s="198"/>
      <c r="L40" s="163"/>
      <c r="M40" s="164">
        <v>43647</v>
      </c>
      <c r="N40" s="164">
        <v>43651</v>
      </c>
      <c r="O40" s="165"/>
      <c r="P40" s="166">
        <v>8</v>
      </c>
      <c r="Q40" s="166">
        <v>8</v>
      </c>
      <c r="R40" s="167">
        <v>5</v>
      </c>
      <c r="S40" s="167">
        <v>5</v>
      </c>
      <c r="T40" s="164"/>
      <c r="U40" s="164"/>
      <c r="V40" s="168">
        <v>0</v>
      </c>
      <c r="W40" s="169">
        <v>0</v>
      </c>
      <c r="X40" s="170"/>
      <c r="Y40" s="165"/>
      <c r="Z40" s="171"/>
      <c r="AA40" s="97">
        <v>1</v>
      </c>
      <c r="AB40" s="172">
        <v>1</v>
      </c>
      <c r="AC40" s="123"/>
      <c r="AD40" s="4"/>
      <c r="AE40" s="4"/>
      <c r="AF40" s="4" t="str">
        <f>"      " &amp; TEXT(AB40,"#0.00%") &amp; " " &amp; "개발 환경 설정" &amp; " " &amp; IF(M40="","",TEXT(M40,"M/D-")) &amp; IF(N40="","",TEXT(N40,"M/D")) &amp; " "</f>
        <v xml:space="preserve">      100.00% 개발 환경 설정 7/1-7/5 </v>
      </c>
      <c r="AG40" s="4"/>
      <c r="AH40" s="4"/>
      <c r="AI40" s="4"/>
      <c r="AJ40" s="4"/>
      <c r="AK40" s="4"/>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row>
    <row r="41" spans="1:84" outlineLevel="2">
      <c r="A41" s="116"/>
      <c r="B41" s="116"/>
      <c r="C41" s="116">
        <v>3</v>
      </c>
      <c r="D41" s="218" t="s">
        <v>1075</v>
      </c>
      <c r="E41" s="163"/>
      <c r="F41" s="163"/>
      <c r="G41" s="163" t="s">
        <v>1182</v>
      </c>
      <c r="H41" s="198"/>
      <c r="I41" s="198"/>
      <c r="J41" s="198"/>
      <c r="K41" s="198"/>
      <c r="L41" s="163"/>
      <c r="M41" s="164">
        <v>43647</v>
      </c>
      <c r="N41" s="164">
        <v>43648</v>
      </c>
      <c r="O41" s="165"/>
      <c r="P41" s="166">
        <v>2</v>
      </c>
      <c r="Q41" s="166">
        <v>2</v>
      </c>
      <c r="R41" s="167">
        <v>2</v>
      </c>
      <c r="S41" s="167">
        <v>2</v>
      </c>
      <c r="T41" s="164"/>
      <c r="U41" s="164"/>
      <c r="V41" s="168"/>
      <c r="W41" s="169">
        <v>0</v>
      </c>
      <c r="X41" s="170">
        <v>1</v>
      </c>
      <c r="Y41" s="223" t="s">
        <v>1181</v>
      </c>
      <c r="Z41" s="171"/>
      <c r="AA41" s="97">
        <v>1</v>
      </c>
      <c r="AB41" s="172">
        <v>1</v>
      </c>
      <c r="AC41" s="123"/>
      <c r="AD41" s="4"/>
      <c r="AE41" s="4"/>
      <c r="AF41" s="4" t="str">
        <f>"   " &amp; TEXT(AB41,"#0.00%") &amp; " " &amp; "VCS 교육 준비" &amp; "(백종화)" &amp; " " &amp; IF(M41="","",TEXT(M41,"M/D-")) &amp; IF(N41="","",TEXT(N41,"M/D")) &amp; " "</f>
        <v xml:space="preserve">   100.00% VCS 교육 준비(백종화) 7/1-7/2 </v>
      </c>
      <c r="AG41" s="4"/>
      <c r="AH41" s="4"/>
      <c r="AI41" s="4"/>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row>
    <row r="42" spans="1:84" outlineLevel="2">
      <c r="A42" s="116"/>
      <c r="B42" s="116"/>
      <c r="C42" s="116">
        <v>3</v>
      </c>
      <c r="D42" s="218" t="s">
        <v>1076</v>
      </c>
      <c r="E42" s="163"/>
      <c r="F42" s="198"/>
      <c r="G42" s="198" t="s">
        <v>1183</v>
      </c>
      <c r="H42" s="198"/>
      <c r="I42" s="198"/>
      <c r="J42" s="198"/>
      <c r="K42" s="198"/>
      <c r="L42" s="163"/>
      <c r="M42" s="164">
        <v>43649</v>
      </c>
      <c r="N42" s="164">
        <v>43649</v>
      </c>
      <c r="O42" s="165"/>
      <c r="P42" s="166">
        <v>1</v>
      </c>
      <c r="Q42" s="166">
        <v>1</v>
      </c>
      <c r="R42" s="167">
        <v>1</v>
      </c>
      <c r="S42" s="167">
        <v>1</v>
      </c>
      <c r="T42" s="164"/>
      <c r="U42" s="164"/>
      <c r="V42" s="168"/>
      <c r="W42" s="169">
        <v>0</v>
      </c>
      <c r="X42" s="170">
        <v>1</v>
      </c>
      <c r="Y42" s="223" t="s">
        <v>1181</v>
      </c>
      <c r="Z42" s="171"/>
      <c r="AA42" s="97">
        <v>1</v>
      </c>
      <c r="AB42" s="172">
        <v>1</v>
      </c>
      <c r="AC42" s="123"/>
      <c r="AD42" s="4"/>
      <c r="AE42" s="4"/>
      <c r="AF42" s="4" t="str">
        <f>"    " &amp; TEXT(AB42,"#0.00%") &amp; " " &amp; "VCS 교육, 설치 및 테스트" &amp; "(백종화)" &amp; " " &amp; IF(M42="","",TEXT(M42,"M/D-")) &amp; IF(N42="","",TEXT(N42,"M/D")) &amp; " "</f>
        <v xml:space="preserve">    100.00% VCS 교육, 설치 및 테스트(백종화) 7/3-7/3 </v>
      </c>
      <c r="AG42" s="4"/>
      <c r="AH42" s="4"/>
      <c r="AI42" s="4"/>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row>
    <row r="43" spans="1:84" outlineLevel="2">
      <c r="A43" s="116"/>
      <c r="B43" s="116"/>
      <c r="C43" s="116">
        <v>3</v>
      </c>
      <c r="D43" s="218" t="s">
        <v>1077</v>
      </c>
      <c r="E43" s="163"/>
      <c r="F43" s="198"/>
      <c r="G43" s="163" t="s">
        <v>1184</v>
      </c>
      <c r="H43" s="198"/>
      <c r="I43" s="198"/>
      <c r="J43" s="198"/>
      <c r="K43" s="198"/>
      <c r="L43" s="163"/>
      <c r="M43" s="164"/>
      <c r="N43" s="164"/>
      <c r="O43" s="165"/>
      <c r="P43" s="166">
        <v>0</v>
      </c>
      <c r="Q43" s="166">
        <v>0</v>
      </c>
      <c r="R43" s="167">
        <v>0</v>
      </c>
      <c r="S43" s="167">
        <v>0</v>
      </c>
      <c r="T43" s="164"/>
      <c r="U43" s="164"/>
      <c r="V43" s="168">
        <v>0</v>
      </c>
      <c r="W43" s="169">
        <v>0</v>
      </c>
      <c r="X43" s="170"/>
      <c r="Y43" s="223" t="s">
        <v>1133</v>
      </c>
      <c r="Z43" s="171"/>
      <c r="AA43" s="97">
        <v>0</v>
      </c>
      <c r="AB43" s="172">
        <v>0</v>
      </c>
      <c r="AC43" s="123"/>
      <c r="AD43" s="4"/>
      <c r="AE43" s="4"/>
      <c r="AF43" s="4"/>
      <c r="AG43" s="4"/>
      <c r="AH43" s="4"/>
      <c r="AI43" s="4"/>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row>
    <row r="44" spans="1:84" outlineLevel="2">
      <c r="A44" s="116"/>
      <c r="B44" s="116"/>
      <c r="C44" s="116">
        <v>3</v>
      </c>
      <c r="D44" s="218" t="s">
        <v>1272</v>
      </c>
      <c r="E44" s="163"/>
      <c r="F44" s="198"/>
      <c r="G44" s="163" t="s">
        <v>1274</v>
      </c>
      <c r="H44" s="198"/>
      <c r="I44" s="198"/>
      <c r="J44" s="198"/>
      <c r="K44" s="198"/>
      <c r="L44" s="163"/>
      <c r="M44" s="164">
        <v>43647</v>
      </c>
      <c r="N44" s="164">
        <v>43651</v>
      </c>
      <c r="O44" s="165"/>
      <c r="P44" s="166">
        <v>5</v>
      </c>
      <c r="Q44" s="166">
        <v>5</v>
      </c>
      <c r="R44" s="167">
        <v>5</v>
      </c>
      <c r="S44" s="167">
        <v>5</v>
      </c>
      <c r="T44" s="164"/>
      <c r="U44" s="164"/>
      <c r="V44" s="168"/>
      <c r="W44" s="169">
        <v>0</v>
      </c>
      <c r="X44" s="170">
        <v>1</v>
      </c>
      <c r="Y44" s="223" t="s">
        <v>1129</v>
      </c>
      <c r="Z44" s="171"/>
      <c r="AA44" s="97">
        <v>1</v>
      </c>
      <c r="AB44" s="172">
        <v>1</v>
      </c>
      <c r="AC44" s="123"/>
      <c r="AD44" s="4"/>
      <c r="AE44" s="4"/>
      <c r="AF44" s="4" t="str">
        <f>"      " &amp; TEXT(AB44,"#0.00%") &amp; " " &amp; "데이터베이스 구현" &amp; "(최기현)" &amp; " " &amp; IF(M44="","",TEXT(M44,"M/D-")) &amp; IF(N44="","",TEXT(N44,"M/D")) &amp; " "</f>
        <v xml:space="preserve">      100.00% 데이터베이스 구현(최기현) 7/1-7/5 </v>
      </c>
      <c r="AG44" s="4"/>
      <c r="AH44" s="4"/>
      <c r="AI44" s="4"/>
      <c r="AJ44" s="4"/>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row>
    <row r="45" spans="1:84" outlineLevel="2">
      <c r="A45" s="116"/>
      <c r="B45" s="116"/>
      <c r="C45" s="116">
        <v>3</v>
      </c>
      <c r="D45" s="218" t="s">
        <v>1275</v>
      </c>
      <c r="E45" s="163"/>
      <c r="F45" s="198"/>
      <c r="G45" s="163" t="s">
        <v>1273</v>
      </c>
      <c r="H45" s="198"/>
      <c r="I45" s="198"/>
      <c r="J45" s="198"/>
      <c r="K45" s="198"/>
      <c r="L45" s="163"/>
      <c r="M45" s="164"/>
      <c r="N45" s="164"/>
      <c r="O45" s="165"/>
      <c r="P45" s="166">
        <v>0</v>
      </c>
      <c r="Q45" s="166">
        <v>0</v>
      </c>
      <c r="R45" s="167">
        <v>0</v>
      </c>
      <c r="S45" s="167">
        <v>0</v>
      </c>
      <c r="T45" s="164"/>
      <c r="U45" s="164"/>
      <c r="V45" s="168">
        <v>0</v>
      </c>
      <c r="W45" s="169">
        <v>0</v>
      </c>
      <c r="X45" s="170"/>
      <c r="Y45" s="223" t="s">
        <v>1133</v>
      </c>
      <c r="Z45" s="171"/>
      <c r="AA45" s="97">
        <v>0</v>
      </c>
      <c r="AB45" s="172">
        <v>0</v>
      </c>
      <c r="AC45" s="123"/>
      <c r="AD45" s="4"/>
      <c r="AE45" s="4"/>
      <c r="AF45" s="4"/>
      <c r="AG45" s="4"/>
      <c r="AH45" s="4"/>
      <c r="AI45" s="4"/>
      <c r="AJ45" s="4"/>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row>
    <row r="46" spans="1:84" outlineLevel="1">
      <c r="A46" s="116"/>
      <c r="B46" s="116" t="s">
        <v>976</v>
      </c>
      <c r="C46" s="116">
        <v>2</v>
      </c>
      <c r="D46" s="218" t="s">
        <v>1090</v>
      </c>
      <c r="E46" s="163"/>
      <c r="F46" s="163" t="s">
        <v>1069</v>
      </c>
      <c r="G46" s="163"/>
      <c r="H46" s="163"/>
      <c r="I46" s="163"/>
      <c r="J46" s="163"/>
      <c r="K46" s="163"/>
      <c r="L46" s="163"/>
      <c r="M46" s="164">
        <v>43647</v>
      </c>
      <c r="N46" s="164">
        <v>43665</v>
      </c>
      <c r="O46" s="165"/>
      <c r="P46" s="166">
        <v>16</v>
      </c>
      <c r="Q46" s="166">
        <v>16</v>
      </c>
      <c r="R46" s="167">
        <v>15</v>
      </c>
      <c r="S46" s="167">
        <v>15</v>
      </c>
      <c r="T46" s="164"/>
      <c r="U46" s="164"/>
      <c r="V46" s="168">
        <v>0</v>
      </c>
      <c r="W46" s="169">
        <v>0</v>
      </c>
      <c r="X46" s="170"/>
      <c r="Y46" s="165"/>
      <c r="Z46" s="171"/>
      <c r="AA46" s="97">
        <v>1</v>
      </c>
      <c r="AB46" s="172">
        <v>0.125</v>
      </c>
      <c r="AC46" s="123"/>
      <c r="AD46" s="4"/>
      <c r="AE46" s="4"/>
      <c r="AF46" s="4" t="str">
        <f>"   " &amp; TEXT(AB46,"#0.00%") &amp; " " &amp; "퍼블리싱(모듈별)" &amp; " " &amp; IF(M46="","",TEXT(M46,"M/D-")) &amp; IF(N46="","",TEXT(N46,"M/D")) &amp; " "</f>
        <v xml:space="preserve">   12.50% 퍼블리싱(모듈별) 7/1-7/19 </v>
      </c>
      <c r="AG46" s="4"/>
      <c r="AH46" s="4"/>
      <c r="AI46" s="4"/>
      <c r="AJ46" s="4"/>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row>
    <row r="47" spans="1:84" outlineLevel="2">
      <c r="A47" s="116"/>
      <c r="B47" s="116"/>
      <c r="C47" s="116">
        <v>3</v>
      </c>
      <c r="D47" s="218" t="s">
        <v>1091</v>
      </c>
      <c r="E47" s="163"/>
      <c r="F47" s="163"/>
      <c r="G47" s="163" t="s">
        <v>1291</v>
      </c>
      <c r="H47" s="163"/>
      <c r="I47" s="163"/>
      <c r="J47" s="163"/>
      <c r="K47" s="163"/>
      <c r="L47" s="163"/>
      <c r="M47" s="164">
        <v>43664</v>
      </c>
      <c r="N47" s="164">
        <v>43665</v>
      </c>
      <c r="O47" s="165"/>
      <c r="P47" s="166">
        <v>2</v>
      </c>
      <c r="Q47" s="166">
        <v>2</v>
      </c>
      <c r="R47" s="167">
        <v>2</v>
      </c>
      <c r="S47" s="167">
        <v>2</v>
      </c>
      <c r="T47" s="164"/>
      <c r="U47" s="164"/>
      <c r="V47" s="168"/>
      <c r="W47" s="169">
        <v>0</v>
      </c>
      <c r="X47" s="170">
        <v>1</v>
      </c>
      <c r="Y47" s="223" t="s">
        <v>1133</v>
      </c>
      <c r="Z47" s="171"/>
      <c r="AA47" s="97">
        <v>1</v>
      </c>
      <c r="AB47" s="172">
        <v>0</v>
      </c>
      <c r="AC47" s="123"/>
      <c r="AD47" s="4"/>
      <c r="AE47" s="4"/>
      <c r="AF47" s="4"/>
      <c r="AG47" s="4"/>
      <c r="AH47" s="4" t="str">
        <f>"    " &amp; TEXT(AB47,"#0.00%") &amp; " " &amp; "관리자 웹 화면(유저정보)" &amp; "(이승헌)" &amp; " " &amp; IF(M47="","",TEXT(M47,"M/D-")) &amp; IF(N47="","",TEXT(N47,"M/D")) &amp; " "</f>
        <v xml:space="preserve">    0.00% 관리자 웹 화면(유저정보)(이승헌) 7/18-7/19 </v>
      </c>
      <c r="AI47" s="4"/>
      <c r="AJ47" s="4"/>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row>
    <row r="48" spans="1:84" outlineLevel="2">
      <c r="A48" s="116"/>
      <c r="B48" s="116"/>
      <c r="C48" s="116">
        <v>3</v>
      </c>
      <c r="D48" s="218" t="s">
        <v>1092</v>
      </c>
      <c r="E48" s="163"/>
      <c r="F48" s="163"/>
      <c r="G48" s="226" t="s">
        <v>1079</v>
      </c>
      <c r="H48" s="163"/>
      <c r="I48" s="163"/>
      <c r="J48" s="163"/>
      <c r="K48" s="163"/>
      <c r="L48" s="163"/>
      <c r="M48" s="164">
        <v>43647</v>
      </c>
      <c r="N48" s="164">
        <v>43648</v>
      </c>
      <c r="O48" s="165"/>
      <c r="P48" s="166">
        <v>2</v>
      </c>
      <c r="Q48" s="166">
        <v>2</v>
      </c>
      <c r="R48" s="167">
        <v>2</v>
      </c>
      <c r="S48" s="167">
        <v>2</v>
      </c>
      <c r="T48" s="164"/>
      <c r="U48" s="164"/>
      <c r="V48" s="168"/>
      <c r="W48" s="169">
        <v>0</v>
      </c>
      <c r="X48" s="170">
        <v>1</v>
      </c>
      <c r="Y48" s="223" t="s">
        <v>1129</v>
      </c>
      <c r="Z48" s="171"/>
      <c r="AA48" s="97">
        <v>1</v>
      </c>
      <c r="AB48" s="172">
        <v>1</v>
      </c>
      <c r="AC48" s="123"/>
      <c r="AD48" s="4"/>
      <c r="AE48" s="4"/>
      <c r="AF48" s="4" t="str">
        <f>"   " &amp; TEXT(AB48,"#0.00%") &amp; " " &amp; "메인" &amp; "(최기현)" &amp; " " &amp; IF(M48="","",TEXT(M48,"M/D-")) &amp; IF(N48="","",TEXT(N48,"M/D")) &amp; " "</f>
        <v xml:space="preserve">   100.00% 메인(최기현) 7/1-7/2 </v>
      </c>
      <c r="AG48" s="4"/>
      <c r="AH48" s="4"/>
      <c r="AI48" s="4"/>
      <c r="AJ48" s="4"/>
      <c r="AK48" s="4"/>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row>
    <row r="49" spans="1:84" outlineLevel="2">
      <c r="A49" s="116"/>
      <c r="B49" s="116"/>
      <c r="C49" s="116">
        <v>3</v>
      </c>
      <c r="D49" s="218" t="s">
        <v>1093</v>
      </c>
      <c r="E49" s="163"/>
      <c r="F49" s="163"/>
      <c r="G49" s="226" t="s">
        <v>1193</v>
      </c>
      <c r="H49" s="163"/>
      <c r="I49" s="163"/>
      <c r="J49" s="163"/>
      <c r="K49" s="163"/>
      <c r="L49" s="163"/>
      <c r="M49" s="164">
        <v>43647</v>
      </c>
      <c r="N49" s="164">
        <v>43648</v>
      </c>
      <c r="O49" s="165"/>
      <c r="P49" s="166">
        <v>2</v>
      </c>
      <c r="Q49" s="166">
        <v>2</v>
      </c>
      <c r="R49" s="167">
        <v>2</v>
      </c>
      <c r="S49" s="167">
        <v>2</v>
      </c>
      <c r="T49" s="164"/>
      <c r="U49" s="164"/>
      <c r="V49" s="168"/>
      <c r="W49" s="169">
        <v>0</v>
      </c>
      <c r="X49" s="170">
        <v>1</v>
      </c>
      <c r="Y49" s="223" t="s">
        <v>1210</v>
      </c>
      <c r="Z49" s="171"/>
      <c r="AA49" s="97">
        <v>1</v>
      </c>
      <c r="AB49" s="172">
        <v>0</v>
      </c>
      <c r="AC49" s="123"/>
      <c r="AD49" s="4"/>
      <c r="AE49" s="4"/>
      <c r="AF49" s="4" t="str">
        <f>" " &amp; TEXT(AB49,"#0.00%") &amp; " " &amp; "로그인" &amp; "(김승현)" &amp; " " &amp; IF(M49="","",TEXT(M49,"M/D-")) &amp; IF(N49="","",TEXT(N49,"M/D")) &amp; " "</f>
        <v xml:space="preserve"> 0.00% 로그인(김승현) 7/1-7/2 </v>
      </c>
      <c r="AG49" s="4"/>
      <c r="AH49" s="4"/>
      <c r="AI49" s="4"/>
      <c r="AJ49" s="4"/>
      <c r="AK49" s="4"/>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row>
    <row r="50" spans="1:84" outlineLevel="2">
      <c r="A50" s="116"/>
      <c r="B50" s="116"/>
      <c r="C50" s="116">
        <v>3</v>
      </c>
      <c r="D50" s="218" t="s">
        <v>1094</v>
      </c>
      <c r="E50" s="163"/>
      <c r="F50" s="163"/>
      <c r="G50" s="220" t="s">
        <v>1070</v>
      </c>
      <c r="H50" s="163"/>
      <c r="I50" s="163"/>
      <c r="J50" s="163"/>
      <c r="K50" s="163"/>
      <c r="L50" s="163"/>
      <c r="M50" s="164">
        <v>43647</v>
      </c>
      <c r="N50" s="164">
        <v>43648</v>
      </c>
      <c r="O50" s="165"/>
      <c r="P50" s="166">
        <v>2</v>
      </c>
      <c r="Q50" s="166">
        <v>2</v>
      </c>
      <c r="R50" s="167">
        <v>2</v>
      </c>
      <c r="S50" s="167">
        <v>2</v>
      </c>
      <c r="T50" s="164"/>
      <c r="U50" s="164"/>
      <c r="V50" s="168"/>
      <c r="W50" s="169">
        <v>0</v>
      </c>
      <c r="X50" s="170">
        <v>1</v>
      </c>
      <c r="Y50" s="223" t="s">
        <v>1219</v>
      </c>
      <c r="Z50" s="171"/>
      <c r="AA50" s="97">
        <v>1</v>
      </c>
      <c r="AB50" s="172">
        <v>0</v>
      </c>
      <c r="AC50" s="123"/>
      <c r="AD50" s="4"/>
      <c r="AE50" s="4"/>
      <c r="AF50" s="4" t="str">
        <f>" " &amp; TEXT(AB50,"#0.00%") &amp; " " &amp; "운동" &amp; "(이남희)" &amp; " " &amp; IF(M50="","",TEXT(M50,"M/D-")) &amp; IF(N50="","",TEXT(N50,"M/D")) &amp; " "</f>
        <v xml:space="preserve"> 0.00% 운동(이남희) 7/1-7/2 </v>
      </c>
      <c r="AG50" s="4"/>
      <c r="AH50" s="4"/>
      <c r="AI50" s="4"/>
      <c r="AJ50" s="4"/>
      <c r="AK50" s="4"/>
      <c r="AL50" s="4"/>
      <c r="AM50" s="4"/>
      <c r="AN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row>
    <row r="51" spans="1:84" outlineLevel="2">
      <c r="A51" s="116"/>
      <c r="B51" s="116"/>
      <c r="C51" s="116">
        <v>3</v>
      </c>
      <c r="D51" s="218" t="s">
        <v>1095</v>
      </c>
      <c r="E51" s="163"/>
      <c r="F51" s="163"/>
      <c r="G51" s="220" t="s">
        <v>1071</v>
      </c>
      <c r="H51" s="163"/>
      <c r="I51" s="163"/>
      <c r="J51" s="163"/>
      <c r="K51" s="163"/>
      <c r="L51" s="163"/>
      <c r="M51" s="164">
        <v>43647</v>
      </c>
      <c r="N51" s="164">
        <v>43648</v>
      </c>
      <c r="O51" s="165"/>
      <c r="P51" s="166">
        <v>2</v>
      </c>
      <c r="Q51" s="166">
        <v>2</v>
      </c>
      <c r="R51" s="167">
        <v>2</v>
      </c>
      <c r="S51" s="167">
        <v>2</v>
      </c>
      <c r="T51" s="164"/>
      <c r="U51" s="164"/>
      <c r="V51" s="168"/>
      <c r="W51" s="169">
        <v>0</v>
      </c>
      <c r="X51" s="170">
        <v>1</v>
      </c>
      <c r="Y51" s="223" t="s">
        <v>1133</v>
      </c>
      <c r="Z51" s="171"/>
      <c r="AA51" s="97">
        <v>1</v>
      </c>
      <c r="AB51" s="172">
        <v>0</v>
      </c>
      <c r="AC51" s="123"/>
      <c r="AD51" s="4"/>
      <c r="AE51" s="4"/>
      <c r="AF51" s="4" t="str">
        <f>" " &amp; TEXT(AB51,"#0.00%") &amp; " " &amp; "음주" &amp; "(이승헌)" &amp; " " &amp; IF(M51="","",TEXT(M51,"M/D-")) &amp; IF(N51="","",TEXT(N51,"M/D")) &amp; " "</f>
        <v xml:space="preserve"> 0.00% 음주(이승헌) 7/1-7/2 </v>
      </c>
      <c r="AG51" s="4"/>
      <c r="AH51" s="4"/>
      <c r="AI51" s="4"/>
      <c r="AJ51" s="4"/>
      <c r="AK51" s="4"/>
      <c r="AL51" s="4"/>
      <c r="AM51" s="4"/>
      <c r="AN51" s="4"/>
      <c r="AO51" s="4"/>
      <c r="AP51" s="4"/>
      <c r="AQ51" s="4"/>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row>
    <row r="52" spans="1:84" outlineLevel="2">
      <c r="A52" s="116"/>
      <c r="B52" s="116"/>
      <c r="C52" s="116">
        <v>3</v>
      </c>
      <c r="D52" s="218" t="s">
        <v>1096</v>
      </c>
      <c r="E52" s="163"/>
      <c r="F52" s="163"/>
      <c r="G52" s="220" t="s">
        <v>1072</v>
      </c>
      <c r="H52" s="163"/>
      <c r="I52" s="163"/>
      <c r="J52" s="163"/>
      <c r="K52" s="163"/>
      <c r="L52" s="163"/>
      <c r="M52" s="164">
        <v>43647</v>
      </c>
      <c r="N52" s="164">
        <v>43648</v>
      </c>
      <c r="O52" s="165"/>
      <c r="P52" s="166">
        <v>2</v>
      </c>
      <c r="Q52" s="166">
        <v>2</v>
      </c>
      <c r="R52" s="167">
        <v>2</v>
      </c>
      <c r="S52" s="167">
        <v>2</v>
      </c>
      <c r="T52" s="164"/>
      <c r="U52" s="164"/>
      <c r="V52" s="168"/>
      <c r="W52" s="169">
        <v>0</v>
      </c>
      <c r="X52" s="170">
        <v>1</v>
      </c>
      <c r="Y52" s="223" t="s">
        <v>1131</v>
      </c>
      <c r="Z52" s="171"/>
      <c r="AA52" s="97">
        <v>1</v>
      </c>
      <c r="AB52" s="172">
        <v>0</v>
      </c>
      <c r="AC52" s="123"/>
      <c r="AD52" s="4"/>
      <c r="AE52" s="4"/>
      <c r="AF52" s="4" t="str">
        <f>" " &amp; TEXT(AB52,"#0.00%") &amp; " " &amp; "수면" &amp; "(지준혁)" &amp; " " &amp; IF(M52="","",TEXT(M52,"M/D-")) &amp; IF(N52="","",TEXT(N52,"M/D")) &amp; " "</f>
        <v xml:space="preserve"> 0.00% 수면(지준혁) 7/1-7/2 </v>
      </c>
      <c r="AG52" s="4"/>
      <c r="AH52" s="4"/>
      <c r="AI52" s="4"/>
      <c r="AJ52" s="4"/>
      <c r="AK52" s="4"/>
      <c r="AL52" s="4"/>
      <c r="AM52" s="4"/>
      <c r="AN52" s="4"/>
      <c r="AO52" s="4"/>
      <c r="AP52" s="4"/>
      <c r="AQ52" s="4"/>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row>
    <row r="53" spans="1:84" outlineLevel="2">
      <c r="A53" s="116"/>
      <c r="B53" s="116"/>
      <c r="C53" s="116">
        <v>3</v>
      </c>
      <c r="D53" s="218" t="s">
        <v>1288</v>
      </c>
      <c r="E53" s="163"/>
      <c r="F53" s="163"/>
      <c r="G53" s="202" t="s">
        <v>1073</v>
      </c>
      <c r="H53" s="163"/>
      <c r="I53" s="163"/>
      <c r="J53" s="163"/>
      <c r="K53" s="163"/>
      <c r="L53" s="163"/>
      <c r="M53" s="164">
        <v>43647</v>
      </c>
      <c r="N53" s="164">
        <v>43648</v>
      </c>
      <c r="O53" s="165"/>
      <c r="P53" s="166">
        <v>2</v>
      </c>
      <c r="Q53" s="166">
        <v>2</v>
      </c>
      <c r="R53" s="167">
        <v>2</v>
      </c>
      <c r="S53" s="167">
        <v>2</v>
      </c>
      <c r="T53" s="164"/>
      <c r="U53" s="164"/>
      <c r="V53" s="168"/>
      <c r="W53" s="169">
        <v>0</v>
      </c>
      <c r="X53" s="170">
        <v>1</v>
      </c>
      <c r="Y53" s="223" t="s">
        <v>1129</v>
      </c>
      <c r="Z53" s="171"/>
      <c r="AA53" s="97">
        <v>1</v>
      </c>
      <c r="AB53" s="172">
        <v>0</v>
      </c>
      <c r="AC53" s="123"/>
      <c r="AD53" s="4"/>
      <c r="AE53" s="4"/>
      <c r="AF53" s="4" t="str">
        <f>" " &amp; TEXT(AB53,"#0.00%") &amp; " " &amp; "식단" &amp; "(최기현)" &amp; " " &amp; IF(M53="","",TEXT(M53,"M/D-")) &amp; IF(N53="","",TEXT(N53,"M/D")) &amp; " "</f>
        <v xml:space="preserve"> 0.00% 식단(최기현) 7/1-7/2 </v>
      </c>
      <c r="AG53" s="4"/>
      <c r="AH53" s="4"/>
      <c r="AI53" s="4"/>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row>
    <row r="54" spans="1:84" outlineLevel="2">
      <c r="A54" s="116"/>
      <c r="B54" s="116"/>
      <c r="C54" s="116">
        <v>3</v>
      </c>
      <c r="D54" s="218" t="s">
        <v>1292</v>
      </c>
      <c r="E54" s="163"/>
      <c r="F54" s="163"/>
      <c r="G54" s="261" t="s">
        <v>1293</v>
      </c>
      <c r="H54" s="163"/>
      <c r="I54" s="163"/>
      <c r="J54" s="163"/>
      <c r="K54" s="163"/>
      <c r="L54" s="163"/>
      <c r="M54" s="164">
        <v>43650</v>
      </c>
      <c r="N54" s="164">
        <v>43651</v>
      </c>
      <c r="O54" s="165"/>
      <c r="P54" s="166">
        <v>2</v>
      </c>
      <c r="Q54" s="166">
        <v>2</v>
      </c>
      <c r="R54" s="167">
        <v>2</v>
      </c>
      <c r="S54" s="167">
        <v>2</v>
      </c>
      <c r="T54" s="164"/>
      <c r="U54" s="164"/>
      <c r="V54" s="168"/>
      <c r="W54" s="169">
        <v>0</v>
      </c>
      <c r="X54" s="170">
        <v>1</v>
      </c>
      <c r="Y54" s="223" t="s">
        <v>1181</v>
      </c>
      <c r="Z54" s="171"/>
      <c r="AA54" s="97">
        <v>1</v>
      </c>
      <c r="AB54" s="172">
        <v>0</v>
      </c>
      <c r="AC54" s="123"/>
      <c r="AD54" s="4"/>
      <c r="AE54" s="4"/>
      <c r="AF54" s="4" t="str">
        <f>"    " &amp; TEXT(AB54,"#0.00%") &amp; " " &amp; "워드" &amp; "(백종화)" &amp; " " &amp; IF(M54="","",TEXT(M54,"M/D-")) &amp; IF(N54="","",TEXT(N54,"M/D")) &amp; " "</f>
        <v xml:space="preserve">    0.00% 워드(백종화) 7/4-7/5 </v>
      </c>
      <c r="AG54" s="4"/>
      <c r="AH54" s="4"/>
      <c r="AI54" s="4"/>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row>
    <row r="55" spans="1:84" outlineLevel="1">
      <c r="A55" s="116"/>
      <c r="B55" s="116" t="s">
        <v>976</v>
      </c>
      <c r="C55" s="116">
        <v>2</v>
      </c>
      <c r="D55" s="218" t="s">
        <v>1163</v>
      </c>
      <c r="E55" s="163"/>
      <c r="F55" s="163" t="s">
        <v>1257</v>
      </c>
      <c r="G55" s="163"/>
      <c r="H55" s="163"/>
      <c r="I55" s="163"/>
      <c r="J55" s="163"/>
      <c r="K55" s="163"/>
      <c r="L55" s="163"/>
      <c r="M55" s="164">
        <v>43654</v>
      </c>
      <c r="N55" s="164">
        <v>43656</v>
      </c>
      <c r="O55" s="165"/>
      <c r="P55" s="166">
        <v>3</v>
      </c>
      <c r="Q55" s="166">
        <v>3</v>
      </c>
      <c r="R55" s="167">
        <v>3</v>
      </c>
      <c r="S55" s="167">
        <v>3</v>
      </c>
      <c r="T55" s="164"/>
      <c r="U55" s="164"/>
      <c r="V55" s="168">
        <v>0</v>
      </c>
      <c r="W55" s="169">
        <v>0</v>
      </c>
      <c r="X55" s="170"/>
      <c r="Y55" s="165"/>
      <c r="Z55" s="171"/>
      <c r="AA55" s="97">
        <v>1</v>
      </c>
      <c r="AB55" s="172">
        <v>0.33333333333333331</v>
      </c>
      <c r="AC55" s="123"/>
      <c r="AD55" s="4"/>
      <c r="AE55" s="4"/>
      <c r="AF55" s="4"/>
      <c r="AG55" s="4" t="str">
        <f>"  " &amp; TEXT(AB55,"#0.00%") &amp; " " &amp; "개발 (모듈별 기능 구현)" &amp; " " &amp; IF(M55="","",TEXT(M55,"M/D-")) &amp; IF(N55="","",TEXT(N55,"M/D")) &amp; " "</f>
        <v xml:space="preserve">  33.33% 개발 (모듈별 기능 구현) 7/8-7/10 </v>
      </c>
      <c r="AH55" s="4"/>
      <c r="AI55" s="4"/>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row>
    <row r="56" spans="1:84" outlineLevel="2">
      <c r="A56" s="116"/>
      <c r="B56" s="116" t="s">
        <v>976</v>
      </c>
      <c r="C56" s="116">
        <v>3</v>
      </c>
      <c r="D56" s="218" t="s">
        <v>1164</v>
      </c>
      <c r="E56" s="163"/>
      <c r="F56" s="163"/>
      <c r="G56" s="226" t="s">
        <v>1282</v>
      </c>
      <c r="H56" s="163"/>
      <c r="I56" s="163"/>
      <c r="J56" s="163"/>
      <c r="K56" s="163"/>
      <c r="L56" s="163"/>
      <c r="M56" s="164"/>
      <c r="N56" s="164"/>
      <c r="O56" s="165"/>
      <c r="P56" s="166">
        <v>0</v>
      </c>
      <c r="Q56" s="166">
        <v>0</v>
      </c>
      <c r="R56" s="167">
        <v>0</v>
      </c>
      <c r="S56" s="167">
        <v>0</v>
      </c>
      <c r="T56" s="164"/>
      <c r="U56" s="164"/>
      <c r="V56" s="168">
        <v>0</v>
      </c>
      <c r="W56" s="169">
        <v>0</v>
      </c>
      <c r="X56" s="170"/>
      <c r="Y56" s="165"/>
      <c r="Z56" s="171"/>
      <c r="AA56" s="97">
        <v>0</v>
      </c>
      <c r="AB56" s="172">
        <v>0</v>
      </c>
      <c r="AC56" s="123"/>
      <c r="AD56" s="4"/>
      <c r="AE56" s="4"/>
      <c r="AF56" s="4"/>
      <c r="AG56" s="4"/>
      <c r="AH56" s="4"/>
      <c r="AI56" s="4"/>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row>
    <row r="57" spans="1:84" outlineLevel="3">
      <c r="A57" s="116"/>
      <c r="B57" s="116"/>
      <c r="C57" s="116">
        <v>4</v>
      </c>
      <c r="D57" s="218" t="s">
        <v>1165</v>
      </c>
      <c r="E57" s="163"/>
      <c r="F57" s="163"/>
      <c r="G57" s="226"/>
      <c r="H57" s="226" t="s">
        <v>1193</v>
      </c>
      <c r="I57" s="163"/>
      <c r="J57" s="163"/>
      <c r="K57" s="163"/>
      <c r="L57" s="163"/>
      <c r="M57" s="164"/>
      <c r="N57" s="164"/>
      <c r="O57" s="165"/>
      <c r="P57" s="166">
        <v>0</v>
      </c>
      <c r="Q57" s="166">
        <v>0</v>
      </c>
      <c r="R57" s="167">
        <v>0</v>
      </c>
      <c r="S57" s="167">
        <v>0</v>
      </c>
      <c r="T57" s="164"/>
      <c r="U57" s="164"/>
      <c r="V57" s="168">
        <v>0</v>
      </c>
      <c r="W57" s="169">
        <v>0</v>
      </c>
      <c r="X57" s="170"/>
      <c r="Y57" s="223" t="s">
        <v>1210</v>
      </c>
      <c r="Z57" s="171"/>
      <c r="AA57" s="97">
        <v>0</v>
      </c>
      <c r="AB57" s="172">
        <v>0</v>
      </c>
      <c r="AC57" s="123"/>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row>
    <row r="58" spans="1:84" outlineLevel="3">
      <c r="A58" s="116"/>
      <c r="B58" s="116"/>
      <c r="C58" s="116">
        <v>4</v>
      </c>
      <c r="D58" s="218" t="s">
        <v>1166</v>
      </c>
      <c r="E58" s="163"/>
      <c r="F58" s="163"/>
      <c r="G58" s="226"/>
      <c r="H58" s="226" t="s">
        <v>1237</v>
      </c>
      <c r="I58" s="163"/>
      <c r="J58" s="163"/>
      <c r="K58" s="163"/>
      <c r="L58" s="163"/>
      <c r="M58" s="164"/>
      <c r="N58" s="164"/>
      <c r="O58" s="165"/>
      <c r="P58" s="166">
        <v>0</v>
      </c>
      <c r="Q58" s="166">
        <v>0</v>
      </c>
      <c r="R58" s="167">
        <v>0</v>
      </c>
      <c r="S58" s="167">
        <v>0</v>
      </c>
      <c r="T58" s="164"/>
      <c r="U58" s="164"/>
      <c r="V58" s="168">
        <v>0</v>
      </c>
      <c r="W58" s="169">
        <v>0</v>
      </c>
      <c r="X58" s="170"/>
      <c r="Y58" s="223" t="s">
        <v>1210</v>
      </c>
      <c r="Z58" s="171"/>
      <c r="AA58" s="97">
        <v>0</v>
      </c>
      <c r="AB58" s="172">
        <v>0</v>
      </c>
      <c r="AC58" s="123"/>
      <c r="AD58" s="4"/>
      <c r="AE58" s="4"/>
      <c r="AF58" s="4"/>
      <c r="AG58" s="4"/>
      <c r="AH58" s="4"/>
      <c r="AI58" s="4"/>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row>
    <row r="59" spans="1:84" outlineLevel="3">
      <c r="A59" s="116"/>
      <c r="B59" s="116"/>
      <c r="C59" s="116">
        <v>4</v>
      </c>
      <c r="D59" s="218" t="s">
        <v>1227</v>
      </c>
      <c r="E59" s="163"/>
      <c r="F59" s="163"/>
      <c r="G59" s="226"/>
      <c r="H59" s="226" t="s">
        <v>1238</v>
      </c>
      <c r="I59" s="163"/>
      <c r="J59" s="163"/>
      <c r="K59" s="163"/>
      <c r="L59" s="163"/>
      <c r="M59" s="164"/>
      <c r="N59" s="164"/>
      <c r="O59" s="165"/>
      <c r="P59" s="166">
        <v>0</v>
      </c>
      <c r="Q59" s="166">
        <v>0</v>
      </c>
      <c r="R59" s="167">
        <v>0</v>
      </c>
      <c r="S59" s="167">
        <v>0</v>
      </c>
      <c r="T59" s="164"/>
      <c r="U59" s="164"/>
      <c r="V59" s="168">
        <v>0</v>
      </c>
      <c r="W59" s="169">
        <v>0</v>
      </c>
      <c r="X59" s="170"/>
      <c r="Y59" s="223" t="s">
        <v>1210</v>
      </c>
      <c r="Z59" s="171"/>
      <c r="AA59" s="97">
        <v>0</v>
      </c>
      <c r="AB59" s="172">
        <v>0</v>
      </c>
      <c r="AC59" s="123"/>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row>
    <row r="60" spans="1:84" outlineLevel="2">
      <c r="A60" s="116"/>
      <c r="B60" s="116" t="s">
        <v>976</v>
      </c>
      <c r="C60" s="116">
        <v>3</v>
      </c>
      <c r="D60" s="218" t="s">
        <v>1167</v>
      </c>
      <c r="E60" s="163"/>
      <c r="F60" s="163"/>
      <c r="G60" s="220" t="s">
        <v>1283</v>
      </c>
      <c r="H60" s="163"/>
      <c r="I60" s="163"/>
      <c r="J60" s="163"/>
      <c r="K60" s="163"/>
      <c r="L60" s="163"/>
      <c r="M60" s="164">
        <v>43654</v>
      </c>
      <c r="N60" s="164">
        <v>43656</v>
      </c>
      <c r="O60" s="165"/>
      <c r="P60" s="166">
        <v>3</v>
      </c>
      <c r="Q60" s="166">
        <v>3</v>
      </c>
      <c r="R60" s="167">
        <v>3</v>
      </c>
      <c r="S60" s="167">
        <v>3</v>
      </c>
      <c r="T60" s="164"/>
      <c r="U60" s="164"/>
      <c r="V60" s="168">
        <v>0</v>
      </c>
      <c r="W60" s="169">
        <v>0</v>
      </c>
      <c r="X60" s="170"/>
      <c r="Y60" s="165"/>
      <c r="Z60" s="171"/>
      <c r="AA60" s="97">
        <v>1</v>
      </c>
      <c r="AB60" s="172">
        <v>0.33333333333333331</v>
      </c>
      <c r="AC60" s="123"/>
      <c r="AD60" s="4"/>
      <c r="AE60" s="4"/>
      <c r="AF60" s="4"/>
      <c r="AG60" s="4" t="str">
        <f>"  " &amp; TEXT(AB60,"#0.00%") &amp; " " &amp; "Android - 메인" &amp; " " &amp; IF(M60="","",TEXT(M60,"M/D-")) &amp; IF(N60="","",TEXT(N60,"M/D")) &amp; " "</f>
        <v xml:space="preserve">  33.33% Android - 메인 7/8-7/10 </v>
      </c>
      <c r="AH60" s="4"/>
      <c r="AI60" s="4"/>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row>
    <row r="61" spans="1:84" outlineLevel="3">
      <c r="A61" s="116"/>
      <c r="B61" s="116"/>
      <c r="C61" s="116">
        <v>4</v>
      </c>
      <c r="D61" s="218" t="s">
        <v>1168</v>
      </c>
      <c r="E61" s="163"/>
      <c r="F61" s="163"/>
      <c r="G61" s="220"/>
      <c r="H61" s="163" t="s">
        <v>1157</v>
      </c>
      <c r="I61" s="163"/>
      <c r="J61" s="163"/>
      <c r="K61" s="163"/>
      <c r="L61" s="163"/>
      <c r="M61" s="164"/>
      <c r="N61" s="164"/>
      <c r="O61" s="165"/>
      <c r="P61" s="166">
        <v>0</v>
      </c>
      <c r="Q61" s="166">
        <v>0</v>
      </c>
      <c r="R61" s="167">
        <v>0</v>
      </c>
      <c r="S61" s="167">
        <v>0</v>
      </c>
      <c r="T61" s="164"/>
      <c r="U61" s="164"/>
      <c r="V61" s="168">
        <v>0</v>
      </c>
      <c r="W61" s="169">
        <v>0</v>
      </c>
      <c r="X61" s="170"/>
      <c r="Y61" s="223" t="s">
        <v>1129</v>
      </c>
      <c r="Z61" s="171"/>
      <c r="AA61" s="97">
        <v>0</v>
      </c>
      <c r="AB61" s="172">
        <v>0</v>
      </c>
      <c r="AC61" s="123"/>
      <c r="AD61" s="4"/>
      <c r="AE61" s="4"/>
      <c r="AF61" s="4"/>
      <c r="AG61" s="4"/>
      <c r="AH61" s="4"/>
      <c r="AI61" s="4"/>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row>
    <row r="62" spans="1:84" outlineLevel="3">
      <c r="A62" s="116"/>
      <c r="B62" s="116"/>
      <c r="C62" s="116">
        <v>4</v>
      </c>
      <c r="D62" s="218" t="s">
        <v>1169</v>
      </c>
      <c r="E62" s="163"/>
      <c r="F62" s="163"/>
      <c r="G62" s="220"/>
      <c r="H62" s="163" t="s">
        <v>1221</v>
      </c>
      <c r="I62" s="163"/>
      <c r="J62" s="163"/>
      <c r="K62" s="163"/>
      <c r="L62" s="163"/>
      <c r="M62" s="164"/>
      <c r="N62" s="164"/>
      <c r="O62" s="165"/>
      <c r="P62" s="166">
        <v>0</v>
      </c>
      <c r="Q62" s="166">
        <v>0</v>
      </c>
      <c r="R62" s="167">
        <v>0</v>
      </c>
      <c r="S62" s="167">
        <v>0</v>
      </c>
      <c r="T62" s="164"/>
      <c r="U62" s="164"/>
      <c r="V62" s="168">
        <v>0</v>
      </c>
      <c r="W62" s="169">
        <v>0</v>
      </c>
      <c r="X62" s="170"/>
      <c r="Y62" s="223" t="s">
        <v>1129</v>
      </c>
      <c r="Z62" s="171"/>
      <c r="AA62" s="97">
        <v>0</v>
      </c>
      <c r="AB62" s="172">
        <v>0</v>
      </c>
      <c r="AC62" s="123"/>
      <c r="AD62" s="4"/>
      <c r="AE62" s="4"/>
      <c r="AF62" s="4"/>
      <c r="AG62" s="4"/>
      <c r="AH62" s="4"/>
      <c r="AI62" s="4"/>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row>
    <row r="63" spans="1:84" outlineLevel="3">
      <c r="A63" s="116"/>
      <c r="B63" s="116"/>
      <c r="C63" s="116">
        <v>4</v>
      </c>
      <c r="D63" s="218" t="s">
        <v>1228</v>
      </c>
      <c r="E63" s="163"/>
      <c r="F63" s="163"/>
      <c r="G63" s="220"/>
      <c r="H63" s="163" t="s">
        <v>1153</v>
      </c>
      <c r="I63" s="163"/>
      <c r="J63" s="163"/>
      <c r="K63" s="163"/>
      <c r="L63" s="163"/>
      <c r="M63" s="164"/>
      <c r="N63" s="164"/>
      <c r="O63" s="165"/>
      <c r="P63" s="166">
        <v>0</v>
      </c>
      <c r="Q63" s="166">
        <v>0</v>
      </c>
      <c r="R63" s="167">
        <v>0</v>
      </c>
      <c r="S63" s="167">
        <v>0</v>
      </c>
      <c r="T63" s="164"/>
      <c r="U63" s="164"/>
      <c r="V63" s="168">
        <v>0</v>
      </c>
      <c r="W63" s="169">
        <v>0</v>
      </c>
      <c r="X63" s="170"/>
      <c r="Y63" s="223" t="s">
        <v>1129</v>
      </c>
      <c r="Z63" s="171"/>
      <c r="AA63" s="97">
        <v>0</v>
      </c>
      <c r="AB63" s="172">
        <v>0</v>
      </c>
      <c r="AC63" s="123"/>
      <c r="AD63" s="4"/>
      <c r="AE63" s="4"/>
      <c r="AF63" s="4"/>
      <c r="AG63" s="4"/>
      <c r="AH63" s="4"/>
      <c r="AI63" s="4"/>
      <c r="AJ63" s="4"/>
      <c r="AK63" s="4"/>
      <c r="AL63" s="4"/>
      <c r="AM63" s="4"/>
      <c r="AN63" s="4"/>
      <c r="AO63" s="4"/>
      <c r="AP63" s="4"/>
      <c r="AQ63" s="4"/>
      <c r="AR63" s="4"/>
      <c r="AS63" s="4"/>
      <c r="AT63" s="4"/>
      <c r="AU63" s="4"/>
      <c r="AV63" s="4"/>
      <c r="AW63" s="4"/>
      <c r="AX63" s="4"/>
      <c r="AY63" s="4"/>
      <c r="AZ63" s="4"/>
      <c r="BA63" s="4"/>
      <c r="BB63" s="4"/>
      <c r="BC63" s="4"/>
      <c r="BD63" s="4"/>
      <c r="BE63" s="4"/>
      <c r="BF63" s="4"/>
      <c r="BG63" s="4"/>
      <c r="BH63" s="4"/>
      <c r="BI63" s="4"/>
      <c r="BJ63" s="4"/>
      <c r="BK63" s="4"/>
      <c r="BL63" s="4"/>
      <c r="BM63" s="4"/>
      <c r="BN63" s="4"/>
      <c r="BO63" s="4"/>
      <c r="BP63" s="4"/>
      <c r="BQ63" s="4"/>
      <c r="BR63" s="4"/>
      <c r="BS63" s="4"/>
      <c r="BT63" s="4"/>
      <c r="BU63" s="4"/>
      <c r="BV63" s="4"/>
      <c r="BW63" s="4"/>
      <c r="BX63" s="4"/>
      <c r="BY63" s="4"/>
      <c r="BZ63" s="4"/>
      <c r="CA63" s="4"/>
      <c r="CB63" s="4"/>
      <c r="CC63" s="4"/>
      <c r="CD63" s="4"/>
      <c r="CE63" s="4"/>
      <c r="CF63" s="4"/>
    </row>
    <row r="64" spans="1:84" outlineLevel="3">
      <c r="A64" s="116"/>
      <c r="B64" s="116"/>
      <c r="C64" s="116">
        <v>4</v>
      </c>
      <c r="D64" s="218" t="s">
        <v>1240</v>
      </c>
      <c r="E64" s="163"/>
      <c r="F64" s="163"/>
      <c r="G64" s="220"/>
      <c r="H64" s="226" t="s">
        <v>1231</v>
      </c>
      <c r="I64" s="163"/>
      <c r="J64" s="163"/>
      <c r="K64" s="163"/>
      <c r="L64" s="163"/>
      <c r="M64" s="164"/>
      <c r="N64" s="164"/>
      <c r="O64" s="165"/>
      <c r="P64" s="166">
        <v>0</v>
      </c>
      <c r="Q64" s="166">
        <v>0</v>
      </c>
      <c r="R64" s="167">
        <v>0</v>
      </c>
      <c r="S64" s="167">
        <v>0</v>
      </c>
      <c r="T64" s="164"/>
      <c r="U64" s="164"/>
      <c r="V64" s="168">
        <v>0</v>
      </c>
      <c r="W64" s="169">
        <v>0</v>
      </c>
      <c r="X64" s="170"/>
      <c r="Y64" s="223" t="s">
        <v>1129</v>
      </c>
      <c r="Z64" s="171"/>
      <c r="AA64" s="97">
        <v>0</v>
      </c>
      <c r="AB64" s="172">
        <v>0</v>
      </c>
      <c r="AC64" s="123"/>
      <c r="AD64" s="4"/>
      <c r="AE64" s="4"/>
      <c r="AF64" s="4"/>
      <c r="AG64" s="4"/>
      <c r="AH64" s="4"/>
      <c r="AI64" s="4"/>
      <c r="AJ64" s="4"/>
      <c r="AK64" s="4"/>
      <c r="AL64" s="4"/>
      <c r="AM64" s="4"/>
      <c r="AN64" s="4"/>
      <c r="AO64" s="4"/>
      <c r="AP64" s="4"/>
      <c r="AQ64" s="4"/>
      <c r="AR64" s="4"/>
      <c r="AS64" s="4"/>
      <c r="AT64" s="4"/>
      <c r="AU64" s="4"/>
      <c r="AV64" s="4"/>
      <c r="AW64" s="4"/>
      <c r="AX64" s="4"/>
      <c r="AY64" s="4"/>
      <c r="AZ64" s="4"/>
      <c r="BA64" s="4"/>
      <c r="BB64" s="4"/>
      <c r="BC64" s="4"/>
      <c r="BD64" s="4"/>
      <c r="BE64" s="4"/>
      <c r="BF64" s="4"/>
      <c r="BG64" s="4"/>
      <c r="BH64" s="4"/>
      <c r="BI64" s="4"/>
      <c r="BJ64" s="4"/>
      <c r="BK64" s="4"/>
      <c r="BL64" s="4"/>
      <c r="BM64" s="4"/>
      <c r="BN64" s="4"/>
      <c r="BO64" s="4"/>
      <c r="BP64" s="4"/>
      <c r="BQ64" s="4"/>
      <c r="BR64" s="4"/>
      <c r="BS64" s="4"/>
      <c r="BT64" s="4"/>
      <c r="BU64" s="4"/>
      <c r="BV64" s="4"/>
      <c r="BW64" s="4"/>
      <c r="BX64" s="4"/>
      <c r="BY64" s="4"/>
      <c r="BZ64" s="4"/>
      <c r="CA64" s="4"/>
      <c r="CB64" s="4"/>
      <c r="CC64" s="4"/>
      <c r="CD64" s="4"/>
      <c r="CE64" s="4"/>
      <c r="CF64" s="4"/>
    </row>
    <row r="65" spans="1:84" outlineLevel="3">
      <c r="A65" s="116"/>
      <c r="B65" s="116"/>
      <c r="C65" s="116">
        <v>4</v>
      </c>
      <c r="D65" s="218" t="s">
        <v>1241</v>
      </c>
      <c r="E65" s="163"/>
      <c r="F65" s="163"/>
      <c r="G65" s="220"/>
      <c r="H65" s="226" t="s">
        <v>1233</v>
      </c>
      <c r="I65" s="163"/>
      <c r="J65" s="163"/>
      <c r="K65" s="163"/>
      <c r="L65" s="163"/>
      <c r="M65" s="262">
        <v>43655</v>
      </c>
      <c r="N65" s="262">
        <v>43656</v>
      </c>
      <c r="O65" s="165"/>
      <c r="P65" s="166">
        <v>2</v>
      </c>
      <c r="Q65" s="166">
        <v>2</v>
      </c>
      <c r="R65" s="167">
        <v>2</v>
      </c>
      <c r="S65" s="167">
        <v>2</v>
      </c>
      <c r="T65" s="164"/>
      <c r="U65" s="164"/>
      <c r="V65" s="168"/>
      <c r="W65" s="169">
        <v>0</v>
      </c>
      <c r="X65" s="170">
        <v>1</v>
      </c>
      <c r="Y65" s="223" t="s">
        <v>1181</v>
      </c>
      <c r="Z65" s="171"/>
      <c r="AA65" s="97">
        <v>1</v>
      </c>
      <c r="AB65" s="172">
        <v>0</v>
      </c>
      <c r="AC65" s="123"/>
      <c r="AD65" s="4"/>
      <c r="AE65" s="4"/>
      <c r="AF65" s="4"/>
      <c r="AG65" s="4" t="str">
        <f>"  " &amp; TEXT(AB65,"#0.00%") &amp; " " &amp; "워드 클라우드" &amp; "(백종화)" &amp; " " &amp; IF(M65="","",TEXT(M65,"M/D-")) &amp; IF(N65="","",TEXT(N65,"M/D")) &amp; " "</f>
        <v xml:space="preserve">  0.00% 워드 클라우드(백종화) 7/9-7/10 </v>
      </c>
      <c r="AH65" s="4"/>
      <c r="AI65" s="4"/>
      <c r="AJ65" s="4"/>
      <c r="AK65" s="4"/>
      <c r="AL65" s="4"/>
      <c r="AM65" s="4"/>
      <c r="AN65" s="4"/>
      <c r="AO65" s="4"/>
      <c r="AP65" s="4"/>
      <c r="AQ65" s="4"/>
      <c r="AR65" s="4"/>
      <c r="AS65" s="4"/>
      <c r="AT65" s="4"/>
      <c r="AU65" s="4"/>
      <c r="AV65" s="4"/>
      <c r="AW65" s="4"/>
      <c r="AX65" s="4"/>
      <c r="AY65" s="4"/>
      <c r="AZ65" s="4"/>
      <c r="BA65" s="4"/>
      <c r="BB65" s="4"/>
      <c r="BC65" s="4"/>
      <c r="BD65" s="4"/>
      <c r="BE65" s="4"/>
      <c r="BF65" s="4"/>
      <c r="BG65" s="4"/>
      <c r="BH65" s="4"/>
      <c r="BI65" s="4"/>
      <c r="BJ65" s="4"/>
      <c r="BK65" s="4"/>
      <c r="BL65" s="4"/>
      <c r="BM65" s="4"/>
      <c r="BN65" s="4"/>
      <c r="BO65" s="4"/>
      <c r="BP65" s="4"/>
      <c r="BQ65" s="4"/>
      <c r="BR65" s="4"/>
      <c r="BS65" s="4"/>
      <c r="BT65" s="4"/>
      <c r="BU65" s="4"/>
      <c r="BV65" s="4"/>
      <c r="BW65" s="4"/>
      <c r="BX65" s="4"/>
      <c r="BY65" s="4"/>
      <c r="BZ65" s="4"/>
      <c r="CA65" s="4"/>
      <c r="CB65" s="4"/>
      <c r="CC65" s="4"/>
      <c r="CD65" s="4"/>
      <c r="CE65" s="4"/>
      <c r="CF65" s="4"/>
    </row>
    <row r="66" spans="1:84" outlineLevel="3">
      <c r="A66" s="116"/>
      <c r="B66" s="116"/>
      <c r="C66" s="116">
        <v>4</v>
      </c>
      <c r="D66" s="218" t="s">
        <v>1242</v>
      </c>
      <c r="E66" s="163"/>
      <c r="F66" s="163"/>
      <c r="G66" s="220"/>
      <c r="H66" s="226" t="s">
        <v>1232</v>
      </c>
      <c r="I66" s="163"/>
      <c r="J66" s="163"/>
      <c r="K66" s="163"/>
      <c r="L66" s="163"/>
      <c r="M66" s="164">
        <v>43654</v>
      </c>
      <c r="N66" s="164">
        <v>43654</v>
      </c>
      <c r="O66" s="165"/>
      <c r="P66" s="166">
        <v>1</v>
      </c>
      <c r="Q66" s="166">
        <v>1</v>
      </c>
      <c r="R66" s="167">
        <v>1</v>
      </c>
      <c r="S66" s="167">
        <v>1</v>
      </c>
      <c r="T66" s="164"/>
      <c r="U66" s="164"/>
      <c r="V66" s="168"/>
      <c r="W66" s="169">
        <v>0</v>
      </c>
      <c r="X66" s="170">
        <v>1</v>
      </c>
      <c r="Y66" s="223" t="s">
        <v>1181</v>
      </c>
      <c r="Z66" s="171"/>
      <c r="AA66" s="97">
        <v>1</v>
      </c>
      <c r="AB66" s="172">
        <v>1</v>
      </c>
      <c r="AC66" s="123"/>
      <c r="AD66" s="4"/>
      <c r="AE66" s="4"/>
      <c r="AF66" s="4"/>
      <c r="AG66" s="4" t="str">
        <f>"  " &amp; TEXT(AB66,"#0.00%") &amp; " " &amp; "크롤링" &amp; "(백종화)" &amp; " " &amp; IF(M66="","",TEXT(M66,"M/D-")) &amp; IF(N66="","",TEXT(N66,"M/D")) &amp; " "</f>
        <v xml:space="preserve">  100.00% 크롤링(백종화) 7/8-7/8 </v>
      </c>
      <c r="AH66" s="4"/>
      <c r="AI66" s="4"/>
      <c r="AJ66" s="4"/>
      <c r="AK66" s="4"/>
      <c r="AL66" s="4"/>
      <c r="AM66" s="4"/>
      <c r="AN66" s="4"/>
      <c r="AO66" s="4"/>
      <c r="AP66" s="4"/>
      <c r="AQ66" s="4"/>
      <c r="AR66" s="4"/>
      <c r="AS66" s="4"/>
      <c r="AT66" s="4"/>
      <c r="AU66" s="4"/>
      <c r="AV66" s="4"/>
      <c r="AW66" s="4"/>
      <c r="AX66" s="4"/>
      <c r="AY66" s="4"/>
      <c r="AZ66" s="4"/>
      <c r="BA66" s="4"/>
      <c r="BB66" s="4"/>
      <c r="BC66" s="4"/>
      <c r="BD66" s="4"/>
      <c r="BE66" s="4"/>
      <c r="BF66" s="4"/>
      <c r="BG66" s="4"/>
      <c r="BH66" s="4"/>
      <c r="BI66" s="4"/>
      <c r="BJ66" s="4"/>
      <c r="BK66" s="4"/>
      <c r="BL66" s="4"/>
      <c r="BM66" s="4"/>
      <c r="BN66" s="4"/>
      <c r="BO66" s="4"/>
      <c r="BP66" s="4"/>
      <c r="BQ66" s="4"/>
      <c r="BR66" s="4"/>
      <c r="BS66" s="4"/>
      <c r="BT66" s="4"/>
      <c r="BU66" s="4"/>
      <c r="BV66" s="4"/>
      <c r="BW66" s="4"/>
      <c r="BX66" s="4"/>
      <c r="BY66" s="4"/>
      <c r="BZ66" s="4"/>
      <c r="CA66" s="4"/>
      <c r="CB66" s="4"/>
      <c r="CC66" s="4"/>
      <c r="CD66" s="4"/>
      <c r="CE66" s="4"/>
      <c r="CF66" s="4"/>
    </row>
    <row r="67" spans="1:84" outlineLevel="2">
      <c r="A67" s="116"/>
      <c r="B67" s="116" t="s">
        <v>976</v>
      </c>
      <c r="C67" s="116">
        <v>3</v>
      </c>
      <c r="D67" s="218" t="s">
        <v>1170</v>
      </c>
      <c r="E67" s="163"/>
      <c r="F67" s="163"/>
      <c r="G67" s="220" t="s">
        <v>1284</v>
      </c>
      <c r="H67" s="163"/>
      <c r="I67" s="163"/>
      <c r="J67" s="163"/>
      <c r="K67" s="163"/>
      <c r="L67" s="163"/>
      <c r="M67" s="164"/>
      <c r="N67" s="164"/>
      <c r="O67" s="165"/>
      <c r="P67" s="166">
        <v>0</v>
      </c>
      <c r="Q67" s="166">
        <v>0</v>
      </c>
      <c r="R67" s="167">
        <v>0</v>
      </c>
      <c r="S67" s="167">
        <v>0</v>
      </c>
      <c r="T67" s="164"/>
      <c r="U67" s="164"/>
      <c r="V67" s="168">
        <v>0</v>
      </c>
      <c r="W67" s="169">
        <v>0</v>
      </c>
      <c r="X67" s="170"/>
      <c r="Y67" s="165"/>
      <c r="Z67" s="171"/>
      <c r="AA67" s="97">
        <v>0</v>
      </c>
      <c r="AB67" s="172">
        <v>0</v>
      </c>
      <c r="AC67" s="123"/>
      <c r="AD67" s="4"/>
      <c r="AE67" s="4"/>
      <c r="AF67" s="4"/>
      <c r="AG67" s="4"/>
      <c r="AH67" s="4"/>
      <c r="AI67" s="4"/>
      <c r="AJ67" s="4"/>
      <c r="AK67" s="4"/>
      <c r="AL67" s="4"/>
      <c r="AM67" s="4"/>
      <c r="AN67" s="4"/>
      <c r="AO67" s="4"/>
      <c r="AP67" s="4"/>
      <c r="AQ67" s="4"/>
      <c r="AR67" s="4"/>
      <c r="AS67" s="4"/>
      <c r="AT67" s="4"/>
      <c r="AU67" s="4"/>
      <c r="AV67" s="4"/>
      <c r="AW67" s="4"/>
      <c r="AX67" s="4"/>
      <c r="AY67" s="4"/>
      <c r="AZ67" s="4"/>
      <c r="BA67" s="4"/>
      <c r="BB67" s="4"/>
      <c r="BC67" s="4"/>
      <c r="BD67" s="4"/>
      <c r="BE67" s="4"/>
      <c r="BF67" s="4"/>
      <c r="BG67" s="4"/>
      <c r="BH67" s="4"/>
      <c r="BI67" s="4"/>
      <c r="BJ67" s="4"/>
      <c r="BK67" s="4"/>
      <c r="BL67" s="4"/>
      <c r="BM67" s="4"/>
      <c r="BN67" s="4"/>
      <c r="BO67" s="4"/>
      <c r="BP67" s="4"/>
      <c r="BQ67" s="4"/>
      <c r="BR67" s="4"/>
      <c r="BS67" s="4"/>
      <c r="BT67" s="4"/>
      <c r="BU67" s="4"/>
      <c r="BV67" s="4"/>
      <c r="BW67" s="4"/>
      <c r="BX67" s="4"/>
      <c r="BY67" s="4"/>
      <c r="BZ67" s="4"/>
      <c r="CA67" s="4"/>
      <c r="CB67" s="4"/>
      <c r="CC67" s="4"/>
      <c r="CD67" s="4"/>
      <c r="CE67" s="4"/>
      <c r="CF67" s="4"/>
    </row>
    <row r="68" spans="1:84" outlineLevel="3">
      <c r="A68" s="116"/>
      <c r="B68" s="116"/>
      <c r="C68" s="116">
        <v>4</v>
      </c>
      <c r="D68" s="218" t="s">
        <v>1171</v>
      </c>
      <c r="E68" s="163"/>
      <c r="F68" s="163"/>
      <c r="G68" s="220"/>
      <c r="H68" s="163" t="s">
        <v>1154</v>
      </c>
      <c r="I68" s="163"/>
      <c r="J68" s="163"/>
      <c r="K68" s="163"/>
      <c r="L68" s="163"/>
      <c r="M68" s="164"/>
      <c r="N68" s="164"/>
      <c r="O68" s="165"/>
      <c r="P68" s="166">
        <v>0</v>
      </c>
      <c r="Q68" s="166">
        <v>0</v>
      </c>
      <c r="R68" s="167">
        <v>0</v>
      </c>
      <c r="S68" s="167">
        <v>0</v>
      </c>
      <c r="T68" s="164"/>
      <c r="U68" s="164"/>
      <c r="V68" s="168">
        <v>0</v>
      </c>
      <c r="W68" s="169">
        <v>0</v>
      </c>
      <c r="X68" s="170"/>
      <c r="Y68" s="165" t="s">
        <v>1219</v>
      </c>
      <c r="Z68" s="171"/>
      <c r="AA68" s="97">
        <v>0</v>
      </c>
      <c r="AB68" s="172">
        <v>0</v>
      </c>
      <c r="AC68" s="123"/>
      <c r="AD68" s="4"/>
      <c r="AE68" s="4"/>
      <c r="AF68" s="4"/>
      <c r="AG68" s="4"/>
      <c r="AH68" s="4"/>
      <c r="AI68" s="4"/>
      <c r="AJ68" s="4"/>
      <c r="AK68" s="4"/>
      <c r="AL68" s="4"/>
      <c r="AM68" s="4"/>
      <c r="AN68" s="4"/>
      <c r="AO68" s="4"/>
      <c r="AP68" s="4"/>
      <c r="AQ68" s="4"/>
      <c r="AR68" s="4"/>
      <c r="AS68" s="4"/>
      <c r="AT68" s="4"/>
      <c r="AU68" s="4"/>
      <c r="AV68" s="4"/>
      <c r="AW68" s="4"/>
      <c r="AX68" s="4"/>
      <c r="AY68" s="4"/>
      <c r="AZ68" s="4"/>
      <c r="BA68" s="4"/>
      <c r="BB68" s="4"/>
      <c r="BC68" s="4"/>
      <c r="BD68" s="4"/>
      <c r="BE68" s="4"/>
      <c r="BF68" s="4"/>
      <c r="BG68" s="4"/>
      <c r="BH68" s="4"/>
      <c r="BI68" s="4"/>
      <c r="BJ68" s="4"/>
      <c r="BK68" s="4"/>
      <c r="BL68" s="4"/>
      <c r="BM68" s="4"/>
      <c r="BN68" s="4"/>
      <c r="BO68" s="4"/>
      <c r="BP68" s="4"/>
      <c r="BQ68" s="4"/>
      <c r="BR68" s="4"/>
      <c r="BS68" s="4"/>
      <c r="BT68" s="4"/>
      <c r="BU68" s="4"/>
      <c r="BV68" s="4"/>
      <c r="BW68" s="4"/>
      <c r="BX68" s="4"/>
      <c r="BY68" s="4"/>
      <c r="BZ68" s="4"/>
      <c r="CA68" s="4"/>
      <c r="CB68" s="4"/>
      <c r="CC68" s="4"/>
      <c r="CD68" s="4"/>
      <c r="CE68" s="4"/>
      <c r="CF68" s="4"/>
    </row>
    <row r="69" spans="1:84" outlineLevel="3">
      <c r="A69" s="116"/>
      <c r="B69" s="116"/>
      <c r="C69" s="116">
        <v>4</v>
      </c>
      <c r="D69" s="218" t="s">
        <v>1229</v>
      </c>
      <c r="E69" s="163"/>
      <c r="F69" s="163"/>
      <c r="G69" s="220"/>
      <c r="H69" s="163" t="s">
        <v>1160</v>
      </c>
      <c r="I69" s="163"/>
      <c r="J69" s="163"/>
      <c r="K69" s="163"/>
      <c r="L69" s="163"/>
      <c r="M69" s="164"/>
      <c r="N69" s="164"/>
      <c r="O69" s="165"/>
      <c r="P69" s="166">
        <v>0</v>
      </c>
      <c r="Q69" s="166">
        <v>0</v>
      </c>
      <c r="R69" s="167">
        <v>0</v>
      </c>
      <c r="S69" s="167">
        <v>0</v>
      </c>
      <c r="T69" s="164"/>
      <c r="U69" s="164"/>
      <c r="V69" s="168">
        <v>0</v>
      </c>
      <c r="W69" s="169">
        <v>0</v>
      </c>
      <c r="X69" s="170"/>
      <c r="Y69" s="165" t="s">
        <v>1219</v>
      </c>
      <c r="Z69" s="171"/>
      <c r="AA69" s="97">
        <v>0</v>
      </c>
      <c r="AB69" s="172">
        <v>0</v>
      </c>
      <c r="AC69" s="123"/>
      <c r="AD69" s="4"/>
      <c r="AE69" s="4"/>
      <c r="AF69" s="4"/>
      <c r="AG69" s="4"/>
      <c r="AH69" s="4"/>
      <c r="AI69" s="4"/>
      <c r="AJ69" s="4"/>
      <c r="AK69" s="4"/>
      <c r="AL69" s="4"/>
      <c r="AM69" s="4"/>
      <c r="AN69" s="4"/>
      <c r="AO69" s="4"/>
      <c r="AP69" s="4"/>
      <c r="AQ69" s="4"/>
      <c r="AR69" s="4"/>
      <c r="AS69" s="4"/>
      <c r="AT69" s="4"/>
      <c r="AU69" s="4"/>
      <c r="AV69" s="4"/>
      <c r="AW69" s="4"/>
      <c r="AX69" s="4"/>
      <c r="AY69" s="4"/>
      <c r="AZ69" s="4"/>
      <c r="BA69" s="4"/>
      <c r="BB69" s="4"/>
      <c r="BC69" s="4"/>
      <c r="BD69" s="4"/>
      <c r="BE69" s="4"/>
      <c r="BF69" s="4"/>
      <c r="BG69" s="4"/>
      <c r="BH69" s="4"/>
      <c r="BI69" s="4"/>
      <c r="BJ69" s="4"/>
      <c r="BK69" s="4"/>
      <c r="BL69" s="4"/>
      <c r="BM69" s="4"/>
      <c r="BN69" s="4"/>
      <c r="BO69" s="4"/>
      <c r="BP69" s="4"/>
      <c r="BQ69" s="4"/>
      <c r="BR69" s="4"/>
      <c r="BS69" s="4"/>
      <c r="BT69" s="4"/>
      <c r="BU69" s="4"/>
      <c r="BV69" s="4"/>
      <c r="BW69" s="4"/>
      <c r="BX69" s="4"/>
      <c r="BY69" s="4"/>
      <c r="BZ69" s="4"/>
      <c r="CA69" s="4"/>
      <c r="CB69" s="4"/>
      <c r="CC69" s="4"/>
      <c r="CD69" s="4"/>
      <c r="CE69" s="4"/>
      <c r="CF69" s="4"/>
    </row>
    <row r="70" spans="1:84" outlineLevel="3">
      <c r="A70" s="116"/>
      <c r="B70" s="116"/>
      <c r="C70" s="116">
        <v>4</v>
      </c>
      <c r="D70" s="218" t="s">
        <v>1236</v>
      </c>
      <c r="E70" s="163"/>
      <c r="F70" s="163"/>
      <c r="G70" s="220"/>
      <c r="H70" s="163" t="s">
        <v>1222</v>
      </c>
      <c r="I70" s="163"/>
      <c r="J70" s="163"/>
      <c r="K70" s="163"/>
      <c r="L70" s="163"/>
      <c r="M70" s="164"/>
      <c r="N70" s="164"/>
      <c r="O70" s="165"/>
      <c r="P70" s="166">
        <v>0</v>
      </c>
      <c r="Q70" s="166">
        <v>0</v>
      </c>
      <c r="R70" s="167">
        <v>0</v>
      </c>
      <c r="S70" s="167">
        <v>0</v>
      </c>
      <c r="T70" s="164"/>
      <c r="U70" s="164"/>
      <c r="V70" s="168">
        <v>0</v>
      </c>
      <c r="W70" s="169">
        <v>0</v>
      </c>
      <c r="X70" s="170"/>
      <c r="Y70" s="223" t="s">
        <v>1133</v>
      </c>
      <c r="Z70" s="171"/>
      <c r="AA70" s="97">
        <v>0</v>
      </c>
      <c r="AB70" s="172">
        <v>0</v>
      </c>
      <c r="AC70" s="123"/>
      <c r="AD70" s="4"/>
      <c r="AE70" s="4"/>
      <c r="AF70" s="4"/>
      <c r="AG70" s="4"/>
      <c r="AH70" s="4"/>
      <c r="AI70" s="4"/>
      <c r="AJ70" s="4"/>
      <c r="AK70" s="4"/>
      <c r="AL70" s="4"/>
      <c r="AM70" s="4"/>
      <c r="AN70" s="4"/>
      <c r="AO70" s="4"/>
      <c r="AP70" s="4"/>
      <c r="AQ70" s="4"/>
      <c r="AR70" s="4"/>
      <c r="AS70" s="4"/>
      <c r="AT70" s="4"/>
      <c r="AU70" s="4"/>
      <c r="AV70" s="4"/>
      <c r="AW70" s="4"/>
      <c r="AX70" s="4"/>
      <c r="AY70" s="4"/>
      <c r="AZ70" s="4"/>
      <c r="BA70" s="4"/>
      <c r="BB70" s="4"/>
      <c r="BC70" s="4"/>
      <c r="BD70" s="4"/>
      <c r="BE70" s="4"/>
      <c r="BF70" s="4"/>
      <c r="BG70" s="4"/>
      <c r="BH70" s="4"/>
      <c r="BI70" s="4"/>
      <c r="BJ70" s="4"/>
      <c r="BK70" s="4"/>
      <c r="BL70" s="4"/>
      <c r="BM70" s="4"/>
      <c r="BN70" s="4"/>
      <c r="BO70" s="4"/>
      <c r="BP70" s="4"/>
      <c r="BQ70" s="4"/>
      <c r="BR70" s="4"/>
      <c r="BS70" s="4"/>
      <c r="BT70" s="4"/>
      <c r="BU70" s="4"/>
      <c r="BV70" s="4"/>
      <c r="BW70" s="4"/>
      <c r="BX70" s="4"/>
      <c r="BY70" s="4"/>
      <c r="BZ70" s="4"/>
      <c r="CA70" s="4"/>
      <c r="CB70" s="4"/>
      <c r="CC70" s="4"/>
      <c r="CD70" s="4"/>
      <c r="CE70" s="4"/>
      <c r="CF70" s="4"/>
    </row>
    <row r="71" spans="1:84" outlineLevel="2">
      <c r="A71" s="116"/>
      <c r="B71" s="116" t="s">
        <v>976</v>
      </c>
      <c r="C71" s="116">
        <v>3</v>
      </c>
      <c r="D71" s="218" t="s">
        <v>1172</v>
      </c>
      <c r="E71" s="163"/>
      <c r="F71" s="163"/>
      <c r="G71" s="220" t="s">
        <v>1285</v>
      </c>
      <c r="H71" s="163"/>
      <c r="I71" s="163"/>
      <c r="J71" s="163"/>
      <c r="K71" s="163"/>
      <c r="L71" s="163"/>
      <c r="M71" s="164"/>
      <c r="N71" s="164"/>
      <c r="O71" s="165"/>
      <c r="P71" s="166">
        <v>0</v>
      </c>
      <c r="Q71" s="166">
        <v>0</v>
      </c>
      <c r="R71" s="167">
        <v>0</v>
      </c>
      <c r="S71" s="167">
        <v>0</v>
      </c>
      <c r="T71" s="164"/>
      <c r="U71" s="164"/>
      <c r="V71" s="168">
        <v>0</v>
      </c>
      <c r="W71" s="169">
        <v>0</v>
      </c>
      <c r="X71" s="170"/>
      <c r="Y71" s="165"/>
      <c r="Z71" s="171"/>
      <c r="AA71" s="97">
        <v>0</v>
      </c>
      <c r="AB71" s="172">
        <v>0</v>
      </c>
      <c r="AC71" s="123"/>
      <c r="AD71" s="4"/>
      <c r="AE71" s="4"/>
      <c r="AF71" s="4"/>
      <c r="AG71" s="4"/>
      <c r="AH71" s="4"/>
      <c r="AI71" s="4"/>
      <c r="AJ71" s="4"/>
      <c r="AK71" s="4"/>
      <c r="AL71" s="4"/>
      <c r="AM71" s="4"/>
      <c r="AN71" s="4"/>
      <c r="AO71" s="4"/>
      <c r="AP71" s="4"/>
      <c r="AQ71" s="4"/>
      <c r="AR71" s="4"/>
      <c r="AS71" s="4"/>
      <c r="AT71" s="4"/>
      <c r="AU71" s="4"/>
      <c r="AV71" s="4"/>
      <c r="AW71" s="4"/>
      <c r="AX71" s="4"/>
      <c r="AY71" s="4"/>
      <c r="AZ71" s="4"/>
      <c r="BA71" s="4"/>
      <c r="BB71" s="4"/>
      <c r="BC71" s="4"/>
      <c r="BD71" s="4"/>
      <c r="BE71" s="4"/>
      <c r="BF71" s="4"/>
      <c r="BG71" s="4"/>
      <c r="BH71" s="4"/>
      <c r="BI71" s="4"/>
      <c r="BJ71" s="4"/>
      <c r="BK71" s="4"/>
      <c r="BL71" s="4"/>
      <c r="BM71" s="4"/>
      <c r="BN71" s="4"/>
      <c r="BO71" s="4"/>
      <c r="BP71" s="4"/>
      <c r="BQ71" s="4"/>
      <c r="BR71" s="4"/>
      <c r="BS71" s="4"/>
      <c r="BT71" s="4"/>
      <c r="BU71" s="4"/>
      <c r="BV71" s="4"/>
      <c r="BW71" s="4"/>
      <c r="BX71" s="4"/>
      <c r="BY71" s="4"/>
      <c r="BZ71" s="4"/>
      <c r="CA71" s="4"/>
      <c r="CB71" s="4"/>
      <c r="CC71" s="4"/>
      <c r="CD71" s="4"/>
      <c r="CE71" s="4"/>
      <c r="CF71" s="4"/>
    </row>
    <row r="72" spans="1:84" outlineLevel="3">
      <c r="A72" s="116"/>
      <c r="B72" s="116"/>
      <c r="C72" s="116">
        <v>4</v>
      </c>
      <c r="D72" s="218" t="s">
        <v>1173</v>
      </c>
      <c r="E72" s="163"/>
      <c r="F72" s="163"/>
      <c r="G72" s="220"/>
      <c r="H72" s="163" t="s">
        <v>1155</v>
      </c>
      <c r="I72" s="163"/>
      <c r="J72" s="163"/>
      <c r="K72" s="163"/>
      <c r="L72" s="163"/>
      <c r="M72" s="164"/>
      <c r="N72" s="164"/>
      <c r="O72" s="165"/>
      <c r="P72" s="166">
        <v>0</v>
      </c>
      <c r="Q72" s="166">
        <v>0</v>
      </c>
      <c r="R72" s="167">
        <v>0</v>
      </c>
      <c r="S72" s="167">
        <v>0</v>
      </c>
      <c r="T72" s="164"/>
      <c r="U72" s="164"/>
      <c r="V72" s="168">
        <v>0</v>
      </c>
      <c r="W72" s="169">
        <v>0</v>
      </c>
      <c r="X72" s="170"/>
      <c r="Y72" s="165" t="s">
        <v>1129</v>
      </c>
      <c r="Z72" s="171"/>
      <c r="AA72" s="97">
        <v>0</v>
      </c>
      <c r="AB72" s="172">
        <v>0</v>
      </c>
      <c r="AC72" s="123"/>
      <c r="AD72" s="4"/>
      <c r="AE72" s="4"/>
      <c r="AF72" s="4"/>
      <c r="AG72" s="4"/>
      <c r="AH72" s="4"/>
      <c r="AI72" s="4"/>
      <c r="AJ72" s="4"/>
      <c r="AK72" s="4"/>
      <c r="AL72" s="4"/>
      <c r="AM72" s="4"/>
      <c r="AN72" s="4"/>
      <c r="AO72" s="4"/>
      <c r="AP72" s="4"/>
      <c r="AQ72" s="4"/>
      <c r="AR72" s="4"/>
      <c r="AS72" s="4"/>
      <c r="AT72" s="4"/>
      <c r="AU72" s="4"/>
      <c r="AV72" s="4"/>
      <c r="AW72" s="4"/>
      <c r="AX72" s="4"/>
      <c r="AY72" s="4"/>
      <c r="AZ72" s="4"/>
      <c r="BA72" s="4"/>
      <c r="BB72" s="4"/>
      <c r="BC72" s="4"/>
      <c r="BD72" s="4"/>
      <c r="BE72" s="4"/>
      <c r="BF72" s="4"/>
      <c r="BG72" s="4"/>
      <c r="BH72" s="4"/>
      <c r="BI72" s="4"/>
      <c r="BJ72" s="4"/>
      <c r="BK72" s="4"/>
      <c r="BL72" s="4"/>
      <c r="BM72" s="4"/>
      <c r="BN72" s="4"/>
      <c r="BO72" s="4"/>
      <c r="BP72" s="4"/>
      <c r="BQ72" s="4"/>
      <c r="BR72" s="4"/>
      <c r="BS72" s="4"/>
      <c r="BT72" s="4"/>
      <c r="BU72" s="4"/>
      <c r="BV72" s="4"/>
      <c r="BW72" s="4"/>
      <c r="BX72" s="4"/>
      <c r="BY72" s="4"/>
      <c r="BZ72" s="4"/>
      <c r="CA72" s="4"/>
      <c r="CB72" s="4"/>
      <c r="CC72" s="4"/>
      <c r="CD72" s="4"/>
      <c r="CE72" s="4"/>
      <c r="CF72" s="4"/>
    </row>
    <row r="73" spans="1:84" outlineLevel="3">
      <c r="A73" s="116"/>
      <c r="B73" s="116"/>
      <c r="C73" s="116">
        <v>4</v>
      </c>
      <c r="D73" s="218" t="s">
        <v>1174</v>
      </c>
      <c r="E73" s="163"/>
      <c r="F73" s="163"/>
      <c r="G73" s="220"/>
      <c r="H73" s="163" t="s">
        <v>1235</v>
      </c>
      <c r="I73" s="163"/>
      <c r="J73" s="163"/>
      <c r="K73" s="163"/>
      <c r="L73" s="163"/>
      <c r="M73" s="164"/>
      <c r="N73" s="164"/>
      <c r="O73" s="165"/>
      <c r="P73" s="166">
        <v>0</v>
      </c>
      <c r="Q73" s="166">
        <v>0</v>
      </c>
      <c r="R73" s="167">
        <v>0</v>
      </c>
      <c r="S73" s="167">
        <v>0</v>
      </c>
      <c r="T73" s="164"/>
      <c r="U73" s="164"/>
      <c r="V73" s="168">
        <v>0</v>
      </c>
      <c r="W73" s="169">
        <v>0</v>
      </c>
      <c r="X73" s="170"/>
      <c r="Y73" s="223" t="s">
        <v>1129</v>
      </c>
      <c r="Z73" s="171"/>
      <c r="AA73" s="97">
        <v>0</v>
      </c>
      <c r="AB73" s="172">
        <v>0</v>
      </c>
      <c r="AC73" s="123"/>
      <c r="AD73" s="4"/>
      <c r="AE73" s="4"/>
      <c r="AF73" s="4"/>
      <c r="AG73" s="4"/>
      <c r="AH73" s="4"/>
      <c r="AI73" s="4"/>
      <c r="AJ73" s="4"/>
      <c r="AK73" s="4"/>
      <c r="AL73" s="4"/>
      <c r="AM73" s="4"/>
      <c r="AN73" s="4"/>
      <c r="AO73" s="4"/>
      <c r="AP73" s="4"/>
      <c r="AQ73" s="4"/>
      <c r="AR73" s="4"/>
      <c r="AS73" s="4"/>
      <c r="AT73" s="4"/>
      <c r="AU73" s="4"/>
      <c r="AV73" s="4"/>
      <c r="AW73" s="4"/>
      <c r="AX73" s="4"/>
      <c r="AY73" s="4"/>
      <c r="AZ73" s="4"/>
      <c r="BA73" s="4"/>
      <c r="BB73" s="4"/>
      <c r="BC73" s="4"/>
      <c r="BD73" s="4"/>
      <c r="BE73" s="4"/>
      <c r="BF73" s="4"/>
      <c r="BG73" s="4"/>
      <c r="BH73" s="4"/>
      <c r="BI73" s="4"/>
      <c r="BJ73" s="4"/>
      <c r="BK73" s="4"/>
      <c r="BL73" s="4"/>
      <c r="BM73" s="4"/>
      <c r="BN73" s="4"/>
      <c r="BO73" s="4"/>
      <c r="BP73" s="4"/>
      <c r="BQ73" s="4"/>
      <c r="BR73" s="4"/>
      <c r="BS73" s="4"/>
      <c r="BT73" s="4"/>
      <c r="BU73" s="4"/>
      <c r="BV73" s="4"/>
      <c r="BW73" s="4"/>
      <c r="BX73" s="4"/>
      <c r="BY73" s="4"/>
      <c r="BZ73" s="4"/>
      <c r="CA73" s="4"/>
      <c r="CB73" s="4"/>
      <c r="CC73" s="4"/>
      <c r="CD73" s="4"/>
      <c r="CE73" s="4"/>
      <c r="CF73" s="4"/>
    </row>
    <row r="74" spans="1:84" outlineLevel="3">
      <c r="A74" s="116"/>
      <c r="B74" s="116"/>
      <c r="C74" s="116">
        <v>4</v>
      </c>
      <c r="D74" s="218" t="s">
        <v>1230</v>
      </c>
      <c r="E74" s="163"/>
      <c r="F74" s="163"/>
      <c r="G74" s="220"/>
      <c r="H74" s="163" t="s">
        <v>1223</v>
      </c>
      <c r="I74" s="163"/>
      <c r="J74" s="163"/>
      <c r="K74" s="163"/>
      <c r="L74" s="163"/>
      <c r="M74" s="164"/>
      <c r="N74" s="164"/>
      <c r="O74" s="165"/>
      <c r="P74" s="166">
        <v>0</v>
      </c>
      <c r="Q74" s="166">
        <v>0</v>
      </c>
      <c r="R74" s="167">
        <v>0</v>
      </c>
      <c r="S74" s="167">
        <v>0</v>
      </c>
      <c r="T74" s="164"/>
      <c r="U74" s="164"/>
      <c r="V74" s="168">
        <v>0</v>
      </c>
      <c r="W74" s="169">
        <v>0</v>
      </c>
      <c r="X74" s="170"/>
      <c r="Y74" s="223" t="s">
        <v>1133</v>
      </c>
      <c r="Z74" s="171"/>
      <c r="AA74" s="97">
        <v>0</v>
      </c>
      <c r="AB74" s="172">
        <v>0</v>
      </c>
      <c r="AC74" s="123"/>
      <c r="AD74" s="4"/>
      <c r="AE74" s="4"/>
      <c r="AF74" s="4"/>
      <c r="AG74" s="4"/>
      <c r="AH74" s="4"/>
      <c r="AI74" s="4"/>
      <c r="AJ74" s="4"/>
      <c r="AK74" s="4"/>
      <c r="AL74" s="4"/>
      <c r="AM74" s="4"/>
      <c r="AN74" s="4"/>
      <c r="AO74" s="4"/>
      <c r="AP74" s="4"/>
      <c r="AQ74" s="4"/>
      <c r="AR74" s="4"/>
      <c r="AS74" s="4"/>
      <c r="AT74" s="4"/>
      <c r="AU74" s="4"/>
      <c r="AV74" s="4"/>
      <c r="AW74" s="4"/>
      <c r="AX74" s="4"/>
      <c r="AY74" s="4"/>
      <c r="AZ74" s="4"/>
      <c r="BA74" s="4"/>
      <c r="BB74" s="4"/>
      <c r="BC74" s="4"/>
      <c r="BD74" s="4"/>
      <c r="BE74" s="4"/>
      <c r="BF74" s="4"/>
      <c r="BG74" s="4"/>
      <c r="BH74" s="4"/>
      <c r="BI74" s="4"/>
      <c r="BJ74" s="4"/>
      <c r="BK74" s="4"/>
      <c r="BL74" s="4"/>
      <c r="BM74" s="4"/>
      <c r="BN74" s="4"/>
      <c r="BO74" s="4"/>
      <c r="BP74" s="4"/>
      <c r="BQ74" s="4"/>
      <c r="BR74" s="4"/>
      <c r="BS74" s="4"/>
      <c r="BT74" s="4"/>
      <c r="BU74" s="4"/>
      <c r="BV74" s="4"/>
      <c r="BW74" s="4"/>
      <c r="BX74" s="4"/>
      <c r="BY74" s="4"/>
      <c r="BZ74" s="4"/>
      <c r="CA74" s="4"/>
      <c r="CB74" s="4"/>
      <c r="CC74" s="4"/>
      <c r="CD74" s="4"/>
      <c r="CE74" s="4"/>
      <c r="CF74" s="4"/>
    </row>
    <row r="75" spans="1:84" outlineLevel="2">
      <c r="A75" s="116"/>
      <c r="B75" s="116" t="s">
        <v>976</v>
      </c>
      <c r="C75" s="116">
        <v>3</v>
      </c>
      <c r="D75" s="218" t="s">
        <v>1175</v>
      </c>
      <c r="E75" s="163"/>
      <c r="F75" s="163"/>
      <c r="G75" s="220" t="s">
        <v>1286</v>
      </c>
      <c r="H75" s="163"/>
      <c r="I75" s="163"/>
      <c r="J75" s="163"/>
      <c r="K75" s="163"/>
      <c r="L75" s="163"/>
      <c r="M75" s="164"/>
      <c r="N75" s="164"/>
      <c r="O75" s="165"/>
      <c r="P75" s="166">
        <v>0</v>
      </c>
      <c r="Q75" s="166">
        <v>0</v>
      </c>
      <c r="R75" s="167">
        <v>0</v>
      </c>
      <c r="S75" s="167">
        <v>0</v>
      </c>
      <c r="T75" s="164"/>
      <c r="U75" s="164"/>
      <c r="V75" s="168">
        <v>0</v>
      </c>
      <c r="W75" s="169">
        <v>0</v>
      </c>
      <c r="X75" s="170"/>
      <c r="Y75" s="165"/>
      <c r="Z75" s="171"/>
      <c r="AA75" s="97">
        <v>0</v>
      </c>
      <c r="AB75" s="172">
        <v>0</v>
      </c>
      <c r="AC75" s="123"/>
      <c r="AD75" s="4"/>
      <c r="AE75" s="4"/>
      <c r="AF75" s="4"/>
      <c r="AG75" s="4"/>
      <c r="AH75" s="4"/>
      <c r="AI75" s="4"/>
      <c r="AJ75" s="4"/>
      <c r="AK75" s="4"/>
      <c r="AL75" s="4"/>
      <c r="AM75" s="4"/>
      <c r="AN75" s="4"/>
      <c r="AO75" s="4"/>
      <c r="AP75" s="4"/>
      <c r="AQ75" s="4"/>
      <c r="AR75" s="4"/>
      <c r="AS75" s="4"/>
      <c r="AT75" s="4"/>
      <c r="AU75" s="4"/>
      <c r="AV75" s="4"/>
      <c r="AW75" s="4"/>
      <c r="AX75" s="4"/>
      <c r="AY75" s="4"/>
      <c r="AZ75" s="4"/>
      <c r="BA75" s="4"/>
      <c r="BB75" s="4"/>
      <c r="BC75" s="4"/>
      <c r="BD75" s="4"/>
      <c r="BE75" s="4"/>
      <c r="BF75" s="4"/>
      <c r="BG75" s="4"/>
      <c r="BH75" s="4"/>
      <c r="BI75" s="4"/>
      <c r="BJ75" s="4"/>
      <c r="BK75" s="4"/>
      <c r="BL75" s="4"/>
      <c r="BM75" s="4"/>
      <c r="BN75" s="4"/>
      <c r="BO75" s="4"/>
      <c r="BP75" s="4"/>
      <c r="BQ75" s="4"/>
      <c r="BR75" s="4"/>
      <c r="BS75" s="4"/>
      <c r="BT75" s="4"/>
      <c r="BU75" s="4"/>
      <c r="BV75" s="4"/>
      <c r="BW75" s="4"/>
      <c r="BX75" s="4"/>
      <c r="BY75" s="4"/>
      <c r="BZ75" s="4"/>
      <c r="CA75" s="4"/>
      <c r="CB75" s="4"/>
      <c r="CC75" s="4"/>
      <c r="CD75" s="4"/>
      <c r="CE75" s="4"/>
      <c r="CF75" s="4"/>
    </row>
    <row r="76" spans="1:84" outlineLevel="3">
      <c r="A76" s="116"/>
      <c r="B76" s="116"/>
      <c r="C76" s="116">
        <v>4</v>
      </c>
      <c r="D76" s="218" t="s">
        <v>1176</v>
      </c>
      <c r="E76" s="163"/>
      <c r="F76" s="163"/>
      <c r="G76" s="220"/>
      <c r="H76" s="226" t="s">
        <v>1158</v>
      </c>
      <c r="I76" s="163"/>
      <c r="J76" s="163"/>
      <c r="K76" s="163"/>
      <c r="L76" s="163"/>
      <c r="M76" s="164"/>
      <c r="N76" s="164"/>
      <c r="O76" s="165"/>
      <c r="P76" s="166">
        <v>0</v>
      </c>
      <c r="Q76" s="166">
        <v>0</v>
      </c>
      <c r="R76" s="167">
        <v>0</v>
      </c>
      <c r="S76" s="167">
        <v>0</v>
      </c>
      <c r="T76" s="164"/>
      <c r="U76" s="164"/>
      <c r="V76" s="168">
        <v>0</v>
      </c>
      <c r="W76" s="169">
        <v>0</v>
      </c>
      <c r="X76" s="170"/>
      <c r="Y76" s="223" t="s">
        <v>1133</v>
      </c>
      <c r="Z76" s="171"/>
      <c r="AA76" s="97">
        <v>0</v>
      </c>
      <c r="AB76" s="172">
        <v>0</v>
      </c>
      <c r="AC76" s="123"/>
      <c r="AD76" s="4"/>
      <c r="AE76" s="4"/>
      <c r="AF76" s="4"/>
      <c r="AG76" s="4"/>
      <c r="AH76" s="4"/>
      <c r="AI76" s="4"/>
      <c r="AJ76" s="4"/>
      <c r="AK76" s="4"/>
      <c r="AL76" s="4"/>
      <c r="AM76" s="4"/>
      <c r="AN76" s="4"/>
      <c r="AO76" s="4"/>
      <c r="AP76" s="4"/>
      <c r="AQ76" s="4"/>
      <c r="AR76" s="4"/>
      <c r="AS76" s="4"/>
      <c r="AT76" s="4"/>
      <c r="AU76" s="4"/>
      <c r="AV76" s="4"/>
      <c r="AW76" s="4"/>
      <c r="AX76" s="4"/>
      <c r="AY76" s="4"/>
      <c r="AZ76" s="4"/>
      <c r="BA76" s="4"/>
      <c r="BB76" s="4"/>
      <c r="BC76" s="4"/>
      <c r="BD76" s="4"/>
      <c r="BE76" s="4"/>
      <c r="BF76" s="4"/>
      <c r="BG76" s="4"/>
      <c r="BH76" s="4"/>
      <c r="BI76" s="4"/>
      <c r="BJ76" s="4"/>
      <c r="BK76" s="4"/>
      <c r="BL76" s="4"/>
      <c r="BM76" s="4"/>
      <c r="BN76" s="4"/>
      <c r="BO76" s="4"/>
      <c r="BP76" s="4"/>
      <c r="BQ76" s="4"/>
      <c r="BR76" s="4"/>
      <c r="BS76" s="4"/>
      <c r="BT76" s="4"/>
      <c r="BU76" s="4"/>
      <c r="BV76" s="4"/>
      <c r="BW76" s="4"/>
      <c r="BX76" s="4"/>
      <c r="BY76" s="4"/>
      <c r="BZ76" s="4"/>
      <c r="CA76" s="4"/>
      <c r="CB76" s="4"/>
      <c r="CC76" s="4"/>
      <c r="CD76" s="4"/>
      <c r="CE76" s="4"/>
      <c r="CF76" s="4"/>
    </row>
    <row r="77" spans="1:84" outlineLevel="3">
      <c r="A77" s="116"/>
      <c r="B77" s="116"/>
      <c r="C77" s="116">
        <v>4</v>
      </c>
      <c r="D77" s="218" t="s">
        <v>1177</v>
      </c>
      <c r="E77" s="163"/>
      <c r="F77" s="163"/>
      <c r="G77" s="220"/>
      <c r="H77" s="163" t="s">
        <v>1159</v>
      </c>
      <c r="I77" s="163"/>
      <c r="J77" s="163"/>
      <c r="K77" s="163"/>
      <c r="L77" s="163"/>
      <c r="M77" s="164"/>
      <c r="N77" s="164"/>
      <c r="O77" s="165"/>
      <c r="P77" s="166">
        <v>0</v>
      </c>
      <c r="Q77" s="166">
        <v>0</v>
      </c>
      <c r="R77" s="167">
        <v>0</v>
      </c>
      <c r="S77" s="167">
        <v>0</v>
      </c>
      <c r="T77" s="164"/>
      <c r="U77" s="164"/>
      <c r="V77" s="168">
        <v>0</v>
      </c>
      <c r="W77" s="169">
        <v>0</v>
      </c>
      <c r="X77" s="170"/>
      <c r="Y77" s="223" t="s">
        <v>1133</v>
      </c>
      <c r="Z77" s="171"/>
      <c r="AA77" s="97">
        <v>0</v>
      </c>
      <c r="AB77" s="172">
        <v>0</v>
      </c>
      <c r="AC77" s="123"/>
      <c r="AD77" s="4"/>
      <c r="AE77" s="4"/>
      <c r="AF77" s="4"/>
      <c r="AG77" s="4"/>
      <c r="AH77" s="4"/>
      <c r="AI77" s="4"/>
      <c r="AJ77" s="4"/>
      <c r="AK77" s="4"/>
      <c r="AL77" s="4"/>
      <c r="AM77" s="4"/>
      <c r="AN77" s="4"/>
      <c r="AO77" s="4"/>
      <c r="AP77" s="4"/>
      <c r="AQ77" s="4"/>
      <c r="AR77" s="4"/>
      <c r="AS77" s="4"/>
      <c r="AT77" s="4"/>
      <c r="AU77" s="4"/>
      <c r="AV77" s="4"/>
      <c r="AW77" s="4"/>
      <c r="AX77" s="4"/>
      <c r="AY77" s="4"/>
      <c r="AZ77" s="4"/>
      <c r="BA77" s="4"/>
      <c r="BB77" s="4"/>
      <c r="BC77" s="4"/>
      <c r="BD77" s="4"/>
      <c r="BE77" s="4"/>
      <c r="BF77" s="4"/>
      <c r="BG77" s="4"/>
      <c r="BH77" s="4"/>
      <c r="BI77" s="4"/>
      <c r="BJ77" s="4"/>
      <c r="BK77" s="4"/>
      <c r="BL77" s="4"/>
      <c r="BM77" s="4"/>
      <c r="BN77" s="4"/>
      <c r="BO77" s="4"/>
      <c r="BP77" s="4"/>
      <c r="BQ77" s="4"/>
      <c r="BR77" s="4"/>
      <c r="BS77" s="4"/>
      <c r="BT77" s="4"/>
      <c r="BU77" s="4"/>
      <c r="BV77" s="4"/>
      <c r="BW77" s="4"/>
      <c r="BX77" s="4"/>
      <c r="BY77" s="4"/>
      <c r="BZ77" s="4"/>
      <c r="CA77" s="4"/>
      <c r="CB77" s="4"/>
      <c r="CC77" s="4"/>
      <c r="CD77" s="4"/>
      <c r="CE77" s="4"/>
      <c r="CF77" s="4"/>
    </row>
    <row r="78" spans="1:84" outlineLevel="3">
      <c r="A78" s="116"/>
      <c r="B78" s="116"/>
      <c r="C78" s="116">
        <v>4</v>
      </c>
      <c r="D78" s="218" t="s">
        <v>1198</v>
      </c>
      <c r="E78" s="163"/>
      <c r="F78" s="163"/>
      <c r="G78" s="220"/>
      <c r="H78" s="163" t="s">
        <v>1224</v>
      </c>
      <c r="I78" s="163"/>
      <c r="J78" s="163"/>
      <c r="K78" s="163"/>
      <c r="L78" s="163"/>
      <c r="M78" s="164"/>
      <c r="N78" s="164"/>
      <c r="O78" s="165"/>
      <c r="P78" s="166">
        <v>0</v>
      </c>
      <c r="Q78" s="166">
        <v>0</v>
      </c>
      <c r="R78" s="167">
        <v>0</v>
      </c>
      <c r="S78" s="167">
        <v>0</v>
      </c>
      <c r="T78" s="164"/>
      <c r="U78" s="164"/>
      <c r="V78" s="168">
        <v>0</v>
      </c>
      <c r="W78" s="169">
        <v>0</v>
      </c>
      <c r="X78" s="170"/>
      <c r="Y78" s="223" t="s">
        <v>1133</v>
      </c>
      <c r="Z78" s="171"/>
      <c r="AA78" s="97">
        <v>0</v>
      </c>
      <c r="AB78" s="172">
        <v>0</v>
      </c>
      <c r="AC78" s="123"/>
      <c r="AD78" s="4"/>
      <c r="AE78" s="4"/>
      <c r="AF78" s="4"/>
      <c r="AG78" s="4"/>
      <c r="AH78" s="4"/>
      <c r="AI78" s="4"/>
      <c r="AJ78" s="4"/>
      <c r="AK78" s="4"/>
      <c r="AL78" s="4"/>
      <c r="AM78" s="4"/>
      <c r="AN78" s="4"/>
      <c r="AO78" s="4"/>
      <c r="AP78" s="4"/>
      <c r="AQ78" s="4"/>
      <c r="AR78" s="4"/>
      <c r="AS78" s="4"/>
      <c r="AT78" s="4"/>
      <c r="AU78" s="4"/>
      <c r="AV78" s="4"/>
      <c r="AW78" s="4"/>
      <c r="AX78" s="4"/>
      <c r="AY78" s="4"/>
      <c r="AZ78" s="4"/>
      <c r="BA78" s="4"/>
      <c r="BB78" s="4"/>
      <c r="BC78" s="4"/>
      <c r="BD78" s="4"/>
      <c r="BE78" s="4"/>
      <c r="BF78" s="4"/>
      <c r="BG78" s="4"/>
      <c r="BH78" s="4"/>
      <c r="BI78" s="4"/>
      <c r="BJ78" s="4"/>
      <c r="BK78" s="4"/>
      <c r="BL78" s="4"/>
      <c r="BM78" s="4"/>
      <c r="BN78" s="4"/>
      <c r="BO78" s="4"/>
      <c r="BP78" s="4"/>
      <c r="BQ78" s="4"/>
      <c r="BR78" s="4"/>
      <c r="BS78" s="4"/>
      <c r="BT78" s="4"/>
      <c r="BU78" s="4"/>
      <c r="BV78" s="4"/>
      <c r="BW78" s="4"/>
      <c r="BX78" s="4"/>
      <c r="BY78" s="4"/>
      <c r="BZ78" s="4"/>
      <c r="CA78" s="4"/>
      <c r="CB78" s="4"/>
      <c r="CC78" s="4"/>
      <c r="CD78" s="4"/>
      <c r="CE78" s="4"/>
      <c r="CF78" s="4"/>
    </row>
    <row r="79" spans="1:84" outlineLevel="2">
      <c r="A79" s="116"/>
      <c r="B79" s="116" t="s">
        <v>976</v>
      </c>
      <c r="C79" s="116">
        <v>3</v>
      </c>
      <c r="D79" s="218" t="s">
        <v>1178</v>
      </c>
      <c r="E79" s="163"/>
      <c r="F79" s="163"/>
      <c r="G79" s="220" t="s">
        <v>1287</v>
      </c>
      <c r="H79" s="163"/>
      <c r="I79" s="163"/>
      <c r="J79" s="163"/>
      <c r="K79" s="163"/>
      <c r="L79" s="163"/>
      <c r="M79" s="164"/>
      <c r="N79" s="164"/>
      <c r="O79" s="165"/>
      <c r="P79" s="166">
        <v>0</v>
      </c>
      <c r="Q79" s="166">
        <v>0</v>
      </c>
      <c r="R79" s="167">
        <v>0</v>
      </c>
      <c r="S79" s="167">
        <v>0</v>
      </c>
      <c r="T79" s="164"/>
      <c r="U79" s="164"/>
      <c r="V79" s="168">
        <v>0</v>
      </c>
      <c r="W79" s="169">
        <v>0</v>
      </c>
      <c r="X79" s="170"/>
      <c r="Y79" s="165"/>
      <c r="Z79" s="171"/>
      <c r="AA79" s="97">
        <v>0</v>
      </c>
      <c r="AB79" s="172">
        <v>0</v>
      </c>
      <c r="AC79" s="123"/>
      <c r="AD79" s="4"/>
      <c r="AE79" s="4"/>
      <c r="AF79" s="4"/>
      <c r="AG79" s="4"/>
      <c r="AH79" s="4"/>
      <c r="AI79" s="4"/>
      <c r="AJ79" s="4"/>
      <c r="AK79" s="4"/>
      <c r="AL79" s="4"/>
      <c r="AM79" s="4"/>
      <c r="AN79" s="4"/>
      <c r="AO79" s="4"/>
      <c r="AP79" s="4"/>
      <c r="AQ79" s="4"/>
      <c r="AR79" s="4"/>
      <c r="AS79" s="4"/>
      <c r="AT79" s="4"/>
      <c r="AU79" s="4"/>
      <c r="AV79" s="4"/>
      <c r="AW79" s="4"/>
      <c r="AX79" s="4"/>
      <c r="AY79" s="4"/>
      <c r="AZ79" s="4"/>
      <c r="BA79" s="4"/>
      <c r="BB79" s="4"/>
      <c r="BC79" s="4"/>
      <c r="BD79" s="4"/>
      <c r="BE79" s="4"/>
      <c r="BF79" s="4"/>
      <c r="BG79" s="4"/>
      <c r="BH79" s="4"/>
      <c r="BI79" s="4"/>
      <c r="BJ79" s="4"/>
      <c r="BK79" s="4"/>
      <c r="BL79" s="4"/>
      <c r="BM79" s="4"/>
      <c r="BN79" s="4"/>
      <c r="BO79" s="4"/>
      <c r="BP79" s="4"/>
      <c r="BQ79" s="4"/>
      <c r="BR79" s="4"/>
      <c r="BS79" s="4"/>
      <c r="BT79" s="4"/>
      <c r="BU79" s="4"/>
      <c r="BV79" s="4"/>
      <c r="BW79" s="4"/>
      <c r="BX79" s="4"/>
      <c r="BY79" s="4"/>
      <c r="BZ79" s="4"/>
      <c r="CA79" s="4"/>
      <c r="CB79" s="4"/>
      <c r="CC79" s="4"/>
      <c r="CD79" s="4"/>
      <c r="CE79" s="4"/>
      <c r="CF79" s="4"/>
    </row>
    <row r="80" spans="1:84" outlineLevel="3">
      <c r="A80" s="116"/>
      <c r="B80" s="116"/>
      <c r="C80" s="116">
        <v>4</v>
      </c>
      <c r="D80" s="218" t="s">
        <v>1179</v>
      </c>
      <c r="E80" s="163"/>
      <c r="F80" s="163"/>
      <c r="G80" s="220"/>
      <c r="H80" s="163" t="s">
        <v>1156</v>
      </c>
      <c r="I80" s="163"/>
      <c r="J80" s="163"/>
      <c r="K80" s="163"/>
      <c r="L80" s="163"/>
      <c r="M80" s="164"/>
      <c r="N80" s="164"/>
      <c r="O80" s="165"/>
      <c r="P80" s="166">
        <v>0</v>
      </c>
      <c r="Q80" s="166">
        <v>0</v>
      </c>
      <c r="R80" s="167">
        <v>0</v>
      </c>
      <c r="S80" s="167">
        <v>0</v>
      </c>
      <c r="T80" s="164"/>
      <c r="U80" s="164"/>
      <c r="V80" s="168">
        <v>0</v>
      </c>
      <c r="W80" s="169">
        <v>0</v>
      </c>
      <c r="X80" s="170"/>
      <c r="Y80" s="223" t="s">
        <v>1131</v>
      </c>
      <c r="Z80" s="171"/>
      <c r="AA80" s="97">
        <v>0</v>
      </c>
      <c r="AB80" s="172">
        <v>0</v>
      </c>
      <c r="AC80" s="123"/>
      <c r="AD80" s="4"/>
      <c r="AE80" s="4"/>
      <c r="AF80" s="4"/>
      <c r="AG80" s="4"/>
      <c r="AH80" s="4"/>
      <c r="AI80" s="4"/>
      <c r="AJ80" s="4"/>
      <c r="AK80" s="4"/>
      <c r="AL80" s="4"/>
      <c r="AM80" s="4"/>
      <c r="AN80" s="4"/>
      <c r="AO80" s="4"/>
      <c r="AP80" s="4"/>
      <c r="AQ80" s="4"/>
      <c r="AR80" s="4"/>
      <c r="AS80" s="4"/>
      <c r="AT80" s="4"/>
      <c r="AU80" s="4"/>
      <c r="AV80" s="4"/>
      <c r="AW80" s="4"/>
      <c r="AX80" s="4"/>
      <c r="AY80" s="4"/>
      <c r="AZ80" s="4"/>
      <c r="BA80" s="4"/>
      <c r="BB80" s="4"/>
      <c r="BC80" s="4"/>
      <c r="BD80" s="4"/>
      <c r="BE80" s="4"/>
      <c r="BF80" s="4"/>
      <c r="BG80" s="4"/>
      <c r="BH80" s="4"/>
      <c r="BI80" s="4"/>
      <c r="BJ80" s="4"/>
      <c r="BK80" s="4"/>
      <c r="BL80" s="4"/>
      <c r="BM80" s="4"/>
      <c r="BN80" s="4"/>
      <c r="BO80" s="4"/>
      <c r="BP80" s="4"/>
      <c r="BQ80" s="4"/>
      <c r="BR80" s="4"/>
      <c r="BS80" s="4"/>
      <c r="BT80" s="4"/>
      <c r="BU80" s="4"/>
      <c r="BV80" s="4"/>
      <c r="BW80" s="4"/>
      <c r="BX80" s="4"/>
      <c r="BY80" s="4"/>
      <c r="BZ80" s="4"/>
      <c r="CA80" s="4"/>
      <c r="CB80" s="4"/>
      <c r="CC80" s="4"/>
      <c r="CD80" s="4"/>
      <c r="CE80" s="4"/>
      <c r="CF80" s="4"/>
    </row>
    <row r="81" spans="1:84" outlineLevel="3">
      <c r="A81" s="116"/>
      <c r="B81" s="116"/>
      <c r="C81" s="116">
        <v>4</v>
      </c>
      <c r="D81" s="218" t="s">
        <v>1185</v>
      </c>
      <c r="E81" s="163"/>
      <c r="F81" s="163"/>
      <c r="G81" s="220"/>
      <c r="H81" s="163" t="s">
        <v>1225</v>
      </c>
      <c r="I81" s="163"/>
      <c r="J81" s="163"/>
      <c r="K81" s="163"/>
      <c r="L81" s="163"/>
      <c r="M81" s="164"/>
      <c r="N81" s="164"/>
      <c r="O81" s="165"/>
      <c r="P81" s="166">
        <v>0</v>
      </c>
      <c r="Q81" s="166">
        <v>0</v>
      </c>
      <c r="R81" s="167">
        <v>0</v>
      </c>
      <c r="S81" s="167">
        <v>0</v>
      </c>
      <c r="T81" s="164"/>
      <c r="U81" s="164"/>
      <c r="V81" s="168">
        <v>0</v>
      </c>
      <c r="W81" s="169">
        <v>0</v>
      </c>
      <c r="X81" s="170"/>
      <c r="Y81" s="223" t="s">
        <v>1131</v>
      </c>
      <c r="Z81" s="171"/>
      <c r="AA81" s="97">
        <v>0</v>
      </c>
      <c r="AB81" s="172">
        <v>0</v>
      </c>
      <c r="AC81" s="123"/>
      <c r="AD81" s="4"/>
      <c r="AE81" s="4"/>
      <c r="AF81" s="4"/>
      <c r="AG81" s="4"/>
      <c r="AH81" s="4"/>
      <c r="AI81" s="4"/>
      <c r="AJ81" s="4"/>
      <c r="AK81" s="4"/>
      <c r="AL81" s="4"/>
      <c r="AM81" s="4"/>
      <c r="AN81" s="4"/>
      <c r="AO81" s="4"/>
      <c r="AP81" s="4"/>
      <c r="AQ81" s="4"/>
      <c r="AR81" s="4"/>
      <c r="AS81" s="4"/>
      <c r="AT81" s="4"/>
      <c r="AU81" s="4"/>
      <c r="AV81" s="4"/>
      <c r="AW81" s="4"/>
      <c r="AX81" s="4"/>
      <c r="AY81" s="4"/>
      <c r="AZ81" s="4"/>
      <c r="BA81" s="4"/>
      <c r="BB81" s="4"/>
      <c r="BC81" s="4"/>
      <c r="BD81" s="4"/>
      <c r="BE81" s="4"/>
      <c r="BF81" s="4"/>
      <c r="BG81" s="4"/>
      <c r="BH81" s="4"/>
      <c r="BI81" s="4"/>
      <c r="BJ81" s="4"/>
      <c r="BK81" s="4"/>
      <c r="BL81" s="4"/>
      <c r="BM81" s="4"/>
      <c r="BN81" s="4"/>
      <c r="BO81" s="4"/>
      <c r="BP81" s="4"/>
      <c r="BQ81" s="4"/>
      <c r="BR81" s="4"/>
      <c r="BS81" s="4"/>
      <c r="BT81" s="4"/>
      <c r="BU81" s="4"/>
      <c r="BV81" s="4"/>
      <c r="BW81" s="4"/>
      <c r="BX81" s="4"/>
      <c r="BY81" s="4"/>
      <c r="BZ81" s="4"/>
      <c r="CA81" s="4"/>
      <c r="CB81" s="4"/>
      <c r="CC81" s="4"/>
      <c r="CD81" s="4"/>
      <c r="CE81" s="4"/>
      <c r="CF81" s="4"/>
    </row>
    <row r="82" spans="1:84" outlineLevel="3">
      <c r="A82" s="116"/>
      <c r="B82" s="116"/>
      <c r="C82" s="116">
        <v>4</v>
      </c>
      <c r="D82" s="218" t="s">
        <v>1243</v>
      </c>
      <c r="E82" s="163"/>
      <c r="F82" s="163"/>
      <c r="G82" s="220"/>
      <c r="H82" s="163" t="s">
        <v>1196</v>
      </c>
      <c r="I82" s="163"/>
      <c r="J82" s="163"/>
      <c r="K82" s="163"/>
      <c r="L82" s="163"/>
      <c r="M82" s="164"/>
      <c r="N82" s="164"/>
      <c r="O82" s="165"/>
      <c r="P82" s="166">
        <v>0</v>
      </c>
      <c r="Q82" s="166">
        <v>0</v>
      </c>
      <c r="R82" s="167">
        <v>0</v>
      </c>
      <c r="S82" s="167">
        <v>0</v>
      </c>
      <c r="T82" s="164"/>
      <c r="U82" s="164"/>
      <c r="V82" s="168">
        <v>0</v>
      </c>
      <c r="W82" s="169">
        <v>0</v>
      </c>
      <c r="X82" s="170"/>
      <c r="Y82" s="223" t="s">
        <v>1131</v>
      </c>
      <c r="Z82" s="171"/>
      <c r="AA82" s="97">
        <v>0</v>
      </c>
      <c r="AB82" s="172">
        <v>0</v>
      </c>
      <c r="AC82" s="123"/>
      <c r="AD82" s="4"/>
      <c r="AE82" s="4"/>
      <c r="AF82" s="4"/>
      <c r="AG82" s="4"/>
      <c r="AH82" s="4"/>
      <c r="AI82" s="4"/>
      <c r="AJ82" s="4"/>
      <c r="AK82" s="4"/>
      <c r="AL82" s="4"/>
      <c r="AM82" s="4"/>
      <c r="AN82" s="4"/>
      <c r="AO82" s="4"/>
      <c r="AP82" s="4"/>
      <c r="AQ82" s="4"/>
      <c r="AR82" s="4"/>
      <c r="AS82" s="4"/>
      <c r="AT82" s="4"/>
      <c r="AU82" s="4"/>
      <c r="AV82" s="4"/>
      <c r="AW82" s="4"/>
      <c r="AX82" s="4"/>
      <c r="AY82" s="4"/>
      <c r="AZ82" s="4"/>
      <c r="BA82" s="4"/>
      <c r="BB82" s="4"/>
      <c r="BC82" s="4"/>
      <c r="BD82" s="4"/>
      <c r="BE82" s="4"/>
      <c r="BF82" s="4"/>
      <c r="BG82" s="4"/>
      <c r="BH82" s="4"/>
      <c r="BI82" s="4"/>
      <c r="BJ82" s="4"/>
      <c r="BK82" s="4"/>
      <c r="BL82" s="4"/>
      <c r="BM82" s="4"/>
      <c r="BN82" s="4"/>
      <c r="BO82" s="4"/>
      <c r="BP82" s="4"/>
      <c r="BQ82" s="4"/>
      <c r="BR82" s="4"/>
      <c r="BS82" s="4"/>
      <c r="BT82" s="4"/>
      <c r="BU82" s="4"/>
      <c r="BV82" s="4"/>
      <c r="BW82" s="4"/>
      <c r="BX82" s="4"/>
      <c r="BY82" s="4"/>
      <c r="BZ82" s="4"/>
      <c r="CA82" s="4"/>
      <c r="CB82" s="4"/>
      <c r="CC82" s="4"/>
      <c r="CD82" s="4"/>
      <c r="CE82" s="4"/>
      <c r="CF82" s="4"/>
    </row>
    <row r="83" spans="1:84" outlineLevel="3">
      <c r="A83" s="116"/>
      <c r="B83" s="116"/>
      <c r="C83" s="116">
        <v>4</v>
      </c>
      <c r="D83" s="218" t="s">
        <v>1244</v>
      </c>
      <c r="E83" s="163"/>
      <c r="F83" s="163"/>
      <c r="G83" s="220"/>
      <c r="H83" s="226" t="s">
        <v>1190</v>
      </c>
      <c r="I83" s="163"/>
      <c r="J83" s="163"/>
      <c r="K83" s="163"/>
      <c r="L83" s="163"/>
      <c r="M83" s="164"/>
      <c r="N83" s="164"/>
      <c r="O83" s="165"/>
      <c r="P83" s="166">
        <v>0</v>
      </c>
      <c r="Q83" s="166">
        <v>0</v>
      </c>
      <c r="R83" s="167">
        <v>0</v>
      </c>
      <c r="S83" s="167">
        <v>0</v>
      </c>
      <c r="T83" s="164"/>
      <c r="U83" s="164"/>
      <c r="V83" s="168">
        <v>0</v>
      </c>
      <c r="W83" s="169">
        <v>0</v>
      </c>
      <c r="X83" s="170"/>
      <c r="Y83" s="223" t="s">
        <v>1131</v>
      </c>
      <c r="Z83" s="171"/>
      <c r="AA83" s="97">
        <v>0</v>
      </c>
      <c r="AB83" s="172">
        <v>0</v>
      </c>
      <c r="AC83" s="123"/>
      <c r="AD83" s="4"/>
      <c r="AE83" s="4"/>
      <c r="AF83" s="4"/>
      <c r="AG83" s="4"/>
      <c r="AH83" s="4"/>
      <c r="AI83" s="4"/>
      <c r="AJ83" s="4"/>
      <c r="AK83" s="4"/>
      <c r="AL83" s="4"/>
      <c r="AM83" s="4"/>
      <c r="AN83" s="4"/>
      <c r="AO83" s="4"/>
      <c r="AP83" s="4"/>
      <c r="AQ83" s="4"/>
      <c r="AR83" s="4"/>
      <c r="AS83" s="4"/>
      <c r="AT83" s="4"/>
      <c r="AU83" s="4"/>
      <c r="AV83" s="4"/>
      <c r="AW83" s="4"/>
      <c r="AX83" s="4"/>
      <c r="AY83" s="4"/>
      <c r="AZ83" s="4"/>
      <c r="BA83" s="4"/>
      <c r="BB83" s="4"/>
      <c r="BC83" s="4"/>
      <c r="BD83" s="4"/>
      <c r="BE83" s="4"/>
      <c r="BF83" s="4"/>
      <c r="BG83" s="4"/>
      <c r="BH83" s="4"/>
      <c r="BI83" s="4"/>
      <c r="BJ83" s="4"/>
      <c r="BK83" s="4"/>
      <c r="BL83" s="4"/>
      <c r="BM83" s="4"/>
      <c r="BN83" s="4"/>
      <c r="BO83" s="4"/>
      <c r="BP83" s="4"/>
      <c r="BQ83" s="4"/>
      <c r="BR83" s="4"/>
      <c r="BS83" s="4"/>
      <c r="BT83" s="4"/>
      <c r="BU83" s="4"/>
      <c r="BV83" s="4"/>
      <c r="BW83" s="4"/>
      <c r="BX83" s="4"/>
      <c r="BY83" s="4"/>
      <c r="BZ83" s="4"/>
      <c r="CA83" s="4"/>
      <c r="CB83" s="4"/>
      <c r="CC83" s="4"/>
      <c r="CD83" s="4"/>
      <c r="CE83" s="4"/>
      <c r="CF83" s="4"/>
    </row>
    <row r="84" spans="1:84" outlineLevel="3">
      <c r="A84" s="116"/>
      <c r="B84" s="116"/>
      <c r="C84" s="116">
        <v>4</v>
      </c>
      <c r="D84" s="218" t="s">
        <v>1245</v>
      </c>
      <c r="E84" s="163"/>
      <c r="F84" s="163"/>
      <c r="G84" s="220"/>
      <c r="H84" s="163" t="s">
        <v>1197</v>
      </c>
      <c r="I84" s="163"/>
      <c r="J84" s="163"/>
      <c r="K84" s="163"/>
      <c r="L84" s="163"/>
      <c r="M84" s="164"/>
      <c r="N84" s="164"/>
      <c r="O84" s="165"/>
      <c r="P84" s="166">
        <v>0</v>
      </c>
      <c r="Q84" s="166">
        <v>0</v>
      </c>
      <c r="R84" s="167">
        <v>0</v>
      </c>
      <c r="S84" s="167">
        <v>0</v>
      </c>
      <c r="T84" s="164"/>
      <c r="U84" s="164"/>
      <c r="V84" s="168">
        <v>0</v>
      </c>
      <c r="W84" s="169">
        <v>0</v>
      </c>
      <c r="X84" s="170"/>
      <c r="Y84" s="223" t="s">
        <v>1131</v>
      </c>
      <c r="Z84" s="171"/>
      <c r="AA84" s="97">
        <v>0</v>
      </c>
      <c r="AB84" s="172">
        <v>0</v>
      </c>
      <c r="AC84" s="123"/>
      <c r="AD84" s="4"/>
      <c r="AE84" s="4"/>
      <c r="AF84" s="4"/>
      <c r="AG84" s="4"/>
      <c r="AH84" s="4"/>
      <c r="AI84" s="4"/>
      <c r="AJ84" s="4"/>
      <c r="AK84" s="4"/>
      <c r="AL84" s="4"/>
      <c r="AM84" s="4"/>
      <c r="AN84" s="4"/>
      <c r="AO84" s="4"/>
      <c r="AP84" s="4"/>
      <c r="AQ84" s="4"/>
      <c r="AR84" s="4"/>
      <c r="AS84" s="4"/>
      <c r="AT84" s="4"/>
      <c r="AU84" s="4"/>
      <c r="AV84" s="4"/>
      <c r="AW84" s="4"/>
      <c r="AX84" s="4"/>
      <c r="AY84" s="4"/>
      <c r="AZ84" s="4"/>
      <c r="BA84" s="4"/>
      <c r="BB84" s="4"/>
      <c r="BC84" s="4"/>
      <c r="BD84" s="4"/>
      <c r="BE84" s="4"/>
      <c r="BF84" s="4"/>
      <c r="BG84" s="4"/>
      <c r="BH84" s="4"/>
      <c r="BI84" s="4"/>
      <c r="BJ84" s="4"/>
      <c r="BK84" s="4"/>
      <c r="BL84" s="4"/>
      <c r="BM84" s="4"/>
      <c r="BN84" s="4"/>
      <c r="BO84" s="4"/>
      <c r="BP84" s="4"/>
      <c r="BQ84" s="4"/>
      <c r="BR84" s="4"/>
      <c r="BS84" s="4"/>
      <c r="BT84" s="4"/>
      <c r="BU84" s="4"/>
      <c r="BV84" s="4"/>
      <c r="BW84" s="4"/>
      <c r="BX84" s="4"/>
      <c r="BY84" s="4"/>
      <c r="BZ84" s="4"/>
      <c r="CA84" s="4"/>
      <c r="CB84" s="4"/>
      <c r="CC84" s="4"/>
      <c r="CD84" s="4"/>
      <c r="CE84" s="4"/>
      <c r="CF84" s="4"/>
    </row>
    <row r="85" spans="1:84" outlineLevel="3">
      <c r="A85" s="116"/>
      <c r="B85" s="116"/>
      <c r="C85" s="116">
        <v>4</v>
      </c>
      <c r="D85" s="218" t="s">
        <v>1246</v>
      </c>
      <c r="E85" s="163"/>
      <c r="F85" s="163"/>
      <c r="G85" s="220"/>
      <c r="H85" s="163" t="s">
        <v>1226</v>
      </c>
      <c r="I85" s="163"/>
      <c r="J85" s="163"/>
      <c r="K85" s="163"/>
      <c r="L85" s="163"/>
      <c r="M85" s="164"/>
      <c r="N85" s="164"/>
      <c r="O85" s="165"/>
      <c r="P85" s="166">
        <v>0</v>
      </c>
      <c r="Q85" s="166">
        <v>0</v>
      </c>
      <c r="R85" s="167">
        <v>0</v>
      </c>
      <c r="S85" s="167">
        <v>0</v>
      </c>
      <c r="T85" s="164"/>
      <c r="U85" s="164"/>
      <c r="V85" s="168">
        <v>0</v>
      </c>
      <c r="W85" s="169">
        <v>0</v>
      </c>
      <c r="X85" s="170"/>
      <c r="Y85" s="223" t="s">
        <v>1133</v>
      </c>
      <c r="Z85" s="171"/>
      <c r="AA85" s="97">
        <v>0</v>
      </c>
      <c r="AB85" s="172">
        <v>0</v>
      </c>
      <c r="AC85" s="123"/>
      <c r="AD85" s="4"/>
      <c r="AE85" s="4"/>
      <c r="AF85" s="4"/>
      <c r="AG85" s="4"/>
      <c r="AH85" s="4"/>
      <c r="AI85" s="4"/>
      <c r="AJ85" s="4"/>
      <c r="AK85" s="4"/>
      <c r="AL85" s="4"/>
      <c r="AM85" s="4"/>
      <c r="AN85" s="4"/>
      <c r="AO85" s="4"/>
      <c r="AP85" s="4"/>
      <c r="AQ85" s="4"/>
      <c r="AR85" s="4"/>
      <c r="AS85" s="4"/>
      <c r="AT85" s="4"/>
      <c r="AU85" s="4"/>
      <c r="AV85" s="4"/>
      <c r="AW85" s="4"/>
      <c r="AX85" s="4"/>
      <c r="AY85" s="4"/>
      <c r="AZ85" s="4"/>
      <c r="BA85" s="4"/>
      <c r="BB85" s="4"/>
      <c r="BC85" s="4"/>
      <c r="BD85" s="4"/>
      <c r="BE85" s="4"/>
      <c r="BF85" s="4"/>
      <c r="BG85" s="4"/>
      <c r="BH85" s="4"/>
      <c r="BI85" s="4"/>
      <c r="BJ85" s="4"/>
      <c r="BK85" s="4"/>
      <c r="BL85" s="4"/>
      <c r="BM85" s="4"/>
      <c r="BN85" s="4"/>
      <c r="BO85" s="4"/>
      <c r="BP85" s="4"/>
      <c r="BQ85" s="4"/>
      <c r="BR85" s="4"/>
      <c r="BS85" s="4"/>
      <c r="BT85" s="4"/>
      <c r="BU85" s="4"/>
      <c r="BV85" s="4"/>
      <c r="BW85" s="4"/>
      <c r="BX85" s="4"/>
      <c r="BY85" s="4"/>
      <c r="BZ85" s="4"/>
      <c r="CA85" s="4"/>
      <c r="CB85" s="4"/>
      <c r="CC85" s="4"/>
      <c r="CD85" s="4"/>
      <c r="CE85" s="4"/>
      <c r="CF85" s="4"/>
    </row>
    <row r="86" spans="1:84" outlineLevel="2">
      <c r="A86" s="116"/>
      <c r="B86" s="116" t="s">
        <v>976</v>
      </c>
      <c r="C86" s="116">
        <v>3</v>
      </c>
      <c r="D86" s="218" t="s">
        <v>1180</v>
      </c>
      <c r="E86" s="163"/>
      <c r="F86" s="163"/>
      <c r="G86" s="259" t="s">
        <v>1192</v>
      </c>
      <c r="H86" s="163"/>
      <c r="I86" s="163"/>
      <c r="J86" s="163"/>
      <c r="K86" s="163"/>
      <c r="L86" s="163"/>
      <c r="M86" s="164"/>
      <c r="N86" s="164"/>
      <c r="O86" s="165"/>
      <c r="P86" s="166">
        <v>0</v>
      </c>
      <c r="Q86" s="166">
        <v>0</v>
      </c>
      <c r="R86" s="167">
        <v>0</v>
      </c>
      <c r="S86" s="167">
        <v>0</v>
      </c>
      <c r="T86" s="164"/>
      <c r="U86" s="164"/>
      <c r="V86" s="168">
        <v>0</v>
      </c>
      <c r="W86" s="169">
        <v>0</v>
      </c>
      <c r="X86" s="170"/>
      <c r="Y86" s="165"/>
      <c r="Z86" s="171"/>
      <c r="AA86" s="97">
        <v>0</v>
      </c>
      <c r="AB86" s="172">
        <v>0</v>
      </c>
      <c r="AC86" s="123"/>
      <c r="AD86" s="4"/>
      <c r="AE86" s="4"/>
      <c r="AF86" s="4"/>
      <c r="AG86" s="4"/>
      <c r="AH86" s="4"/>
      <c r="AI86" s="4"/>
      <c r="AJ86" s="4"/>
      <c r="AK86" s="4"/>
      <c r="AL86" s="4"/>
      <c r="AM86" s="4"/>
      <c r="AN86" s="4"/>
      <c r="AO86" s="4"/>
      <c r="AP86" s="4"/>
      <c r="AQ86" s="4"/>
      <c r="AR86" s="4"/>
      <c r="AS86" s="4"/>
      <c r="AT86" s="4"/>
      <c r="AU86" s="4"/>
      <c r="AV86" s="4"/>
      <c r="AW86" s="4"/>
      <c r="AX86" s="4"/>
      <c r="AY86" s="4"/>
      <c r="AZ86" s="4"/>
      <c r="BA86" s="4"/>
      <c r="BB86" s="4"/>
      <c r="BC86" s="4"/>
      <c r="BD86" s="4"/>
      <c r="BE86" s="4"/>
      <c r="BF86" s="4"/>
      <c r="BG86" s="4"/>
      <c r="BH86" s="4"/>
      <c r="BI86" s="4"/>
      <c r="BJ86" s="4"/>
      <c r="BK86" s="4"/>
      <c r="BL86" s="4"/>
      <c r="BM86" s="4"/>
      <c r="BN86" s="4"/>
      <c r="BO86" s="4"/>
      <c r="BP86" s="4"/>
      <c r="BQ86" s="4"/>
      <c r="BR86" s="4"/>
      <c r="BS86" s="4"/>
      <c r="BT86" s="4"/>
      <c r="BU86" s="4"/>
      <c r="BV86" s="4"/>
      <c r="BW86" s="4"/>
      <c r="BX86" s="4"/>
      <c r="BY86" s="4"/>
      <c r="BZ86" s="4"/>
      <c r="CA86" s="4"/>
      <c r="CB86" s="4"/>
      <c r="CC86" s="4"/>
      <c r="CD86" s="4"/>
      <c r="CE86" s="4"/>
      <c r="CF86" s="4"/>
    </row>
    <row r="87" spans="1:84" outlineLevel="3">
      <c r="A87" s="116"/>
      <c r="B87" s="116"/>
      <c r="C87" s="116">
        <v>4</v>
      </c>
      <c r="D87" s="218" t="s">
        <v>1186</v>
      </c>
      <c r="E87" s="163"/>
      <c r="F87" s="163"/>
      <c r="G87" s="259"/>
      <c r="H87" s="226" t="s">
        <v>1193</v>
      </c>
      <c r="I87" s="163"/>
      <c r="J87" s="163"/>
      <c r="K87" s="163"/>
      <c r="L87" s="163"/>
      <c r="M87" s="164"/>
      <c r="N87" s="164"/>
      <c r="O87" s="165"/>
      <c r="P87" s="166">
        <v>0</v>
      </c>
      <c r="Q87" s="166">
        <v>0</v>
      </c>
      <c r="R87" s="167">
        <v>0</v>
      </c>
      <c r="S87" s="167">
        <v>0</v>
      </c>
      <c r="T87" s="164"/>
      <c r="U87" s="164"/>
      <c r="V87" s="168">
        <v>0</v>
      </c>
      <c r="W87" s="169">
        <v>0</v>
      </c>
      <c r="X87" s="170"/>
      <c r="Y87" s="165" t="s">
        <v>1210</v>
      </c>
      <c r="Z87" s="171"/>
      <c r="AA87" s="97">
        <v>0</v>
      </c>
      <c r="AB87" s="172">
        <v>0</v>
      </c>
      <c r="AC87" s="123"/>
      <c r="AD87" s="4"/>
      <c r="AE87" s="4"/>
      <c r="AF87" s="4"/>
      <c r="AG87" s="4"/>
      <c r="AH87" s="4"/>
      <c r="AI87" s="4"/>
      <c r="AJ87" s="4"/>
      <c r="AK87" s="4"/>
      <c r="AL87" s="4"/>
      <c r="AM87" s="4"/>
      <c r="AN87" s="4"/>
      <c r="AO87" s="4"/>
      <c r="AP87" s="4"/>
      <c r="AQ87" s="4"/>
      <c r="AR87" s="4"/>
      <c r="AS87" s="4"/>
      <c r="AT87" s="4"/>
      <c r="AU87" s="4"/>
      <c r="AV87" s="4"/>
      <c r="AW87" s="4"/>
      <c r="AX87" s="4"/>
      <c r="AY87" s="4"/>
      <c r="AZ87" s="4"/>
      <c r="BA87" s="4"/>
      <c r="BB87" s="4"/>
      <c r="BC87" s="4"/>
      <c r="BD87" s="4"/>
      <c r="BE87" s="4"/>
      <c r="BF87" s="4"/>
      <c r="BG87" s="4"/>
      <c r="BH87" s="4"/>
      <c r="BI87" s="4"/>
      <c r="BJ87" s="4"/>
      <c r="BK87" s="4"/>
      <c r="BL87" s="4"/>
      <c r="BM87" s="4"/>
      <c r="BN87" s="4"/>
      <c r="BO87" s="4"/>
      <c r="BP87" s="4"/>
      <c r="BQ87" s="4"/>
      <c r="BR87" s="4"/>
      <c r="BS87" s="4"/>
      <c r="BT87" s="4"/>
      <c r="BU87" s="4"/>
      <c r="BV87" s="4"/>
      <c r="BW87" s="4"/>
      <c r="BX87" s="4"/>
      <c r="BY87" s="4"/>
      <c r="BZ87" s="4"/>
      <c r="CA87" s="4"/>
      <c r="CB87" s="4"/>
      <c r="CC87" s="4"/>
      <c r="CD87" s="4"/>
      <c r="CE87" s="4"/>
      <c r="CF87" s="4"/>
    </row>
    <row r="88" spans="1:84" outlineLevel="3">
      <c r="A88" s="116"/>
      <c r="B88" s="116"/>
      <c r="C88" s="116">
        <v>4</v>
      </c>
      <c r="D88" s="218" t="s">
        <v>1199</v>
      </c>
      <c r="E88" s="163"/>
      <c r="F88" s="163"/>
      <c r="G88" s="259"/>
      <c r="H88" s="163" t="s">
        <v>1247</v>
      </c>
      <c r="I88" s="163"/>
      <c r="J88" s="163"/>
      <c r="K88" s="163"/>
      <c r="L88" s="163"/>
      <c r="M88" s="164"/>
      <c r="N88" s="164"/>
      <c r="O88" s="165"/>
      <c r="P88" s="166">
        <v>0</v>
      </c>
      <c r="Q88" s="166">
        <v>0</v>
      </c>
      <c r="R88" s="167">
        <v>0</v>
      </c>
      <c r="S88" s="167">
        <v>0</v>
      </c>
      <c r="T88" s="164"/>
      <c r="U88" s="164"/>
      <c r="V88" s="168">
        <v>0</v>
      </c>
      <c r="W88" s="169">
        <v>0</v>
      </c>
      <c r="X88" s="170"/>
      <c r="Y88" s="165" t="s">
        <v>1210</v>
      </c>
      <c r="Z88" s="171"/>
      <c r="AA88" s="97">
        <v>0</v>
      </c>
      <c r="AB88" s="172">
        <v>0</v>
      </c>
      <c r="AC88" s="123"/>
      <c r="AD88" s="4"/>
      <c r="AE88" s="4"/>
      <c r="AF88" s="4"/>
      <c r="AG88" s="4"/>
      <c r="AH88" s="4"/>
      <c r="AI88" s="4"/>
      <c r="AJ88" s="4"/>
      <c r="AK88" s="4"/>
      <c r="AL88" s="4"/>
      <c r="AM88" s="4"/>
      <c r="AN88" s="4"/>
      <c r="AO88" s="4"/>
      <c r="AP88" s="4"/>
      <c r="AQ88" s="4"/>
      <c r="AR88" s="4"/>
      <c r="AS88" s="4"/>
      <c r="AT88" s="4"/>
      <c r="AU88" s="4"/>
      <c r="AV88" s="4"/>
      <c r="AW88" s="4"/>
      <c r="AX88" s="4"/>
      <c r="AY88" s="4"/>
      <c r="AZ88" s="4"/>
      <c r="BA88" s="4"/>
      <c r="BB88" s="4"/>
      <c r="BC88" s="4"/>
      <c r="BD88" s="4"/>
      <c r="BE88" s="4"/>
      <c r="BF88" s="4"/>
      <c r="BG88" s="4"/>
      <c r="BH88" s="4"/>
      <c r="BI88" s="4"/>
      <c r="BJ88" s="4"/>
      <c r="BK88" s="4"/>
      <c r="BL88" s="4"/>
      <c r="BM88" s="4"/>
      <c r="BN88" s="4"/>
      <c r="BO88" s="4"/>
      <c r="BP88" s="4"/>
      <c r="BQ88" s="4"/>
      <c r="BR88" s="4"/>
      <c r="BS88" s="4"/>
      <c r="BT88" s="4"/>
      <c r="BU88" s="4"/>
      <c r="BV88" s="4"/>
      <c r="BW88" s="4"/>
      <c r="BX88" s="4"/>
      <c r="BY88" s="4"/>
      <c r="BZ88" s="4"/>
      <c r="CA88" s="4"/>
      <c r="CB88" s="4"/>
      <c r="CC88" s="4"/>
      <c r="CD88" s="4"/>
      <c r="CE88" s="4"/>
      <c r="CF88" s="4"/>
    </row>
    <row r="89" spans="1:84" outlineLevel="2">
      <c r="A89" s="116"/>
      <c r="B89" s="116" t="s">
        <v>976</v>
      </c>
      <c r="C89" s="116">
        <v>3</v>
      </c>
      <c r="D89" s="218" t="s">
        <v>1187</v>
      </c>
      <c r="E89" s="163"/>
      <c r="F89" s="163"/>
      <c r="G89" s="259" t="s">
        <v>1191</v>
      </c>
      <c r="H89" s="163"/>
      <c r="I89" s="163"/>
      <c r="J89" s="163"/>
      <c r="K89" s="163"/>
      <c r="L89" s="163"/>
      <c r="M89" s="164"/>
      <c r="N89" s="164"/>
      <c r="O89" s="165"/>
      <c r="P89" s="166">
        <v>0</v>
      </c>
      <c r="Q89" s="166">
        <v>0</v>
      </c>
      <c r="R89" s="167">
        <v>0</v>
      </c>
      <c r="S89" s="167">
        <v>0</v>
      </c>
      <c r="T89" s="164"/>
      <c r="U89" s="164"/>
      <c r="V89" s="168">
        <v>0</v>
      </c>
      <c r="W89" s="169">
        <v>0</v>
      </c>
      <c r="X89" s="170"/>
      <c r="Y89" s="165"/>
      <c r="Z89" s="171"/>
      <c r="AA89" s="97">
        <v>0</v>
      </c>
      <c r="AB89" s="172">
        <v>0</v>
      </c>
      <c r="AC89" s="123"/>
      <c r="AD89" s="4"/>
      <c r="AE89" s="4"/>
      <c r="AF89" s="4"/>
      <c r="AG89" s="4"/>
      <c r="AH89" s="4"/>
      <c r="AI89" s="4"/>
      <c r="AJ89" s="4"/>
      <c r="AK89" s="4"/>
      <c r="AL89" s="4"/>
      <c r="AM89" s="4"/>
      <c r="AN89" s="4"/>
      <c r="AO89" s="4"/>
      <c r="AP89" s="4"/>
      <c r="AQ89" s="4"/>
      <c r="AR89" s="4"/>
      <c r="AS89" s="4"/>
      <c r="AT89" s="4"/>
      <c r="AU89" s="4"/>
      <c r="AV89" s="4"/>
      <c r="AW89" s="4"/>
      <c r="AX89" s="4"/>
      <c r="AY89" s="4"/>
      <c r="AZ89" s="4"/>
      <c r="BA89" s="4"/>
      <c r="BB89" s="4"/>
      <c r="BC89" s="4"/>
      <c r="BD89" s="4"/>
      <c r="BE89" s="4"/>
      <c r="BF89" s="4"/>
      <c r="BG89" s="4"/>
      <c r="BH89" s="4"/>
      <c r="BI89" s="4"/>
      <c r="BJ89" s="4"/>
      <c r="BK89" s="4"/>
      <c r="BL89" s="4"/>
      <c r="BM89" s="4"/>
      <c r="BN89" s="4"/>
      <c r="BO89" s="4"/>
      <c r="BP89" s="4"/>
      <c r="BQ89" s="4"/>
      <c r="BR89" s="4"/>
      <c r="BS89" s="4"/>
      <c r="BT89" s="4"/>
      <c r="BU89" s="4"/>
      <c r="BV89" s="4"/>
      <c r="BW89" s="4"/>
      <c r="BX89" s="4"/>
      <c r="BY89" s="4"/>
      <c r="BZ89" s="4"/>
      <c r="CA89" s="4"/>
      <c r="CB89" s="4"/>
      <c r="CC89" s="4"/>
      <c r="CD89" s="4"/>
      <c r="CE89" s="4"/>
      <c r="CF89" s="4"/>
    </row>
    <row r="90" spans="1:84" outlineLevel="3">
      <c r="A90" s="116"/>
      <c r="B90" s="116"/>
      <c r="C90" s="116">
        <v>4</v>
      </c>
      <c r="D90" s="218" t="s">
        <v>1263</v>
      </c>
      <c r="E90" s="163"/>
      <c r="F90" s="163"/>
      <c r="G90" s="259"/>
      <c r="H90" s="163" t="s">
        <v>1258</v>
      </c>
      <c r="I90" s="163"/>
      <c r="J90" s="163"/>
      <c r="K90" s="163"/>
      <c r="L90" s="163"/>
      <c r="M90" s="164"/>
      <c r="N90" s="164"/>
      <c r="O90" s="165"/>
      <c r="P90" s="166">
        <v>0</v>
      </c>
      <c r="Q90" s="166">
        <v>0</v>
      </c>
      <c r="R90" s="167">
        <v>0</v>
      </c>
      <c r="S90" s="167">
        <v>0</v>
      </c>
      <c r="T90" s="164"/>
      <c r="U90" s="164"/>
      <c r="V90" s="168">
        <v>0</v>
      </c>
      <c r="W90" s="169">
        <v>0</v>
      </c>
      <c r="X90" s="170"/>
      <c r="Y90" s="223" t="s">
        <v>1219</v>
      </c>
      <c r="Z90" s="171"/>
      <c r="AA90" s="97">
        <v>0</v>
      </c>
      <c r="AB90" s="172">
        <v>0</v>
      </c>
      <c r="AC90" s="123"/>
      <c r="AD90" s="4"/>
      <c r="AE90" s="4"/>
      <c r="AF90" s="4"/>
      <c r="AG90" s="4"/>
      <c r="AH90" s="4"/>
      <c r="AI90" s="4"/>
      <c r="AJ90" s="4"/>
      <c r="AK90" s="4"/>
      <c r="AL90" s="4"/>
      <c r="AM90" s="4"/>
      <c r="AN90" s="4"/>
      <c r="AO90" s="4"/>
      <c r="AP90" s="4"/>
      <c r="AQ90" s="4"/>
      <c r="AR90" s="4"/>
      <c r="AS90" s="4"/>
      <c r="AT90" s="4"/>
      <c r="AU90" s="4"/>
      <c r="AV90" s="4"/>
      <c r="AW90" s="4"/>
      <c r="AX90" s="4"/>
      <c r="AY90" s="4"/>
      <c r="AZ90" s="4"/>
      <c r="BA90" s="4"/>
      <c r="BB90" s="4"/>
      <c r="BC90" s="4"/>
      <c r="BD90" s="4"/>
      <c r="BE90" s="4"/>
      <c r="BF90" s="4"/>
      <c r="BG90" s="4"/>
      <c r="BH90" s="4"/>
      <c r="BI90" s="4"/>
      <c r="BJ90" s="4"/>
      <c r="BK90" s="4"/>
      <c r="BL90" s="4"/>
      <c r="BM90" s="4"/>
      <c r="BN90" s="4"/>
      <c r="BO90" s="4"/>
      <c r="BP90" s="4"/>
      <c r="BQ90" s="4"/>
      <c r="BR90" s="4"/>
      <c r="BS90" s="4"/>
      <c r="BT90" s="4"/>
      <c r="BU90" s="4"/>
      <c r="BV90" s="4"/>
      <c r="BW90" s="4"/>
      <c r="BX90" s="4"/>
      <c r="BY90" s="4"/>
      <c r="BZ90" s="4"/>
      <c r="CA90" s="4"/>
      <c r="CB90" s="4"/>
      <c r="CC90" s="4"/>
      <c r="CD90" s="4"/>
      <c r="CE90" s="4"/>
      <c r="CF90" s="4"/>
    </row>
    <row r="91" spans="1:84" outlineLevel="3">
      <c r="A91" s="116"/>
      <c r="B91" s="116"/>
      <c r="C91" s="116">
        <v>4</v>
      </c>
      <c r="D91" s="218" t="s">
        <v>1264</v>
      </c>
      <c r="E91" s="163"/>
      <c r="F91" s="163"/>
      <c r="G91" s="259"/>
      <c r="H91" s="163" t="s">
        <v>1259</v>
      </c>
      <c r="I91" s="163"/>
      <c r="J91" s="163"/>
      <c r="K91" s="163"/>
      <c r="L91" s="163"/>
      <c r="M91" s="164"/>
      <c r="N91" s="164"/>
      <c r="O91" s="165"/>
      <c r="P91" s="166">
        <v>0</v>
      </c>
      <c r="Q91" s="166">
        <v>0</v>
      </c>
      <c r="R91" s="167">
        <v>0</v>
      </c>
      <c r="S91" s="167">
        <v>0</v>
      </c>
      <c r="T91" s="164"/>
      <c r="U91" s="164"/>
      <c r="V91" s="168">
        <v>0</v>
      </c>
      <c r="W91" s="169">
        <v>0</v>
      </c>
      <c r="X91" s="170"/>
      <c r="Y91" s="223" t="s">
        <v>1131</v>
      </c>
      <c r="Z91" s="171"/>
      <c r="AA91" s="97">
        <v>0</v>
      </c>
      <c r="AB91" s="172">
        <v>0</v>
      </c>
      <c r="AC91" s="123"/>
      <c r="AD91" s="4"/>
      <c r="AE91" s="4"/>
      <c r="AF91" s="4"/>
      <c r="AG91" s="4"/>
      <c r="AH91" s="4"/>
      <c r="AI91" s="4"/>
      <c r="AJ91" s="4"/>
      <c r="AK91" s="4"/>
      <c r="AL91" s="4"/>
      <c r="AM91" s="4"/>
      <c r="AN91" s="4"/>
      <c r="AO91" s="4"/>
      <c r="AP91" s="4"/>
      <c r="AQ91" s="4"/>
      <c r="AR91" s="4"/>
      <c r="AS91" s="4"/>
      <c r="AT91" s="4"/>
      <c r="AU91" s="4"/>
      <c r="AV91" s="4"/>
      <c r="AW91" s="4"/>
      <c r="AX91" s="4"/>
      <c r="AY91" s="4"/>
      <c r="AZ91" s="4"/>
      <c r="BA91" s="4"/>
      <c r="BB91" s="4"/>
      <c r="BC91" s="4"/>
      <c r="BD91" s="4"/>
      <c r="BE91" s="4"/>
      <c r="BF91" s="4"/>
      <c r="BG91" s="4"/>
      <c r="BH91" s="4"/>
      <c r="BI91" s="4"/>
      <c r="BJ91" s="4"/>
      <c r="BK91" s="4"/>
      <c r="BL91" s="4"/>
      <c r="BM91" s="4"/>
      <c r="BN91" s="4"/>
      <c r="BO91" s="4"/>
      <c r="BP91" s="4"/>
      <c r="BQ91" s="4"/>
      <c r="BR91" s="4"/>
      <c r="BS91" s="4"/>
      <c r="BT91" s="4"/>
      <c r="BU91" s="4"/>
      <c r="BV91" s="4"/>
      <c r="BW91" s="4"/>
      <c r="BX91" s="4"/>
      <c r="BY91" s="4"/>
      <c r="BZ91" s="4"/>
      <c r="CA91" s="4"/>
      <c r="CB91" s="4"/>
      <c r="CC91" s="4"/>
      <c r="CD91" s="4"/>
      <c r="CE91" s="4"/>
      <c r="CF91" s="4"/>
    </row>
    <row r="92" spans="1:84" outlineLevel="2">
      <c r="A92" s="116"/>
      <c r="B92" s="116"/>
      <c r="C92" s="116">
        <v>3</v>
      </c>
      <c r="D92" s="218" t="s">
        <v>1200</v>
      </c>
      <c r="E92" s="163"/>
      <c r="F92" s="163"/>
      <c r="G92" s="259" t="s">
        <v>1194</v>
      </c>
      <c r="H92" s="163"/>
      <c r="I92" s="163"/>
      <c r="J92" s="163"/>
      <c r="K92" s="163"/>
      <c r="L92" s="163"/>
      <c r="M92" s="164"/>
      <c r="N92" s="164"/>
      <c r="O92" s="165"/>
      <c r="P92" s="166">
        <v>0</v>
      </c>
      <c r="Q92" s="166">
        <v>0</v>
      </c>
      <c r="R92" s="167">
        <v>0</v>
      </c>
      <c r="S92" s="167">
        <v>0</v>
      </c>
      <c r="T92" s="164"/>
      <c r="U92" s="164"/>
      <c r="V92" s="168">
        <v>0</v>
      </c>
      <c r="W92" s="169">
        <v>0</v>
      </c>
      <c r="X92" s="170"/>
      <c r="Y92" s="223" t="s">
        <v>1219</v>
      </c>
      <c r="Z92" s="171"/>
      <c r="AA92" s="97">
        <v>0</v>
      </c>
      <c r="AB92" s="172">
        <v>0</v>
      </c>
      <c r="AC92" s="123"/>
      <c r="AD92" s="4"/>
      <c r="AE92" s="4"/>
      <c r="AF92" s="4"/>
      <c r="AG92" s="4"/>
      <c r="AH92" s="4"/>
      <c r="AI92" s="4"/>
      <c r="AJ92" s="4"/>
      <c r="AK92" s="4"/>
      <c r="AL92" s="4"/>
      <c r="AM92" s="4"/>
      <c r="AN92" s="4"/>
      <c r="AO92" s="4"/>
      <c r="AP92" s="4"/>
      <c r="AQ92" s="4"/>
      <c r="AR92" s="4"/>
      <c r="AS92" s="4"/>
      <c r="AT92" s="4"/>
      <c r="AU92" s="4"/>
      <c r="AV92" s="4"/>
      <c r="AW92" s="4"/>
      <c r="AX92" s="4"/>
      <c r="AY92" s="4"/>
      <c r="AZ92" s="4"/>
      <c r="BA92" s="4"/>
      <c r="BB92" s="4"/>
      <c r="BC92" s="4"/>
      <c r="BD92" s="4"/>
      <c r="BE92" s="4"/>
      <c r="BF92" s="4"/>
      <c r="BG92" s="4"/>
      <c r="BH92" s="4"/>
      <c r="BI92" s="4"/>
      <c r="BJ92" s="4"/>
      <c r="BK92" s="4"/>
      <c r="BL92" s="4"/>
      <c r="BM92" s="4"/>
      <c r="BN92" s="4"/>
      <c r="BO92" s="4"/>
      <c r="BP92" s="4"/>
      <c r="BQ92" s="4"/>
      <c r="BR92" s="4"/>
      <c r="BS92" s="4"/>
      <c r="BT92" s="4"/>
      <c r="BU92" s="4"/>
      <c r="BV92" s="4"/>
      <c r="BW92" s="4"/>
      <c r="BX92" s="4"/>
      <c r="BY92" s="4"/>
      <c r="BZ92" s="4"/>
      <c r="CA92" s="4"/>
      <c r="CB92" s="4"/>
      <c r="CC92" s="4"/>
      <c r="CD92" s="4"/>
      <c r="CE92" s="4"/>
      <c r="CF92" s="4"/>
    </row>
    <row r="93" spans="1:84" outlineLevel="2">
      <c r="A93" s="116"/>
      <c r="B93" s="116" t="s">
        <v>976</v>
      </c>
      <c r="C93" s="116">
        <v>3</v>
      </c>
      <c r="D93" s="218" t="s">
        <v>1201</v>
      </c>
      <c r="E93" s="163"/>
      <c r="F93" s="163"/>
      <c r="G93" s="259" t="s">
        <v>1208</v>
      </c>
      <c r="H93" s="163"/>
      <c r="I93" s="163"/>
      <c r="J93" s="163"/>
      <c r="K93" s="163"/>
      <c r="L93" s="163"/>
      <c r="M93" s="164"/>
      <c r="N93" s="164"/>
      <c r="O93" s="165"/>
      <c r="P93" s="166">
        <v>0</v>
      </c>
      <c r="Q93" s="166">
        <v>0</v>
      </c>
      <c r="R93" s="167">
        <v>0</v>
      </c>
      <c r="S93" s="167">
        <v>0</v>
      </c>
      <c r="T93" s="164"/>
      <c r="U93" s="164"/>
      <c r="V93" s="168">
        <v>0</v>
      </c>
      <c r="W93" s="169">
        <v>0</v>
      </c>
      <c r="X93" s="170"/>
      <c r="Y93" s="165"/>
      <c r="Z93" s="171"/>
      <c r="AA93" s="97">
        <v>0</v>
      </c>
      <c r="AB93" s="172">
        <v>0</v>
      </c>
      <c r="AC93" s="123"/>
      <c r="AD93" s="4"/>
      <c r="AE93" s="4"/>
      <c r="AF93" s="4"/>
      <c r="AG93" s="4"/>
      <c r="AH93" s="4"/>
      <c r="AI93" s="4"/>
      <c r="AJ93" s="4"/>
      <c r="AK93" s="4"/>
      <c r="AL93" s="4"/>
      <c r="AM93" s="4"/>
      <c r="AN93" s="4"/>
      <c r="AO93" s="4"/>
      <c r="AP93" s="4"/>
      <c r="AQ93" s="4"/>
      <c r="AR93" s="4"/>
      <c r="AS93" s="4"/>
      <c r="AT93" s="4"/>
      <c r="AU93" s="4"/>
      <c r="AV93" s="4"/>
      <c r="AW93" s="4"/>
      <c r="AX93" s="4"/>
      <c r="AY93" s="4"/>
      <c r="AZ93" s="4"/>
      <c r="BA93" s="4"/>
      <c r="BB93" s="4"/>
      <c r="BC93" s="4"/>
      <c r="BD93" s="4"/>
      <c r="BE93" s="4"/>
      <c r="BF93" s="4"/>
      <c r="BG93" s="4"/>
      <c r="BH93" s="4"/>
      <c r="BI93" s="4"/>
      <c r="BJ93" s="4"/>
      <c r="BK93" s="4"/>
      <c r="BL93" s="4"/>
      <c r="BM93" s="4"/>
      <c r="BN93" s="4"/>
      <c r="BO93" s="4"/>
      <c r="BP93" s="4"/>
      <c r="BQ93" s="4"/>
      <c r="BR93" s="4"/>
      <c r="BS93" s="4"/>
      <c r="BT93" s="4"/>
      <c r="BU93" s="4"/>
      <c r="BV93" s="4"/>
      <c r="BW93" s="4"/>
      <c r="BX93" s="4"/>
      <c r="BY93" s="4"/>
      <c r="BZ93" s="4"/>
      <c r="CA93" s="4"/>
      <c r="CB93" s="4"/>
      <c r="CC93" s="4"/>
      <c r="CD93" s="4"/>
      <c r="CE93" s="4"/>
      <c r="CF93" s="4"/>
    </row>
    <row r="94" spans="1:84" outlineLevel="3">
      <c r="A94" s="116"/>
      <c r="B94" s="116"/>
      <c r="C94" s="116">
        <v>4</v>
      </c>
      <c r="D94" s="218" t="s">
        <v>1265</v>
      </c>
      <c r="E94" s="163"/>
      <c r="F94" s="163"/>
      <c r="G94" s="259"/>
      <c r="H94" s="163" t="s">
        <v>1260</v>
      </c>
      <c r="I94" s="163"/>
      <c r="J94" s="163"/>
      <c r="K94" s="163"/>
      <c r="L94" s="163"/>
      <c r="M94" s="164"/>
      <c r="N94" s="164"/>
      <c r="O94" s="165"/>
      <c r="P94" s="166">
        <v>0</v>
      </c>
      <c r="Q94" s="166">
        <v>0</v>
      </c>
      <c r="R94" s="167">
        <v>0</v>
      </c>
      <c r="S94" s="167">
        <v>0</v>
      </c>
      <c r="T94" s="164"/>
      <c r="U94" s="164"/>
      <c r="V94" s="168">
        <v>0</v>
      </c>
      <c r="W94" s="169">
        <v>0</v>
      </c>
      <c r="X94" s="170"/>
      <c r="Y94" s="223" t="s">
        <v>1133</v>
      </c>
      <c r="Z94" s="171"/>
      <c r="AA94" s="97">
        <v>0</v>
      </c>
      <c r="AB94" s="172">
        <v>0</v>
      </c>
      <c r="AC94" s="123"/>
      <c r="AD94" s="4"/>
      <c r="AE94" s="4"/>
      <c r="AF94" s="4"/>
      <c r="AG94" s="4"/>
      <c r="AH94" s="4"/>
      <c r="AI94" s="4"/>
      <c r="AJ94" s="4"/>
      <c r="AK94" s="4"/>
      <c r="AL94" s="4"/>
      <c r="AM94" s="4"/>
      <c r="AN94" s="4"/>
      <c r="AO94" s="4"/>
      <c r="AP94" s="4"/>
      <c r="AQ94" s="4"/>
      <c r="AR94" s="4"/>
      <c r="AS94" s="4"/>
      <c r="AT94" s="4"/>
      <c r="AU94" s="4"/>
      <c r="AV94" s="4"/>
      <c r="AW94" s="4"/>
      <c r="AX94" s="4"/>
      <c r="AY94" s="4"/>
      <c r="AZ94" s="4"/>
      <c r="BA94" s="4"/>
      <c r="BB94" s="4"/>
      <c r="BC94" s="4"/>
      <c r="BD94" s="4"/>
      <c r="BE94" s="4"/>
      <c r="BF94" s="4"/>
      <c r="BG94" s="4"/>
      <c r="BH94" s="4"/>
      <c r="BI94" s="4"/>
      <c r="BJ94" s="4"/>
      <c r="BK94" s="4"/>
      <c r="BL94" s="4"/>
      <c r="BM94" s="4"/>
      <c r="BN94" s="4"/>
      <c r="BO94" s="4"/>
      <c r="BP94" s="4"/>
      <c r="BQ94" s="4"/>
      <c r="BR94" s="4"/>
      <c r="BS94" s="4"/>
      <c r="BT94" s="4"/>
      <c r="BU94" s="4"/>
      <c r="BV94" s="4"/>
      <c r="BW94" s="4"/>
      <c r="BX94" s="4"/>
      <c r="BY94" s="4"/>
      <c r="BZ94" s="4"/>
      <c r="CA94" s="4"/>
      <c r="CB94" s="4"/>
      <c r="CC94" s="4"/>
      <c r="CD94" s="4"/>
      <c r="CE94" s="4"/>
      <c r="CF94" s="4"/>
    </row>
    <row r="95" spans="1:84" outlineLevel="2">
      <c r="A95" s="116"/>
      <c r="B95" s="116" t="s">
        <v>976</v>
      </c>
      <c r="C95" s="116">
        <v>3</v>
      </c>
      <c r="D95" s="258" t="s">
        <v>1202</v>
      </c>
      <c r="E95" s="163"/>
      <c r="F95" s="163"/>
      <c r="G95" s="259" t="s">
        <v>1276</v>
      </c>
      <c r="H95" s="163"/>
      <c r="I95" s="163"/>
      <c r="J95" s="163"/>
      <c r="K95" s="163"/>
      <c r="L95" s="163"/>
      <c r="M95" s="164"/>
      <c r="N95" s="164"/>
      <c r="O95" s="165"/>
      <c r="P95" s="166">
        <v>0</v>
      </c>
      <c r="Q95" s="166">
        <v>0</v>
      </c>
      <c r="R95" s="167">
        <v>0</v>
      </c>
      <c r="S95" s="167">
        <v>0</v>
      </c>
      <c r="T95" s="164"/>
      <c r="U95" s="164"/>
      <c r="V95" s="168">
        <v>0</v>
      </c>
      <c r="W95" s="169">
        <v>0</v>
      </c>
      <c r="X95" s="170"/>
      <c r="Y95" s="165"/>
      <c r="Z95" s="171"/>
      <c r="AA95" s="97">
        <v>0</v>
      </c>
      <c r="AB95" s="172">
        <v>0</v>
      </c>
      <c r="AC95" s="123"/>
      <c r="AD95" s="4"/>
      <c r="AE95" s="4"/>
      <c r="AF95" s="4"/>
      <c r="AG95" s="4"/>
      <c r="AH95" s="4"/>
      <c r="AI95" s="4"/>
      <c r="AJ95" s="4"/>
      <c r="AK95" s="4"/>
      <c r="AL95" s="4"/>
      <c r="AM95" s="4"/>
      <c r="AN95" s="4"/>
      <c r="AO95" s="4"/>
      <c r="AP95" s="4"/>
      <c r="AQ95" s="4"/>
      <c r="AR95" s="4"/>
      <c r="AS95" s="4"/>
      <c r="AT95" s="4"/>
      <c r="AU95" s="4"/>
      <c r="AV95" s="4"/>
      <c r="AW95" s="4"/>
      <c r="AX95" s="4"/>
      <c r="AY95" s="4"/>
      <c r="AZ95" s="4"/>
      <c r="BA95" s="4"/>
      <c r="BB95" s="4"/>
      <c r="BC95" s="4"/>
      <c r="BD95" s="4"/>
      <c r="BE95" s="4"/>
      <c r="BF95" s="4"/>
      <c r="BG95" s="4"/>
      <c r="BH95" s="4"/>
      <c r="BI95" s="4"/>
      <c r="BJ95" s="4"/>
      <c r="BK95" s="4"/>
      <c r="BL95" s="4"/>
      <c r="BM95" s="4"/>
      <c r="BN95" s="4"/>
      <c r="BO95" s="4"/>
      <c r="BP95" s="4"/>
      <c r="BQ95" s="4"/>
      <c r="BR95" s="4"/>
      <c r="BS95" s="4"/>
      <c r="BT95" s="4"/>
      <c r="BU95" s="4"/>
      <c r="BV95" s="4"/>
      <c r="BW95" s="4"/>
      <c r="BX95" s="4"/>
      <c r="BY95" s="4"/>
      <c r="BZ95" s="4"/>
      <c r="CA95" s="4"/>
      <c r="CB95" s="4"/>
      <c r="CC95" s="4"/>
      <c r="CD95" s="4"/>
      <c r="CE95" s="4"/>
      <c r="CF95" s="4"/>
    </row>
    <row r="96" spans="1:84" outlineLevel="3">
      <c r="A96" s="116"/>
      <c r="B96" s="116"/>
      <c r="C96" s="116">
        <v>4</v>
      </c>
      <c r="D96" s="258" t="s">
        <v>1266</v>
      </c>
      <c r="E96" s="163"/>
      <c r="F96" s="163"/>
      <c r="G96" s="259"/>
      <c r="H96" s="163" t="s">
        <v>1261</v>
      </c>
      <c r="I96" s="163"/>
      <c r="J96" s="163"/>
      <c r="K96" s="163"/>
      <c r="L96" s="163"/>
      <c r="M96" s="164"/>
      <c r="N96" s="164"/>
      <c r="O96" s="165"/>
      <c r="P96" s="166">
        <v>0</v>
      </c>
      <c r="Q96" s="166">
        <v>0</v>
      </c>
      <c r="R96" s="167">
        <v>0</v>
      </c>
      <c r="S96" s="167">
        <v>0</v>
      </c>
      <c r="T96" s="164"/>
      <c r="U96" s="164"/>
      <c r="V96" s="168">
        <v>0</v>
      </c>
      <c r="W96" s="169">
        <v>0</v>
      </c>
      <c r="X96" s="170"/>
      <c r="Y96" s="223" t="s">
        <v>1133</v>
      </c>
      <c r="Z96" s="171"/>
      <c r="AA96" s="97">
        <v>0</v>
      </c>
      <c r="AB96" s="172">
        <v>0</v>
      </c>
      <c r="AC96" s="123"/>
      <c r="AD96" s="4"/>
      <c r="AE96" s="4"/>
      <c r="AF96" s="4"/>
      <c r="AG96" s="4"/>
      <c r="AH96" s="4"/>
      <c r="AI96" s="4"/>
      <c r="AJ96" s="4"/>
      <c r="AK96" s="4"/>
      <c r="AL96" s="4"/>
      <c r="AM96" s="4"/>
      <c r="AN96" s="4"/>
      <c r="AO96" s="4"/>
      <c r="AP96" s="4"/>
      <c r="AQ96" s="4"/>
      <c r="AR96" s="4"/>
      <c r="AS96" s="4"/>
      <c r="AT96" s="4"/>
      <c r="AU96" s="4"/>
      <c r="AV96" s="4"/>
      <c r="AW96" s="4"/>
      <c r="AX96" s="4"/>
      <c r="AY96" s="4"/>
      <c r="AZ96" s="4"/>
      <c r="BA96" s="4"/>
      <c r="BB96" s="4"/>
      <c r="BC96" s="4"/>
      <c r="BD96" s="4"/>
      <c r="BE96" s="4"/>
      <c r="BF96" s="4"/>
      <c r="BG96" s="4"/>
      <c r="BH96" s="4"/>
      <c r="BI96" s="4"/>
      <c r="BJ96" s="4"/>
      <c r="BK96" s="4"/>
      <c r="BL96" s="4"/>
      <c r="BM96" s="4"/>
      <c r="BN96" s="4"/>
      <c r="BO96" s="4"/>
      <c r="BP96" s="4"/>
      <c r="BQ96" s="4"/>
      <c r="BR96" s="4"/>
      <c r="BS96" s="4"/>
      <c r="BT96" s="4"/>
      <c r="BU96" s="4"/>
      <c r="BV96" s="4"/>
      <c r="BW96" s="4"/>
      <c r="BX96" s="4"/>
      <c r="BY96" s="4"/>
      <c r="BZ96" s="4"/>
      <c r="CA96" s="4"/>
      <c r="CB96" s="4"/>
      <c r="CC96" s="4"/>
      <c r="CD96" s="4"/>
      <c r="CE96" s="4"/>
      <c r="CF96" s="4"/>
    </row>
    <row r="97" spans="1:84" outlineLevel="3">
      <c r="A97" s="116"/>
      <c r="B97" s="116"/>
      <c r="C97" s="116">
        <v>4</v>
      </c>
      <c r="D97" s="258" t="s">
        <v>1278</v>
      </c>
      <c r="E97" s="163"/>
      <c r="F97" s="163"/>
      <c r="G97" s="259"/>
      <c r="H97" s="163" t="s">
        <v>1277</v>
      </c>
      <c r="I97" s="163"/>
      <c r="J97" s="163"/>
      <c r="K97" s="163"/>
      <c r="L97" s="163"/>
      <c r="M97" s="164"/>
      <c r="N97" s="164"/>
      <c r="O97" s="165"/>
      <c r="P97" s="166">
        <v>0</v>
      </c>
      <c r="Q97" s="166">
        <v>0</v>
      </c>
      <c r="R97" s="167">
        <v>0</v>
      </c>
      <c r="S97" s="167">
        <v>0</v>
      </c>
      <c r="T97" s="164"/>
      <c r="U97" s="164"/>
      <c r="V97" s="168">
        <v>0</v>
      </c>
      <c r="W97" s="169">
        <v>0</v>
      </c>
      <c r="X97" s="170"/>
      <c r="Y97" s="223"/>
      <c r="Z97" s="171"/>
      <c r="AA97" s="97">
        <v>0</v>
      </c>
      <c r="AB97" s="172">
        <v>0</v>
      </c>
      <c r="AC97" s="123"/>
      <c r="AD97" s="4"/>
      <c r="AE97" s="4"/>
      <c r="AF97" s="4"/>
      <c r="AG97" s="4"/>
      <c r="AH97" s="4"/>
      <c r="AI97" s="4"/>
      <c r="AJ97" s="4"/>
      <c r="AK97" s="4"/>
      <c r="AL97" s="4"/>
      <c r="AM97" s="4"/>
      <c r="AN97" s="4"/>
      <c r="AO97" s="4"/>
      <c r="AP97" s="4"/>
      <c r="AQ97" s="4"/>
      <c r="AR97" s="4"/>
      <c r="AS97" s="4"/>
      <c r="AT97" s="4"/>
      <c r="AU97" s="4"/>
      <c r="AV97" s="4"/>
      <c r="AW97" s="4"/>
      <c r="AX97" s="4"/>
      <c r="AY97" s="4"/>
      <c r="AZ97" s="4"/>
      <c r="BA97" s="4"/>
      <c r="BB97" s="4"/>
      <c r="BC97" s="4"/>
      <c r="BD97" s="4"/>
      <c r="BE97" s="4"/>
      <c r="BF97" s="4"/>
      <c r="BG97" s="4"/>
      <c r="BH97" s="4"/>
      <c r="BI97" s="4"/>
      <c r="BJ97" s="4"/>
      <c r="BK97" s="4"/>
      <c r="BL97" s="4"/>
      <c r="BM97" s="4"/>
      <c r="BN97" s="4"/>
      <c r="BO97" s="4"/>
      <c r="BP97" s="4"/>
      <c r="BQ97" s="4"/>
      <c r="BR97" s="4"/>
      <c r="BS97" s="4"/>
      <c r="BT97" s="4"/>
      <c r="BU97" s="4"/>
      <c r="BV97" s="4"/>
      <c r="BW97" s="4"/>
      <c r="BX97" s="4"/>
      <c r="BY97" s="4"/>
      <c r="BZ97" s="4"/>
      <c r="CA97" s="4"/>
      <c r="CB97" s="4"/>
      <c r="CC97" s="4"/>
      <c r="CD97" s="4"/>
      <c r="CE97" s="4"/>
      <c r="CF97" s="4"/>
    </row>
    <row r="98" spans="1:84" outlineLevel="2">
      <c r="A98" s="116"/>
      <c r="B98" s="116" t="s">
        <v>976</v>
      </c>
      <c r="C98" s="116">
        <v>3</v>
      </c>
      <c r="D98" s="258" t="s">
        <v>1203</v>
      </c>
      <c r="E98" s="163"/>
      <c r="F98" s="163"/>
      <c r="G98" s="259" t="s">
        <v>1256</v>
      </c>
      <c r="H98" s="163"/>
      <c r="I98" s="163"/>
      <c r="J98" s="163"/>
      <c r="K98" s="163"/>
      <c r="L98" s="163"/>
      <c r="M98" s="164"/>
      <c r="N98" s="164"/>
      <c r="O98" s="165"/>
      <c r="P98" s="166">
        <v>0</v>
      </c>
      <c r="Q98" s="166">
        <v>0</v>
      </c>
      <c r="R98" s="167">
        <v>0</v>
      </c>
      <c r="S98" s="167">
        <v>0</v>
      </c>
      <c r="T98" s="164"/>
      <c r="U98" s="164"/>
      <c r="V98" s="168">
        <v>0</v>
      </c>
      <c r="W98" s="169">
        <v>0</v>
      </c>
      <c r="X98" s="170"/>
      <c r="Y98" s="165"/>
      <c r="Z98" s="171"/>
      <c r="AA98" s="97">
        <v>0</v>
      </c>
      <c r="AB98" s="172">
        <v>0</v>
      </c>
      <c r="AC98" s="123"/>
      <c r="AD98" s="4"/>
      <c r="AE98" s="4"/>
      <c r="AF98" s="4"/>
      <c r="AG98" s="4"/>
      <c r="AH98" s="4"/>
      <c r="AI98" s="4"/>
      <c r="AJ98" s="4"/>
      <c r="AK98" s="4"/>
      <c r="AL98" s="4"/>
      <c r="AM98" s="4"/>
      <c r="AN98" s="4"/>
      <c r="AO98" s="4"/>
      <c r="AP98" s="4"/>
      <c r="AQ98" s="4"/>
      <c r="AR98" s="4"/>
      <c r="AS98" s="4"/>
      <c r="AT98" s="4"/>
      <c r="AU98" s="4"/>
      <c r="AV98" s="4"/>
      <c r="AW98" s="4"/>
      <c r="AX98" s="4"/>
      <c r="AY98" s="4"/>
      <c r="AZ98" s="4"/>
      <c r="BA98" s="4"/>
      <c r="BB98" s="4"/>
      <c r="BC98" s="4"/>
      <c r="BD98" s="4"/>
      <c r="BE98" s="4"/>
      <c r="BF98" s="4"/>
      <c r="BG98" s="4"/>
      <c r="BH98" s="4"/>
      <c r="BI98" s="4"/>
      <c r="BJ98" s="4"/>
      <c r="BK98" s="4"/>
      <c r="BL98" s="4"/>
      <c r="BM98" s="4"/>
      <c r="BN98" s="4"/>
      <c r="BO98" s="4"/>
      <c r="BP98" s="4"/>
      <c r="BQ98" s="4"/>
      <c r="BR98" s="4"/>
      <c r="BS98" s="4"/>
      <c r="BT98" s="4"/>
      <c r="BU98" s="4"/>
      <c r="BV98" s="4"/>
      <c r="BW98" s="4"/>
      <c r="BX98" s="4"/>
      <c r="BY98" s="4"/>
      <c r="BZ98" s="4"/>
      <c r="CA98" s="4"/>
      <c r="CB98" s="4"/>
      <c r="CC98" s="4"/>
      <c r="CD98" s="4"/>
      <c r="CE98" s="4"/>
      <c r="CF98" s="4"/>
    </row>
    <row r="99" spans="1:84" outlineLevel="3">
      <c r="A99" s="116"/>
      <c r="B99" s="116"/>
      <c r="C99" s="116">
        <v>4</v>
      </c>
      <c r="D99" s="258" t="s">
        <v>1267</v>
      </c>
      <c r="E99" s="163"/>
      <c r="F99" s="163"/>
      <c r="G99" s="259"/>
      <c r="H99" s="226" t="s">
        <v>1253</v>
      </c>
      <c r="I99" s="163"/>
      <c r="J99" s="163"/>
      <c r="K99" s="163"/>
      <c r="L99" s="163"/>
      <c r="M99" s="164"/>
      <c r="N99" s="164"/>
      <c r="O99" s="165"/>
      <c r="P99" s="166">
        <v>0</v>
      </c>
      <c r="Q99" s="166">
        <v>0</v>
      </c>
      <c r="R99" s="167">
        <v>0</v>
      </c>
      <c r="S99" s="167">
        <v>0</v>
      </c>
      <c r="T99" s="164"/>
      <c r="U99" s="164"/>
      <c r="V99" s="168">
        <v>0</v>
      </c>
      <c r="W99" s="169">
        <v>0</v>
      </c>
      <c r="X99" s="170"/>
      <c r="Y99" s="223" t="s">
        <v>1219</v>
      </c>
      <c r="Z99" s="171"/>
      <c r="AA99" s="97">
        <v>0</v>
      </c>
      <c r="AB99" s="172">
        <v>0</v>
      </c>
      <c r="AC99" s="123"/>
      <c r="AD99" s="4"/>
      <c r="AE99" s="4"/>
      <c r="AF99" s="4"/>
      <c r="AG99" s="4"/>
      <c r="AH99" s="4"/>
      <c r="AI99" s="4"/>
      <c r="AJ99" s="4"/>
      <c r="AK99" s="4"/>
      <c r="AL99" s="4"/>
      <c r="AM99" s="4"/>
      <c r="AN99" s="4"/>
      <c r="AO99" s="4"/>
      <c r="AP99" s="4"/>
      <c r="AQ99" s="4"/>
      <c r="AR99" s="4"/>
      <c r="AS99" s="4"/>
      <c r="AT99" s="4"/>
      <c r="AU99" s="4"/>
      <c r="AV99" s="4"/>
      <c r="AW99" s="4"/>
      <c r="AX99" s="4"/>
      <c r="AY99" s="4"/>
      <c r="AZ99" s="4"/>
      <c r="BA99" s="4"/>
      <c r="BB99" s="4"/>
      <c r="BC99" s="4"/>
      <c r="BD99" s="4"/>
      <c r="BE99" s="4"/>
      <c r="BF99" s="4"/>
      <c r="BG99" s="4"/>
      <c r="BH99" s="4"/>
      <c r="BI99" s="4"/>
      <c r="BJ99" s="4"/>
      <c r="BK99" s="4"/>
      <c r="BL99" s="4"/>
      <c r="BM99" s="4"/>
      <c r="BN99" s="4"/>
      <c r="BO99" s="4"/>
      <c r="BP99" s="4"/>
      <c r="BQ99" s="4"/>
      <c r="BR99" s="4"/>
      <c r="BS99" s="4"/>
      <c r="BT99" s="4"/>
      <c r="BU99" s="4"/>
      <c r="BV99" s="4"/>
      <c r="BW99" s="4"/>
      <c r="BX99" s="4"/>
      <c r="BY99" s="4"/>
      <c r="BZ99" s="4"/>
      <c r="CA99" s="4"/>
      <c r="CB99" s="4"/>
      <c r="CC99" s="4"/>
      <c r="CD99" s="4"/>
      <c r="CE99" s="4"/>
      <c r="CF99" s="4"/>
    </row>
    <row r="100" spans="1:84" outlineLevel="3">
      <c r="A100" s="116"/>
      <c r="B100" s="116"/>
      <c r="C100" s="116">
        <v>4</v>
      </c>
      <c r="D100" s="258" t="s">
        <v>1268</v>
      </c>
      <c r="E100" s="163"/>
      <c r="F100" s="163"/>
      <c r="G100" s="259"/>
      <c r="H100" s="226" t="s">
        <v>1252</v>
      </c>
      <c r="I100" s="163"/>
      <c r="J100" s="163"/>
      <c r="K100" s="163"/>
      <c r="L100" s="163"/>
      <c r="M100" s="164"/>
      <c r="N100" s="164"/>
      <c r="O100" s="165"/>
      <c r="P100" s="166">
        <v>0</v>
      </c>
      <c r="Q100" s="166">
        <v>0</v>
      </c>
      <c r="R100" s="167">
        <v>0</v>
      </c>
      <c r="S100" s="167">
        <v>0</v>
      </c>
      <c r="T100" s="164"/>
      <c r="U100" s="164"/>
      <c r="V100" s="168">
        <v>0</v>
      </c>
      <c r="W100" s="169">
        <v>0</v>
      </c>
      <c r="X100" s="170"/>
      <c r="Y100" s="223" t="s">
        <v>1219</v>
      </c>
      <c r="Z100" s="171"/>
      <c r="AA100" s="97">
        <v>0</v>
      </c>
      <c r="AB100" s="172">
        <v>0</v>
      </c>
      <c r="AC100" s="123"/>
      <c r="AD100" s="4"/>
      <c r="AE100" s="4"/>
      <c r="AF100" s="4"/>
      <c r="AG100" s="4"/>
      <c r="AH100" s="4"/>
      <c r="AI100" s="4"/>
      <c r="AJ100" s="4"/>
      <c r="AK100" s="4"/>
      <c r="AL100" s="4"/>
      <c r="AM100" s="4"/>
      <c r="AN100" s="4"/>
      <c r="AO100" s="4"/>
      <c r="AP100" s="4"/>
      <c r="AQ100" s="4"/>
      <c r="AR100" s="4"/>
      <c r="AS100" s="4"/>
      <c r="AT100" s="4"/>
      <c r="AU100" s="4"/>
      <c r="AV100" s="4"/>
      <c r="AW100" s="4"/>
      <c r="AX100" s="4"/>
      <c r="AY100" s="4"/>
      <c r="AZ100" s="4"/>
      <c r="BA100" s="4"/>
      <c r="BB100" s="4"/>
      <c r="BC100" s="4"/>
      <c r="BD100" s="4"/>
      <c r="BE100" s="4"/>
      <c r="BF100" s="4"/>
      <c r="BG100" s="4"/>
      <c r="BH100" s="4"/>
      <c r="BI100" s="4"/>
      <c r="BJ100" s="4"/>
      <c r="BK100" s="4"/>
      <c r="BL100" s="4"/>
      <c r="BM100" s="4"/>
      <c r="BN100" s="4"/>
      <c r="BO100" s="4"/>
      <c r="BP100" s="4"/>
      <c r="BQ100" s="4"/>
      <c r="BR100" s="4"/>
      <c r="BS100" s="4"/>
      <c r="BT100" s="4"/>
      <c r="BU100" s="4"/>
      <c r="BV100" s="4"/>
      <c r="BW100" s="4"/>
      <c r="BX100" s="4"/>
      <c r="BY100" s="4"/>
      <c r="BZ100" s="4"/>
      <c r="CA100" s="4"/>
      <c r="CB100" s="4"/>
      <c r="CC100" s="4"/>
      <c r="CD100" s="4"/>
      <c r="CE100" s="4"/>
      <c r="CF100" s="4"/>
    </row>
    <row r="101" spans="1:84" outlineLevel="3">
      <c r="A101" s="116"/>
      <c r="B101" s="116"/>
      <c r="C101" s="116">
        <v>4</v>
      </c>
      <c r="D101" s="218" t="s">
        <v>1269</v>
      </c>
      <c r="E101" s="163"/>
      <c r="F101" s="163"/>
      <c r="G101" s="220"/>
      <c r="H101" s="226" t="s">
        <v>1254</v>
      </c>
      <c r="I101" s="163"/>
      <c r="J101" s="163"/>
      <c r="K101" s="163"/>
      <c r="L101" s="163"/>
      <c r="M101" s="164"/>
      <c r="N101" s="164"/>
      <c r="O101" s="165"/>
      <c r="P101" s="166">
        <v>0</v>
      </c>
      <c r="Q101" s="166">
        <v>0</v>
      </c>
      <c r="R101" s="167">
        <v>0</v>
      </c>
      <c r="S101" s="167">
        <v>0</v>
      </c>
      <c r="T101" s="164"/>
      <c r="U101" s="164"/>
      <c r="V101" s="168">
        <v>0</v>
      </c>
      <c r="W101" s="169">
        <v>0</v>
      </c>
      <c r="X101" s="170"/>
      <c r="Y101" s="223" t="s">
        <v>1219</v>
      </c>
      <c r="Z101" s="171"/>
      <c r="AA101" s="97">
        <v>0</v>
      </c>
      <c r="AB101" s="172">
        <v>0</v>
      </c>
      <c r="AC101" s="123"/>
      <c r="AD101" s="4"/>
      <c r="AE101" s="4"/>
      <c r="AF101" s="4"/>
      <c r="AG101" s="4"/>
      <c r="AH101" s="4"/>
      <c r="AI101" s="4"/>
      <c r="AJ101" s="4"/>
      <c r="AK101" s="4"/>
      <c r="AL101" s="4"/>
      <c r="AM101" s="4"/>
      <c r="AN101" s="4"/>
      <c r="AO101" s="4"/>
      <c r="AP101" s="4"/>
      <c r="AQ101" s="4"/>
      <c r="AR101" s="4"/>
      <c r="AS101" s="4"/>
      <c r="AT101" s="4"/>
      <c r="AU101" s="4"/>
      <c r="AV101" s="4"/>
      <c r="AW101" s="4"/>
      <c r="AX101" s="4"/>
      <c r="AY101" s="4"/>
      <c r="AZ101" s="4"/>
      <c r="BA101" s="4"/>
      <c r="BB101" s="4"/>
      <c r="BC101" s="4"/>
      <c r="BD101" s="4"/>
      <c r="BE101" s="4"/>
      <c r="BF101" s="4"/>
      <c r="BG101" s="4"/>
      <c r="BH101" s="4"/>
      <c r="BI101" s="4"/>
      <c r="BJ101" s="4"/>
      <c r="BK101" s="4"/>
      <c r="BL101" s="4"/>
      <c r="BM101" s="4"/>
      <c r="BN101" s="4"/>
      <c r="BO101" s="4"/>
      <c r="BP101" s="4"/>
      <c r="BQ101" s="4"/>
      <c r="BR101" s="4"/>
      <c r="BS101" s="4"/>
      <c r="BT101" s="4"/>
      <c r="BU101" s="4"/>
      <c r="BV101" s="4"/>
      <c r="BW101" s="4"/>
      <c r="BX101" s="4"/>
      <c r="BY101" s="4"/>
      <c r="BZ101" s="4"/>
      <c r="CA101" s="4"/>
      <c r="CB101" s="4"/>
      <c r="CC101" s="4"/>
      <c r="CD101" s="4"/>
      <c r="CE101" s="4"/>
      <c r="CF101" s="4"/>
    </row>
    <row r="102" spans="1:84" outlineLevel="3">
      <c r="A102" s="116"/>
      <c r="B102" s="116"/>
      <c r="C102" s="116">
        <v>4</v>
      </c>
      <c r="D102" s="218" t="s">
        <v>1270</v>
      </c>
      <c r="E102" s="163"/>
      <c r="F102" s="163"/>
      <c r="G102" s="220"/>
      <c r="H102" s="226" t="s">
        <v>1255</v>
      </c>
      <c r="I102" s="163"/>
      <c r="J102" s="163"/>
      <c r="K102" s="163"/>
      <c r="L102" s="163"/>
      <c r="M102" s="164"/>
      <c r="N102" s="164"/>
      <c r="O102" s="165"/>
      <c r="P102" s="166">
        <v>0</v>
      </c>
      <c r="Q102" s="166">
        <v>0</v>
      </c>
      <c r="R102" s="167">
        <v>0</v>
      </c>
      <c r="S102" s="167">
        <v>0</v>
      </c>
      <c r="T102" s="164"/>
      <c r="U102" s="164"/>
      <c r="V102" s="168">
        <v>0</v>
      </c>
      <c r="W102" s="169">
        <v>0</v>
      </c>
      <c r="X102" s="170"/>
      <c r="Y102" s="223" t="s">
        <v>1219</v>
      </c>
      <c r="Z102" s="171"/>
      <c r="AA102" s="97">
        <v>0</v>
      </c>
      <c r="AB102" s="172">
        <v>0</v>
      </c>
      <c r="AC102" s="123"/>
      <c r="AD102" s="4"/>
      <c r="AE102" s="4"/>
      <c r="AF102" s="4"/>
      <c r="AG102" s="4"/>
      <c r="AH102" s="4"/>
      <c r="AI102" s="4"/>
      <c r="AJ102" s="4"/>
      <c r="AK102" s="4"/>
      <c r="AL102" s="4"/>
      <c r="AM102" s="4"/>
      <c r="AN102" s="4"/>
      <c r="AO102" s="4"/>
      <c r="AP102" s="4"/>
      <c r="AQ102" s="4"/>
      <c r="AR102" s="4"/>
      <c r="AS102" s="4"/>
      <c r="AT102" s="4"/>
      <c r="AU102" s="4"/>
      <c r="AV102" s="4"/>
      <c r="AW102" s="4"/>
      <c r="AX102" s="4"/>
      <c r="AY102" s="4"/>
      <c r="AZ102" s="4"/>
      <c r="BA102" s="4"/>
      <c r="BB102" s="4"/>
      <c r="BC102" s="4"/>
      <c r="BD102" s="4"/>
      <c r="BE102" s="4"/>
      <c r="BF102" s="4"/>
      <c r="BG102" s="4"/>
      <c r="BH102" s="4"/>
      <c r="BI102" s="4"/>
      <c r="BJ102" s="4"/>
      <c r="BK102" s="4"/>
      <c r="BL102" s="4"/>
      <c r="BM102" s="4"/>
      <c r="BN102" s="4"/>
      <c r="BO102" s="4"/>
      <c r="BP102" s="4"/>
      <c r="BQ102" s="4"/>
      <c r="BR102" s="4"/>
      <c r="BS102" s="4"/>
      <c r="BT102" s="4"/>
      <c r="BU102" s="4"/>
      <c r="BV102" s="4"/>
      <c r="BW102" s="4"/>
      <c r="BX102" s="4"/>
      <c r="BY102" s="4"/>
      <c r="BZ102" s="4"/>
      <c r="CA102" s="4"/>
      <c r="CB102" s="4"/>
      <c r="CC102" s="4"/>
      <c r="CD102" s="4"/>
      <c r="CE102" s="4"/>
      <c r="CF102" s="4"/>
    </row>
    <row r="103" spans="1:84" outlineLevel="2">
      <c r="A103" s="116"/>
      <c r="B103" s="116" t="s">
        <v>976</v>
      </c>
      <c r="C103" s="116">
        <v>3</v>
      </c>
      <c r="D103" s="218" t="s">
        <v>1204</v>
      </c>
      <c r="E103" s="163"/>
      <c r="F103" s="163"/>
      <c r="G103" s="259" t="s">
        <v>1195</v>
      </c>
      <c r="H103" s="163"/>
      <c r="I103" s="163"/>
      <c r="J103" s="163"/>
      <c r="K103" s="163"/>
      <c r="L103" s="163"/>
      <c r="M103" s="164"/>
      <c r="N103" s="164"/>
      <c r="O103" s="165"/>
      <c r="P103" s="166">
        <v>0</v>
      </c>
      <c r="Q103" s="166">
        <v>0</v>
      </c>
      <c r="R103" s="167">
        <v>0</v>
      </c>
      <c r="S103" s="167">
        <v>0</v>
      </c>
      <c r="T103" s="164"/>
      <c r="U103" s="164"/>
      <c r="V103" s="168">
        <v>0</v>
      </c>
      <c r="W103" s="169">
        <v>0</v>
      </c>
      <c r="X103" s="170"/>
      <c r="Y103" s="165"/>
      <c r="Z103" s="171"/>
      <c r="AA103" s="97">
        <v>0</v>
      </c>
      <c r="AB103" s="172">
        <v>0</v>
      </c>
      <c r="AC103" s="123"/>
      <c r="AD103" s="4"/>
      <c r="AE103" s="4"/>
      <c r="AF103" s="4"/>
      <c r="AG103" s="4"/>
      <c r="AH103" s="4"/>
      <c r="AI103" s="4"/>
      <c r="AJ103" s="4"/>
      <c r="AK103" s="4"/>
      <c r="AL103" s="4"/>
      <c r="AM103" s="4"/>
      <c r="AN103" s="4"/>
      <c r="AO103" s="4"/>
      <c r="AP103" s="4"/>
      <c r="AQ103" s="4"/>
      <c r="AR103" s="4"/>
      <c r="AS103" s="4"/>
      <c r="AT103" s="4"/>
      <c r="AU103" s="4"/>
      <c r="AV103" s="4"/>
      <c r="AW103" s="4"/>
      <c r="AX103" s="4"/>
      <c r="AY103" s="4"/>
      <c r="AZ103" s="4"/>
      <c r="BA103" s="4"/>
      <c r="BB103" s="4"/>
      <c r="BC103" s="4"/>
      <c r="BD103" s="4"/>
      <c r="BE103" s="4"/>
      <c r="BF103" s="4"/>
      <c r="BG103" s="4"/>
      <c r="BH103" s="4"/>
      <c r="BI103" s="4"/>
      <c r="BJ103" s="4"/>
      <c r="BK103" s="4"/>
      <c r="BL103" s="4"/>
      <c r="BM103" s="4"/>
      <c r="BN103" s="4"/>
      <c r="BO103" s="4"/>
      <c r="BP103" s="4"/>
      <c r="BQ103" s="4"/>
      <c r="BR103" s="4"/>
      <c r="BS103" s="4"/>
      <c r="BT103" s="4"/>
      <c r="BU103" s="4"/>
      <c r="BV103" s="4"/>
      <c r="BW103" s="4"/>
      <c r="BX103" s="4"/>
      <c r="BY103" s="4"/>
      <c r="BZ103" s="4"/>
      <c r="CA103" s="4"/>
      <c r="CB103" s="4"/>
      <c r="CC103" s="4"/>
      <c r="CD103" s="4"/>
      <c r="CE103" s="4"/>
      <c r="CF103" s="4"/>
    </row>
    <row r="104" spans="1:84" outlineLevel="3">
      <c r="A104" s="116"/>
      <c r="B104" s="116"/>
      <c r="C104" s="116">
        <v>4</v>
      </c>
      <c r="D104" s="218" t="s">
        <v>1271</v>
      </c>
      <c r="E104" s="163"/>
      <c r="F104" s="163"/>
      <c r="G104" s="259"/>
      <c r="H104" s="163" t="s">
        <v>1251</v>
      </c>
      <c r="I104" s="163"/>
      <c r="J104" s="163"/>
      <c r="K104" s="163"/>
      <c r="L104" s="163"/>
      <c r="M104" s="164"/>
      <c r="N104" s="164"/>
      <c r="O104" s="165"/>
      <c r="P104" s="166">
        <v>0</v>
      </c>
      <c r="Q104" s="166">
        <v>0</v>
      </c>
      <c r="R104" s="167">
        <v>0</v>
      </c>
      <c r="S104" s="167">
        <v>0</v>
      </c>
      <c r="T104" s="164"/>
      <c r="U104" s="164"/>
      <c r="V104" s="168">
        <v>0</v>
      </c>
      <c r="W104" s="169">
        <v>0</v>
      </c>
      <c r="X104" s="170"/>
      <c r="Y104" s="223" t="s">
        <v>1181</v>
      </c>
      <c r="Z104" s="171"/>
      <c r="AA104" s="97">
        <v>0</v>
      </c>
      <c r="AB104" s="172">
        <v>0</v>
      </c>
      <c r="AC104" s="123"/>
      <c r="AD104" s="4"/>
      <c r="AE104" s="4"/>
      <c r="AF104" s="4"/>
      <c r="AG104" s="4"/>
      <c r="AH104" s="4"/>
      <c r="AI104" s="4"/>
      <c r="AJ104" s="4"/>
      <c r="AK104" s="4"/>
      <c r="AL104" s="4"/>
      <c r="AM104" s="4"/>
      <c r="AN104" s="4"/>
      <c r="AO104" s="4"/>
      <c r="AP104" s="4"/>
      <c r="AQ104" s="4"/>
      <c r="AR104" s="4"/>
      <c r="AS104" s="4"/>
      <c r="AT104" s="4"/>
      <c r="AU104" s="4"/>
      <c r="AV104" s="4"/>
      <c r="AW104" s="4"/>
      <c r="AX104" s="4"/>
      <c r="AY104" s="4"/>
      <c r="AZ104" s="4"/>
      <c r="BA104" s="4"/>
      <c r="BB104" s="4"/>
      <c r="BC104" s="4"/>
      <c r="BD104" s="4"/>
      <c r="BE104" s="4"/>
      <c r="BF104" s="4"/>
      <c r="BG104" s="4"/>
      <c r="BH104" s="4"/>
      <c r="BI104" s="4"/>
      <c r="BJ104" s="4"/>
      <c r="BK104" s="4"/>
      <c r="BL104" s="4"/>
      <c r="BM104" s="4"/>
      <c r="BN104" s="4"/>
      <c r="BO104" s="4"/>
      <c r="BP104" s="4"/>
      <c r="BQ104" s="4"/>
      <c r="BR104" s="4"/>
      <c r="BS104" s="4"/>
      <c r="BT104" s="4"/>
      <c r="BU104" s="4"/>
      <c r="BV104" s="4"/>
      <c r="BW104" s="4"/>
      <c r="BX104" s="4"/>
      <c r="BY104" s="4"/>
      <c r="BZ104" s="4"/>
      <c r="CA104" s="4"/>
      <c r="CB104" s="4"/>
      <c r="CC104" s="4"/>
      <c r="CD104" s="4"/>
      <c r="CE104" s="4"/>
      <c r="CF104" s="4"/>
    </row>
    <row r="105" spans="1:84" outlineLevel="2">
      <c r="A105" s="116"/>
      <c r="B105" s="116"/>
      <c r="C105" s="116">
        <v>3</v>
      </c>
      <c r="D105" s="218" t="s">
        <v>1205</v>
      </c>
      <c r="E105" s="163"/>
      <c r="F105" s="163"/>
      <c r="G105" s="220" t="s">
        <v>1080</v>
      </c>
      <c r="H105" s="163"/>
      <c r="I105" s="163"/>
      <c r="J105" s="163"/>
      <c r="K105" s="163"/>
      <c r="L105" s="163"/>
      <c r="M105" s="164"/>
      <c r="N105" s="164"/>
      <c r="O105" s="165"/>
      <c r="P105" s="166">
        <v>0</v>
      </c>
      <c r="Q105" s="166">
        <v>0</v>
      </c>
      <c r="R105" s="167">
        <v>0</v>
      </c>
      <c r="S105" s="167">
        <v>0</v>
      </c>
      <c r="T105" s="164"/>
      <c r="U105" s="164"/>
      <c r="V105" s="168">
        <v>0</v>
      </c>
      <c r="W105" s="169">
        <v>0</v>
      </c>
      <c r="X105" s="170"/>
      <c r="Y105" s="165" t="s">
        <v>1279</v>
      </c>
      <c r="Z105" s="171"/>
      <c r="AA105" s="97">
        <v>0</v>
      </c>
      <c r="AB105" s="172">
        <v>0</v>
      </c>
      <c r="AC105" s="123"/>
      <c r="AD105" s="4"/>
      <c r="AE105" s="4"/>
      <c r="AF105" s="4"/>
      <c r="AG105" s="4"/>
      <c r="AH105" s="4"/>
      <c r="AI105" s="4"/>
      <c r="AJ105" s="4"/>
      <c r="AK105" s="4"/>
      <c r="AL105" s="4"/>
      <c r="AM105" s="4"/>
      <c r="AN105" s="4"/>
      <c r="AO105" s="4"/>
      <c r="AP105" s="4"/>
      <c r="AQ105" s="4"/>
      <c r="AR105" s="4"/>
      <c r="AS105" s="4"/>
      <c r="AT105" s="4"/>
      <c r="AU105" s="4"/>
      <c r="AV105" s="4"/>
      <c r="AW105" s="4"/>
      <c r="AX105" s="4"/>
      <c r="AY105" s="4"/>
      <c r="AZ105" s="4"/>
      <c r="BA105" s="4"/>
      <c r="BB105" s="4"/>
      <c r="BC105" s="4"/>
      <c r="BD105" s="4"/>
      <c r="BE105" s="4"/>
      <c r="BF105" s="4"/>
      <c r="BG105" s="4"/>
      <c r="BH105" s="4"/>
      <c r="BI105" s="4"/>
      <c r="BJ105" s="4"/>
      <c r="BK105" s="4"/>
      <c r="BL105" s="4"/>
      <c r="BM105" s="4"/>
      <c r="BN105" s="4"/>
      <c r="BO105" s="4"/>
      <c r="BP105" s="4"/>
      <c r="BQ105" s="4"/>
      <c r="BR105" s="4"/>
      <c r="BS105" s="4"/>
      <c r="BT105" s="4"/>
      <c r="BU105" s="4"/>
      <c r="BV105" s="4"/>
      <c r="BW105" s="4"/>
      <c r="BX105" s="4"/>
      <c r="BY105" s="4"/>
      <c r="BZ105" s="4"/>
      <c r="CA105" s="4"/>
      <c r="CB105" s="4"/>
      <c r="CC105" s="4"/>
      <c r="CD105" s="4"/>
      <c r="CE105" s="4"/>
      <c r="CF105" s="4"/>
    </row>
    <row r="106" spans="1:84">
      <c r="A106" s="116"/>
      <c r="B106" s="116" t="s">
        <v>976</v>
      </c>
      <c r="C106" s="116">
        <v>1</v>
      </c>
      <c r="D106" s="218" t="s">
        <v>1026</v>
      </c>
      <c r="E106" s="163" t="s">
        <v>1017</v>
      </c>
      <c r="F106" s="163"/>
      <c r="G106" s="163"/>
      <c r="H106" s="163"/>
      <c r="I106" s="163"/>
      <c r="J106" s="163"/>
      <c r="K106" s="163"/>
      <c r="L106" s="163"/>
      <c r="M106" s="164">
        <v>43626</v>
      </c>
      <c r="N106" s="164">
        <v>43674</v>
      </c>
      <c r="O106" s="165"/>
      <c r="P106" s="166">
        <v>105</v>
      </c>
      <c r="Q106" s="166">
        <v>90</v>
      </c>
      <c r="R106" s="167">
        <v>35</v>
      </c>
      <c r="S106" s="167">
        <v>30</v>
      </c>
      <c r="T106" s="164"/>
      <c r="U106" s="164"/>
      <c r="V106" s="168">
        <v>0</v>
      </c>
      <c r="W106" s="169">
        <v>0</v>
      </c>
      <c r="X106" s="170"/>
      <c r="Y106" s="165"/>
      <c r="Z106" s="171"/>
      <c r="AA106" s="97">
        <v>0.8571428571428571</v>
      </c>
      <c r="AB106" s="172">
        <v>0</v>
      </c>
      <c r="AC106" s="123" t="str">
        <f>" " &amp; TEXT(AB106,"#0.00%") &amp; " "</f>
        <v xml:space="preserve"> 0.00% </v>
      </c>
      <c r="AD106" s="4"/>
      <c r="AE106" s="4"/>
      <c r="AF106" s="4"/>
      <c r="AG106" s="4"/>
      <c r="AH106" s="4"/>
      <c r="AI106" s="4"/>
      <c r="AJ106" s="4" t="str">
        <f>" " &amp; "테스트" &amp; " " &amp; IF(M106="","",TEXT(M106,"M/D-")) &amp; IF(N106="","",TEXT(N106,"M/D")) &amp; " "</f>
        <v xml:space="preserve"> 테스트 6/10-7/28 </v>
      </c>
      <c r="AK106" s="4"/>
      <c r="AL106" s="4"/>
      <c r="AM106" s="4"/>
      <c r="AN106" s="4"/>
      <c r="AO106" s="4"/>
      <c r="AP106" s="4"/>
      <c r="AQ106" s="4"/>
      <c r="AR106" s="4"/>
      <c r="AS106" s="4"/>
      <c r="AT106" s="4"/>
      <c r="AU106" s="4"/>
      <c r="AV106" s="4"/>
      <c r="AW106" s="4"/>
      <c r="AX106" s="4"/>
      <c r="AY106" s="4"/>
      <c r="AZ106" s="4"/>
      <c r="BA106" s="4"/>
      <c r="BB106" s="4"/>
      <c r="BC106" s="4"/>
      <c r="BD106" s="4"/>
      <c r="BE106" s="4"/>
      <c r="BF106" s="4"/>
      <c r="BG106" s="4"/>
      <c r="BH106" s="4"/>
      <c r="BI106" s="4"/>
      <c r="BJ106" s="4"/>
      <c r="BK106" s="4"/>
      <c r="BL106" s="4"/>
      <c r="BM106" s="4"/>
      <c r="BN106" s="4"/>
      <c r="BO106" s="4"/>
      <c r="BP106" s="4"/>
      <c r="BQ106" s="4"/>
      <c r="BR106" s="4"/>
      <c r="BS106" s="4"/>
      <c r="BT106" s="4"/>
      <c r="BU106" s="4"/>
      <c r="BV106" s="4"/>
      <c r="BW106" s="4"/>
      <c r="BX106" s="4"/>
      <c r="BY106" s="4"/>
      <c r="BZ106" s="4"/>
      <c r="CA106" s="4"/>
      <c r="CB106" s="4"/>
      <c r="CC106" s="4"/>
      <c r="CD106" s="4"/>
      <c r="CE106" s="4"/>
      <c r="CF106" s="4"/>
    </row>
    <row r="107" spans="1:84" outlineLevel="1">
      <c r="A107" s="116"/>
      <c r="B107" s="116" t="s">
        <v>976</v>
      </c>
      <c r="C107" s="116">
        <v>2</v>
      </c>
      <c r="D107" s="218" t="s">
        <v>1097</v>
      </c>
      <c r="E107" s="163"/>
      <c r="F107" s="163" t="s">
        <v>1078</v>
      </c>
      <c r="G107" s="163"/>
      <c r="H107" s="163"/>
      <c r="I107" s="163"/>
      <c r="J107" s="163"/>
      <c r="K107" s="163"/>
      <c r="L107" s="163"/>
      <c r="M107" s="164">
        <v>43626</v>
      </c>
      <c r="N107" s="164">
        <v>43674</v>
      </c>
      <c r="O107" s="165"/>
      <c r="P107" s="166">
        <v>105</v>
      </c>
      <c r="Q107" s="166">
        <v>90</v>
      </c>
      <c r="R107" s="167">
        <v>35</v>
      </c>
      <c r="S107" s="167">
        <v>30</v>
      </c>
      <c r="T107" s="164"/>
      <c r="U107" s="164"/>
      <c r="V107" s="168">
        <v>0</v>
      </c>
      <c r="W107" s="169">
        <v>0</v>
      </c>
      <c r="X107" s="170"/>
      <c r="Y107" s="165"/>
      <c r="Z107" s="171"/>
      <c r="AA107" s="97">
        <v>0.8571428571428571</v>
      </c>
      <c r="AB107" s="172">
        <v>0</v>
      </c>
      <c r="AC107" s="123" t="str">
        <f>" " &amp; TEXT(AB107,"#0.00%") &amp; " "</f>
        <v xml:space="preserve"> 0.00% </v>
      </c>
      <c r="AD107" s="4"/>
      <c r="AE107" s="4"/>
      <c r="AF107" s="4"/>
      <c r="AG107" s="4"/>
      <c r="AH107" s="4"/>
      <c r="AI107" s="4"/>
      <c r="AJ107" s="4" t="str">
        <f>" " &amp; "통합 테스트 및 디버깅" &amp; " " &amp; IF(M107="","",TEXT(M107,"M/D-")) &amp; IF(N107="","",TEXT(N107,"M/D")) &amp; " "</f>
        <v xml:space="preserve"> 통합 테스트 및 디버깅 6/10-7/28 </v>
      </c>
      <c r="AK107" s="4"/>
      <c r="AL107" s="4"/>
      <c r="AM107" s="4"/>
      <c r="AN107" s="4"/>
      <c r="AO107" s="4"/>
      <c r="AP107" s="4"/>
      <c r="AQ107" s="4"/>
      <c r="AR107" s="4"/>
      <c r="AS107" s="4"/>
      <c r="AT107" s="4"/>
      <c r="AU107" s="4"/>
      <c r="AV107" s="4"/>
      <c r="AW107" s="4"/>
      <c r="AX107" s="4"/>
      <c r="AY107" s="4"/>
      <c r="AZ107" s="4"/>
      <c r="BA107" s="4"/>
      <c r="BB107" s="4"/>
      <c r="BC107" s="4"/>
      <c r="BD107" s="4"/>
      <c r="BE107" s="4"/>
      <c r="BF107" s="4"/>
      <c r="BG107" s="4"/>
      <c r="BH107" s="4"/>
      <c r="BI107" s="4"/>
      <c r="BJ107" s="4"/>
      <c r="BK107" s="4"/>
      <c r="BL107" s="4"/>
      <c r="BM107" s="4"/>
      <c r="BN107" s="4"/>
      <c r="BO107" s="4"/>
      <c r="BP107" s="4"/>
      <c r="BQ107" s="4"/>
      <c r="BR107" s="4"/>
      <c r="BS107" s="4"/>
      <c r="BT107" s="4"/>
      <c r="BU107" s="4"/>
      <c r="BV107" s="4"/>
      <c r="BW107" s="4"/>
      <c r="BX107" s="4"/>
      <c r="BY107" s="4"/>
      <c r="BZ107" s="4"/>
      <c r="CA107" s="4"/>
      <c r="CB107" s="4"/>
      <c r="CC107" s="4"/>
      <c r="CD107" s="4"/>
      <c r="CE107" s="4"/>
      <c r="CF107" s="4"/>
    </row>
    <row r="108" spans="1:84" outlineLevel="2">
      <c r="A108" s="116"/>
      <c r="B108" s="116"/>
      <c r="C108" s="116">
        <v>3</v>
      </c>
      <c r="D108" s="218" t="s">
        <v>1098</v>
      </c>
      <c r="E108" s="163"/>
      <c r="F108" s="163"/>
      <c r="G108" s="220" t="s">
        <v>1081</v>
      </c>
      <c r="H108" s="163"/>
      <c r="I108" s="163"/>
      <c r="J108" s="163"/>
      <c r="K108" s="163"/>
      <c r="L108" s="163"/>
      <c r="M108" s="164"/>
      <c r="N108" s="164"/>
      <c r="O108" s="165"/>
      <c r="P108" s="166">
        <v>0</v>
      </c>
      <c r="Q108" s="166">
        <v>0</v>
      </c>
      <c r="R108" s="167">
        <v>0</v>
      </c>
      <c r="S108" s="167">
        <v>0</v>
      </c>
      <c r="T108" s="164"/>
      <c r="U108" s="164"/>
      <c r="V108" s="168">
        <v>0</v>
      </c>
      <c r="W108" s="169">
        <v>0</v>
      </c>
      <c r="X108" s="170"/>
      <c r="Y108" s="165"/>
      <c r="Z108" s="171"/>
      <c r="AA108" s="97">
        <v>0</v>
      </c>
      <c r="AB108" s="172">
        <v>0</v>
      </c>
      <c r="AC108" s="123"/>
      <c r="AD108" s="4"/>
      <c r="AE108" s="4"/>
      <c r="AF108" s="4"/>
      <c r="AG108" s="4"/>
      <c r="AH108" s="4"/>
      <c r="AI108" s="4"/>
      <c r="AJ108" s="4"/>
      <c r="AK108" s="4"/>
      <c r="AL108" s="4"/>
      <c r="AM108" s="4"/>
      <c r="AN108" s="4"/>
      <c r="AO108" s="4"/>
      <c r="AP108" s="4"/>
      <c r="AQ108" s="4"/>
      <c r="AR108" s="4"/>
      <c r="AS108" s="4"/>
      <c r="AT108" s="4"/>
      <c r="AU108" s="4"/>
      <c r="AV108" s="4"/>
      <c r="AW108" s="4"/>
      <c r="AX108" s="4"/>
      <c r="AY108" s="4"/>
      <c r="AZ108" s="4"/>
      <c r="BA108" s="4"/>
      <c r="BB108" s="4"/>
      <c r="BC108" s="4"/>
      <c r="BD108" s="4"/>
      <c r="BE108" s="4"/>
      <c r="BF108" s="4"/>
      <c r="BG108" s="4"/>
      <c r="BH108" s="4"/>
      <c r="BI108" s="4"/>
      <c r="BJ108" s="4"/>
      <c r="BK108" s="4"/>
      <c r="BL108" s="4"/>
      <c r="BM108" s="4"/>
      <c r="BN108" s="4"/>
      <c r="BO108" s="4"/>
      <c r="BP108" s="4"/>
      <c r="BQ108" s="4"/>
      <c r="BR108" s="4"/>
      <c r="BS108" s="4"/>
      <c r="BT108" s="4"/>
      <c r="BU108" s="4"/>
      <c r="BV108" s="4"/>
      <c r="BW108" s="4"/>
      <c r="BX108" s="4"/>
      <c r="BY108" s="4"/>
      <c r="BZ108" s="4"/>
      <c r="CA108" s="4"/>
      <c r="CB108" s="4"/>
      <c r="CC108" s="4"/>
      <c r="CD108" s="4"/>
      <c r="CE108" s="4"/>
      <c r="CF108" s="4"/>
    </row>
    <row r="109" spans="1:84" outlineLevel="2">
      <c r="A109" s="116"/>
      <c r="B109" s="116"/>
      <c r="C109" s="116">
        <v>3</v>
      </c>
      <c r="D109" s="218" t="s">
        <v>1099</v>
      </c>
      <c r="E109" s="163"/>
      <c r="F109" s="163"/>
      <c r="G109" s="220" t="s">
        <v>1082</v>
      </c>
      <c r="H109" s="163"/>
      <c r="I109" s="163"/>
      <c r="J109" s="163"/>
      <c r="K109" s="163"/>
      <c r="L109" s="163"/>
      <c r="M109" s="164"/>
      <c r="N109" s="164"/>
      <c r="O109" s="165"/>
      <c r="P109" s="166">
        <v>0</v>
      </c>
      <c r="Q109" s="166">
        <v>0</v>
      </c>
      <c r="R109" s="167">
        <v>0</v>
      </c>
      <c r="S109" s="167">
        <v>0</v>
      </c>
      <c r="T109" s="164"/>
      <c r="U109" s="164"/>
      <c r="V109" s="168">
        <v>0</v>
      </c>
      <c r="W109" s="169">
        <v>0</v>
      </c>
      <c r="X109" s="170"/>
      <c r="Y109" s="165"/>
      <c r="Z109" s="171"/>
      <c r="AA109" s="97">
        <v>0</v>
      </c>
      <c r="AB109" s="172">
        <v>0</v>
      </c>
      <c r="AC109" s="123"/>
      <c r="AD109" s="4"/>
      <c r="AE109" s="4"/>
      <c r="AF109" s="4"/>
      <c r="AG109" s="4"/>
      <c r="AH109" s="4"/>
      <c r="AI109" s="4"/>
      <c r="AJ109" s="4"/>
      <c r="AK109" s="4"/>
      <c r="AL109" s="4"/>
      <c r="AM109" s="4"/>
      <c r="AN109" s="4"/>
      <c r="AO109" s="4"/>
      <c r="AP109" s="4"/>
      <c r="AQ109" s="4"/>
      <c r="AR109" s="4"/>
      <c r="AS109" s="4"/>
      <c r="AT109" s="4"/>
      <c r="AU109" s="4"/>
      <c r="AV109" s="4"/>
      <c r="AW109" s="4"/>
      <c r="AX109" s="4"/>
      <c r="AY109" s="4"/>
      <c r="AZ109" s="4"/>
      <c r="BA109" s="4"/>
      <c r="BB109" s="4"/>
      <c r="BC109" s="4"/>
      <c r="BD109" s="4"/>
      <c r="BE109" s="4"/>
      <c r="BF109" s="4"/>
      <c r="BG109" s="4"/>
      <c r="BH109" s="4"/>
      <c r="BI109" s="4"/>
      <c r="BJ109" s="4"/>
      <c r="BK109" s="4"/>
      <c r="BL109" s="4"/>
      <c r="BM109" s="4"/>
      <c r="BN109" s="4"/>
      <c r="BO109" s="4"/>
      <c r="BP109" s="4"/>
      <c r="BQ109" s="4"/>
      <c r="BR109" s="4"/>
      <c r="BS109" s="4"/>
      <c r="BT109" s="4"/>
      <c r="BU109" s="4"/>
      <c r="BV109" s="4"/>
      <c r="BW109" s="4"/>
      <c r="BX109" s="4"/>
      <c r="BY109" s="4"/>
      <c r="BZ109" s="4"/>
      <c r="CA109" s="4"/>
      <c r="CB109" s="4"/>
      <c r="CC109" s="4"/>
      <c r="CD109" s="4"/>
      <c r="CE109" s="4"/>
      <c r="CF109" s="4"/>
    </row>
    <row r="110" spans="1:84" outlineLevel="2">
      <c r="A110" s="116"/>
      <c r="B110" s="116"/>
      <c r="C110" s="116">
        <v>3</v>
      </c>
      <c r="D110" s="218" t="s">
        <v>1100</v>
      </c>
      <c r="E110" s="163"/>
      <c r="F110" s="163"/>
      <c r="G110" s="220" t="s">
        <v>1083</v>
      </c>
      <c r="H110" s="163"/>
      <c r="I110" s="163"/>
      <c r="J110" s="163"/>
      <c r="K110" s="163"/>
      <c r="L110" s="163"/>
      <c r="M110" s="164">
        <v>43626</v>
      </c>
      <c r="N110" s="164">
        <v>43674</v>
      </c>
      <c r="O110" s="165"/>
      <c r="P110" s="166">
        <v>35</v>
      </c>
      <c r="Q110" s="166">
        <v>30</v>
      </c>
      <c r="R110" s="167">
        <v>35</v>
      </c>
      <c r="S110" s="167">
        <v>30</v>
      </c>
      <c r="T110" s="164"/>
      <c r="U110" s="164"/>
      <c r="V110" s="168"/>
      <c r="W110" s="169">
        <v>0</v>
      </c>
      <c r="X110" s="170">
        <v>1</v>
      </c>
      <c r="Y110" s="165"/>
      <c r="Z110" s="171"/>
      <c r="AA110" s="97">
        <v>0.8571428571428571</v>
      </c>
      <c r="AB110" s="172">
        <v>0</v>
      </c>
      <c r="AC110" s="123" t="str">
        <f>" " &amp; TEXT(AB110,"#0.00%") &amp; " "</f>
        <v xml:space="preserve"> 0.00% </v>
      </c>
      <c r="AD110" s="4"/>
      <c r="AE110" s="4"/>
      <c r="AF110" s="4"/>
      <c r="AG110" s="4"/>
      <c r="AH110" s="4"/>
      <c r="AI110" s="4"/>
      <c r="AJ110" s="4" t="str">
        <f>" " &amp; "디자인 지침" &amp; " " &amp; IF(M110="","",TEXT(M110,"M/D-")) &amp; IF(N110="","",TEXT(N110,"M/D")) &amp; " "</f>
        <v xml:space="preserve"> 디자인 지침 6/10-7/28 </v>
      </c>
      <c r="AK110" s="4"/>
      <c r="AL110" s="4"/>
      <c r="AM110" s="4"/>
      <c r="AN110" s="4"/>
      <c r="AO110" s="4"/>
      <c r="AP110" s="4"/>
      <c r="AQ110" s="4"/>
      <c r="AR110" s="4"/>
      <c r="AS110" s="4"/>
      <c r="AT110" s="4"/>
      <c r="AU110" s="4"/>
      <c r="AV110" s="4"/>
      <c r="AW110" s="4"/>
      <c r="AX110" s="4"/>
      <c r="AY110" s="4"/>
      <c r="AZ110" s="4"/>
      <c r="BA110" s="4"/>
      <c r="BB110" s="4"/>
      <c r="BC110" s="4"/>
      <c r="BD110" s="4"/>
      <c r="BE110" s="4"/>
      <c r="BF110" s="4"/>
      <c r="BG110" s="4"/>
      <c r="BH110" s="4"/>
      <c r="BI110" s="4"/>
      <c r="BJ110" s="4"/>
      <c r="BK110" s="4"/>
      <c r="BL110" s="4"/>
      <c r="BM110" s="4"/>
      <c r="BN110" s="4"/>
      <c r="BO110" s="4"/>
      <c r="BP110" s="4"/>
      <c r="BQ110" s="4"/>
      <c r="BR110" s="4"/>
      <c r="BS110" s="4"/>
      <c r="BT110" s="4"/>
      <c r="BU110" s="4"/>
      <c r="BV110" s="4"/>
      <c r="BW110" s="4"/>
      <c r="BX110" s="4"/>
      <c r="BY110" s="4"/>
      <c r="BZ110" s="4"/>
      <c r="CA110" s="4"/>
      <c r="CB110" s="4"/>
      <c r="CC110" s="4"/>
      <c r="CD110" s="4"/>
      <c r="CE110" s="4"/>
      <c r="CF110" s="4"/>
    </row>
    <row r="111" spans="1:84" outlineLevel="2">
      <c r="A111" s="116"/>
      <c r="B111" s="116"/>
      <c r="C111" s="116">
        <v>3</v>
      </c>
      <c r="D111" s="218" t="s">
        <v>1101</v>
      </c>
      <c r="E111" s="163"/>
      <c r="F111" s="163"/>
      <c r="G111" s="220" t="s">
        <v>1084</v>
      </c>
      <c r="H111" s="163"/>
      <c r="I111" s="163"/>
      <c r="J111" s="163"/>
      <c r="K111" s="163"/>
      <c r="L111" s="163"/>
      <c r="M111" s="164">
        <v>43626</v>
      </c>
      <c r="N111" s="164">
        <v>43674</v>
      </c>
      <c r="O111" s="165"/>
      <c r="P111" s="166">
        <v>35</v>
      </c>
      <c r="Q111" s="166">
        <v>30</v>
      </c>
      <c r="R111" s="167">
        <v>35</v>
      </c>
      <c r="S111" s="167">
        <v>30</v>
      </c>
      <c r="T111" s="164"/>
      <c r="U111" s="164"/>
      <c r="V111" s="168"/>
      <c r="W111" s="169">
        <v>0</v>
      </c>
      <c r="X111" s="170">
        <v>1</v>
      </c>
      <c r="Y111" s="165"/>
      <c r="Z111" s="171"/>
      <c r="AA111" s="97">
        <v>0.8571428571428571</v>
      </c>
      <c r="AB111" s="172">
        <v>0</v>
      </c>
      <c r="AC111" s="123" t="str">
        <f>" " &amp; TEXT(AB111,"#0.00%") &amp; " "</f>
        <v xml:space="preserve"> 0.00% </v>
      </c>
      <c r="AD111" s="4"/>
      <c r="AE111" s="4"/>
      <c r="AF111" s="4"/>
      <c r="AG111" s="4"/>
      <c r="AH111" s="4"/>
      <c r="AI111" s="4"/>
      <c r="AJ111" s="4" t="str">
        <f>" " &amp; "퍼블리싱 지침" &amp; " " &amp; IF(M111="","",TEXT(M111,"M/D-")) &amp; IF(N111="","",TEXT(N111,"M/D")) &amp; " "</f>
        <v xml:space="preserve"> 퍼블리싱 지침 6/10-7/28 </v>
      </c>
      <c r="AK111" s="4"/>
      <c r="AL111" s="4"/>
      <c r="AM111" s="4"/>
      <c r="AN111" s="4"/>
      <c r="AO111" s="4"/>
      <c r="AP111" s="4"/>
      <c r="AQ111" s="4"/>
      <c r="AR111" s="4"/>
      <c r="AS111" s="4"/>
      <c r="AT111" s="4"/>
      <c r="AU111" s="4"/>
      <c r="AV111" s="4"/>
      <c r="AW111" s="4"/>
      <c r="AX111" s="4"/>
      <c r="AY111" s="4"/>
      <c r="AZ111" s="4"/>
      <c r="BA111" s="4"/>
      <c r="BB111" s="4"/>
      <c r="BC111" s="4"/>
      <c r="BD111" s="4"/>
      <c r="BE111" s="4"/>
      <c r="BF111" s="4"/>
      <c r="BG111" s="4"/>
      <c r="BH111" s="4"/>
      <c r="BI111" s="4"/>
      <c r="BJ111" s="4"/>
      <c r="BK111" s="4"/>
      <c r="BL111" s="4"/>
      <c r="BM111" s="4"/>
      <c r="BN111" s="4"/>
      <c r="BO111" s="4"/>
      <c r="BP111" s="4"/>
      <c r="BQ111" s="4"/>
      <c r="BR111" s="4"/>
      <c r="BS111" s="4"/>
      <c r="BT111" s="4"/>
      <c r="BU111" s="4"/>
      <c r="BV111" s="4"/>
      <c r="BW111" s="4"/>
      <c r="BX111" s="4"/>
      <c r="BY111" s="4"/>
      <c r="BZ111" s="4"/>
      <c r="CA111" s="4"/>
      <c r="CB111" s="4"/>
      <c r="CC111" s="4"/>
      <c r="CD111" s="4"/>
      <c r="CE111" s="4"/>
      <c r="CF111" s="4"/>
    </row>
    <row r="112" spans="1:84" outlineLevel="2">
      <c r="A112" s="116"/>
      <c r="B112" s="116"/>
      <c r="C112" s="116">
        <v>3</v>
      </c>
      <c r="D112" s="218" t="s">
        <v>1102</v>
      </c>
      <c r="E112" s="163"/>
      <c r="F112" s="163"/>
      <c r="G112" s="220" t="s">
        <v>1085</v>
      </c>
      <c r="H112" s="163"/>
      <c r="I112" s="163"/>
      <c r="J112" s="163"/>
      <c r="K112" s="163"/>
      <c r="L112" s="163"/>
      <c r="M112" s="164">
        <v>43626</v>
      </c>
      <c r="N112" s="164">
        <v>43674</v>
      </c>
      <c r="O112" s="165"/>
      <c r="P112" s="166">
        <v>35</v>
      </c>
      <c r="Q112" s="166">
        <v>30</v>
      </c>
      <c r="R112" s="167">
        <v>35</v>
      </c>
      <c r="S112" s="167">
        <v>30</v>
      </c>
      <c r="T112" s="164"/>
      <c r="U112" s="164"/>
      <c r="V112" s="168"/>
      <c r="W112" s="169">
        <v>0</v>
      </c>
      <c r="X112" s="170">
        <v>1</v>
      </c>
      <c r="Y112" s="165"/>
      <c r="Z112" s="171"/>
      <c r="AA112" s="97">
        <v>0.8571428571428571</v>
      </c>
      <c r="AB112" s="172">
        <v>0</v>
      </c>
      <c r="AC112" s="123" t="str">
        <f>" " &amp; TEXT(AB112,"#0.00%") &amp; " "</f>
        <v xml:space="preserve"> 0.00% </v>
      </c>
      <c r="AD112" s="4"/>
      <c r="AE112" s="4"/>
      <c r="AF112" s="4"/>
      <c r="AG112" s="4"/>
      <c r="AH112" s="4"/>
      <c r="AI112" s="4"/>
      <c r="AJ112" s="4" t="str">
        <f>" " &amp; "개발 지침" &amp; " " &amp; IF(M112="","",TEXT(M112,"M/D-")) &amp; IF(N112="","",TEXT(N112,"M/D")) &amp; " "</f>
        <v xml:space="preserve"> 개발 지침 6/10-7/28 </v>
      </c>
      <c r="AK112" s="4"/>
      <c r="AL112" s="4"/>
      <c r="AM112" s="4"/>
      <c r="AN112" s="4"/>
      <c r="AO112" s="4"/>
      <c r="AP112" s="4"/>
      <c r="AQ112" s="4"/>
      <c r="AR112" s="4"/>
      <c r="AS112" s="4"/>
      <c r="AT112" s="4"/>
      <c r="AU112" s="4"/>
      <c r="AV112" s="4"/>
      <c r="AW112" s="4"/>
      <c r="AX112" s="4"/>
      <c r="AY112" s="4"/>
      <c r="AZ112" s="4"/>
      <c r="BA112" s="4"/>
      <c r="BB112" s="4"/>
      <c r="BC112" s="4"/>
      <c r="BD112" s="4"/>
      <c r="BE112" s="4"/>
      <c r="BF112" s="4"/>
      <c r="BG112" s="4"/>
      <c r="BH112" s="4"/>
      <c r="BI112" s="4"/>
      <c r="BJ112" s="4"/>
      <c r="BK112" s="4"/>
      <c r="BL112" s="4"/>
      <c r="BM112" s="4"/>
      <c r="BN112" s="4"/>
      <c r="BO112" s="4"/>
      <c r="BP112" s="4"/>
      <c r="BQ112" s="4"/>
      <c r="BR112" s="4"/>
      <c r="BS112" s="4"/>
      <c r="BT112" s="4"/>
      <c r="BU112" s="4"/>
      <c r="BV112" s="4"/>
      <c r="BW112" s="4"/>
      <c r="BX112" s="4"/>
      <c r="BY112" s="4"/>
      <c r="BZ112" s="4"/>
      <c r="CA112" s="4"/>
      <c r="CB112" s="4"/>
      <c r="CC112" s="4"/>
      <c r="CD112" s="4"/>
      <c r="CE112" s="4"/>
      <c r="CF112" s="4"/>
    </row>
    <row r="113" spans="1:84" outlineLevel="2">
      <c r="A113" s="116"/>
      <c r="B113" s="116"/>
      <c r="C113" s="116">
        <v>0</v>
      </c>
      <c r="D113" s="219"/>
      <c r="E113" s="163"/>
      <c r="F113" s="163"/>
      <c r="G113" s="163"/>
      <c r="H113" s="163"/>
      <c r="I113" s="163"/>
      <c r="J113" s="163"/>
      <c r="K113" s="163"/>
      <c r="L113" s="163"/>
      <c r="M113" s="164"/>
      <c r="N113" s="164"/>
      <c r="O113" s="165"/>
      <c r="P113" s="166"/>
      <c r="Q113" s="166"/>
      <c r="R113" s="167">
        <v>0</v>
      </c>
      <c r="S113" s="167">
        <v>0</v>
      </c>
      <c r="T113" s="164"/>
      <c r="U113" s="164"/>
      <c r="V113" s="168"/>
      <c r="W113" s="169">
        <v>0</v>
      </c>
      <c r="X113" s="170"/>
      <c r="Y113" s="165"/>
      <c r="Z113" s="171"/>
      <c r="AA113" s="97"/>
      <c r="AB113" s="172"/>
      <c r="AC113" s="123"/>
      <c r="AD113" s="4"/>
      <c r="AE113" s="4"/>
      <c r="AF113" s="4"/>
      <c r="AG113" s="4"/>
      <c r="AH113" s="4"/>
      <c r="AI113" s="4"/>
      <c r="AJ113" s="4"/>
      <c r="AK113" s="4"/>
      <c r="AL113" s="4"/>
      <c r="AM113" s="4"/>
      <c r="AN113" s="4"/>
      <c r="AO113" s="4"/>
      <c r="AP113" s="4"/>
      <c r="AQ113" s="4"/>
      <c r="AR113" s="4"/>
      <c r="AS113" s="4"/>
      <c r="AT113" s="4"/>
      <c r="AU113" s="4"/>
      <c r="AV113" s="4"/>
      <c r="AW113" s="4"/>
      <c r="AX113" s="4"/>
      <c r="AY113" s="4"/>
      <c r="AZ113" s="4"/>
      <c r="BA113" s="4"/>
      <c r="BB113" s="4"/>
      <c r="BC113" s="4"/>
      <c r="BD113" s="4"/>
      <c r="BE113" s="4"/>
      <c r="BF113" s="4"/>
      <c r="BG113" s="4"/>
      <c r="BH113" s="4"/>
      <c r="BI113" s="4"/>
      <c r="BJ113" s="4"/>
      <c r="BK113" s="4"/>
      <c r="BL113" s="4"/>
      <c r="BM113" s="4"/>
      <c r="BN113" s="4"/>
      <c r="BO113" s="4"/>
      <c r="BP113" s="4"/>
      <c r="BQ113" s="4"/>
      <c r="BR113" s="4"/>
      <c r="BS113" s="4"/>
      <c r="BT113" s="4"/>
      <c r="BU113" s="4"/>
      <c r="BV113" s="4"/>
      <c r="BW113" s="4"/>
      <c r="BX113" s="4"/>
      <c r="BY113" s="4"/>
      <c r="BZ113" s="4"/>
      <c r="CA113" s="4"/>
      <c r="CB113" s="4"/>
      <c r="CC113" s="4"/>
      <c r="CD113" s="4"/>
      <c r="CE113" s="4"/>
      <c r="CF113" s="4"/>
    </row>
    <row r="114" spans="1:84">
      <c r="A114" s="116"/>
      <c r="B114" s="116" t="s">
        <v>976</v>
      </c>
      <c r="C114" s="116">
        <v>1</v>
      </c>
      <c r="D114" s="218" t="s">
        <v>1027</v>
      </c>
      <c r="E114" s="163" t="s">
        <v>1018</v>
      </c>
      <c r="F114" s="163"/>
      <c r="G114" s="163"/>
      <c r="H114" s="163"/>
      <c r="I114" s="163"/>
      <c r="J114" s="163"/>
      <c r="K114" s="163"/>
      <c r="L114" s="163"/>
      <c r="M114" s="164"/>
      <c r="N114" s="164"/>
      <c r="O114" s="165"/>
      <c r="P114" s="166">
        <v>0</v>
      </c>
      <c r="Q114" s="166">
        <v>0</v>
      </c>
      <c r="R114" s="167">
        <v>0</v>
      </c>
      <c r="S114" s="167">
        <v>0</v>
      </c>
      <c r="T114" s="164"/>
      <c r="U114" s="164"/>
      <c r="V114" s="168">
        <v>0</v>
      </c>
      <c r="W114" s="169">
        <v>0</v>
      </c>
      <c r="X114" s="170"/>
      <c r="Y114" s="165"/>
      <c r="Z114" s="171"/>
      <c r="AA114" s="97">
        <v>0</v>
      </c>
      <c r="AB114" s="172">
        <v>0</v>
      </c>
      <c r="AC114" s="123"/>
      <c r="AD114" s="4"/>
      <c r="AE114" s="4"/>
      <c r="AF114" s="4"/>
      <c r="AG114" s="4"/>
      <c r="AH114" s="4"/>
      <c r="AI114" s="4"/>
      <c r="AJ114" s="4"/>
      <c r="AK114" s="4"/>
      <c r="AL114" s="4"/>
      <c r="AM114" s="4"/>
      <c r="AN114" s="4"/>
      <c r="AO114" s="4"/>
      <c r="AP114" s="4"/>
      <c r="AQ114" s="4"/>
      <c r="AR114" s="4"/>
      <c r="AS114" s="4"/>
      <c r="AT114" s="4"/>
      <c r="AU114" s="4"/>
      <c r="AV114" s="4"/>
      <c r="AW114" s="4"/>
      <c r="AX114" s="4"/>
      <c r="AY114" s="4"/>
      <c r="AZ114" s="4"/>
      <c r="BA114" s="4"/>
      <c r="BB114" s="4"/>
      <c r="BC114" s="4"/>
      <c r="BD114" s="4"/>
      <c r="BE114" s="4"/>
      <c r="BF114" s="4"/>
      <c r="BG114" s="4"/>
      <c r="BH114" s="4"/>
      <c r="BI114" s="4"/>
      <c r="BJ114" s="4"/>
      <c r="BK114" s="4"/>
      <c r="BL114" s="4"/>
      <c r="BM114" s="4"/>
      <c r="BN114" s="4"/>
      <c r="BO114" s="4"/>
      <c r="BP114" s="4"/>
      <c r="BQ114" s="4"/>
      <c r="BR114" s="4"/>
      <c r="BS114" s="4"/>
      <c r="BT114" s="4"/>
      <c r="BU114" s="4"/>
      <c r="BV114" s="4"/>
      <c r="BW114" s="4"/>
      <c r="BX114" s="4"/>
      <c r="BY114" s="4"/>
      <c r="BZ114" s="4"/>
      <c r="CA114" s="4"/>
      <c r="CB114" s="4"/>
      <c r="CC114" s="4"/>
      <c r="CD114" s="4"/>
      <c r="CE114" s="4"/>
      <c r="CF114" s="4"/>
    </row>
    <row r="115" spans="1:84" outlineLevel="1">
      <c r="A115" s="116"/>
      <c r="B115" s="116" t="s">
        <v>976</v>
      </c>
      <c r="C115" s="116">
        <v>2</v>
      </c>
      <c r="D115" s="218" t="s">
        <v>1103</v>
      </c>
      <c r="E115" s="163"/>
      <c r="F115" s="163" t="s">
        <v>1018</v>
      </c>
      <c r="G115" s="163"/>
      <c r="H115" s="163"/>
      <c r="I115" s="163"/>
      <c r="J115" s="163"/>
      <c r="K115" s="163"/>
      <c r="L115" s="163"/>
      <c r="M115" s="164"/>
      <c r="N115" s="164"/>
      <c r="O115" s="165"/>
      <c r="P115" s="166">
        <v>0</v>
      </c>
      <c r="Q115" s="166">
        <v>0</v>
      </c>
      <c r="R115" s="167"/>
      <c r="S115" s="167"/>
      <c r="T115" s="164"/>
      <c r="U115" s="164"/>
      <c r="V115" s="168">
        <v>0</v>
      </c>
      <c r="W115" s="169"/>
      <c r="X115" s="170"/>
      <c r="Y115" s="165"/>
      <c r="Z115" s="171"/>
      <c r="AA115" s="97">
        <v>0</v>
      </c>
      <c r="AB115" s="172">
        <v>0</v>
      </c>
      <c r="AC115" s="123"/>
      <c r="AD115" s="4"/>
      <c r="AE115" s="4"/>
      <c r="AF115" s="4"/>
      <c r="AG115" s="4"/>
      <c r="AH115" s="4"/>
      <c r="AI115" s="4"/>
      <c r="AJ115" s="4"/>
      <c r="AK115" s="4"/>
      <c r="AL115" s="4"/>
      <c r="AM115" s="4"/>
      <c r="AN115" s="4"/>
      <c r="AO115" s="4"/>
      <c r="AP115" s="4"/>
      <c r="AQ115" s="4"/>
      <c r="AR115" s="4"/>
      <c r="AS115" s="4"/>
      <c r="AT115" s="4"/>
      <c r="AU115" s="4"/>
      <c r="AV115" s="4"/>
      <c r="AW115" s="4"/>
      <c r="AX115" s="4"/>
      <c r="AY115" s="4"/>
      <c r="AZ115" s="4"/>
      <c r="BA115" s="4"/>
      <c r="BB115" s="4"/>
      <c r="BC115" s="4"/>
      <c r="BD115" s="4"/>
      <c r="BE115" s="4"/>
      <c r="BF115" s="4"/>
      <c r="BG115" s="4"/>
      <c r="BH115" s="4"/>
      <c r="BI115" s="4"/>
      <c r="BJ115" s="4"/>
      <c r="BK115" s="4"/>
      <c r="BL115" s="4"/>
      <c r="BM115" s="4"/>
      <c r="BN115" s="4"/>
      <c r="BO115" s="4"/>
      <c r="BP115" s="4"/>
      <c r="BQ115" s="4"/>
      <c r="BR115" s="4"/>
      <c r="BS115" s="4"/>
      <c r="BT115" s="4"/>
      <c r="BU115" s="4"/>
      <c r="BV115" s="4"/>
      <c r="BW115" s="4"/>
      <c r="BX115" s="4"/>
      <c r="BY115" s="4"/>
      <c r="BZ115" s="4"/>
      <c r="CA115" s="4"/>
      <c r="CB115" s="4"/>
      <c r="CC115" s="4"/>
      <c r="CD115" s="4"/>
      <c r="CE115" s="4"/>
      <c r="CF115" s="4"/>
    </row>
    <row r="116" spans="1:84" outlineLevel="2">
      <c r="A116" s="116"/>
      <c r="B116" s="116"/>
      <c r="C116" s="116">
        <v>3</v>
      </c>
      <c r="D116" s="218" t="s">
        <v>1104</v>
      </c>
      <c r="E116" s="163"/>
      <c r="F116" s="163"/>
      <c r="G116" s="220" t="s">
        <v>1086</v>
      </c>
      <c r="H116" s="163"/>
      <c r="I116" s="163"/>
      <c r="J116" s="163"/>
      <c r="K116" s="163"/>
      <c r="L116" s="163"/>
      <c r="M116" s="164"/>
      <c r="N116" s="164"/>
      <c r="O116" s="165"/>
      <c r="P116" s="166">
        <v>0</v>
      </c>
      <c r="Q116" s="166">
        <v>0</v>
      </c>
      <c r="R116" s="167"/>
      <c r="S116" s="167"/>
      <c r="T116" s="164"/>
      <c r="U116" s="164"/>
      <c r="V116" s="168">
        <v>0</v>
      </c>
      <c r="W116" s="169"/>
      <c r="X116" s="170"/>
      <c r="Y116" s="165"/>
      <c r="Z116" s="171"/>
      <c r="AA116" s="97">
        <v>0</v>
      </c>
      <c r="AB116" s="172">
        <v>0</v>
      </c>
      <c r="AC116" s="123"/>
      <c r="AD116" s="4"/>
      <c r="AE116" s="4"/>
      <c r="AF116" s="4"/>
      <c r="AG116" s="4"/>
      <c r="AH116" s="4"/>
      <c r="AI116" s="4"/>
      <c r="AJ116" s="4"/>
      <c r="AK116" s="4"/>
      <c r="AL116" s="4"/>
      <c r="AM116" s="4"/>
      <c r="AN116" s="4"/>
      <c r="AO116" s="4"/>
      <c r="AP116" s="4"/>
      <c r="AQ116" s="4"/>
      <c r="AR116" s="4"/>
      <c r="AS116" s="4"/>
      <c r="AT116" s="4"/>
      <c r="AU116" s="4"/>
      <c r="AV116" s="4"/>
      <c r="AW116" s="4"/>
      <c r="AX116" s="4"/>
      <c r="AY116" s="4"/>
      <c r="AZ116" s="4"/>
      <c r="BA116" s="4"/>
      <c r="BB116" s="4"/>
      <c r="BC116" s="4"/>
      <c r="BD116" s="4"/>
      <c r="BE116" s="4"/>
      <c r="BF116" s="4"/>
      <c r="BG116" s="4"/>
      <c r="BH116" s="4"/>
      <c r="BI116" s="4"/>
      <c r="BJ116" s="4"/>
      <c r="BK116" s="4"/>
      <c r="BL116" s="4"/>
      <c r="BM116" s="4"/>
      <c r="BN116" s="4"/>
      <c r="BO116" s="4"/>
      <c r="BP116" s="4"/>
      <c r="BQ116" s="4"/>
      <c r="BR116" s="4"/>
      <c r="BS116" s="4"/>
      <c r="BT116" s="4"/>
      <c r="BU116" s="4"/>
      <c r="BV116" s="4"/>
      <c r="BW116" s="4"/>
      <c r="BX116" s="4"/>
      <c r="BY116" s="4"/>
      <c r="BZ116" s="4"/>
      <c r="CA116" s="4"/>
      <c r="CB116" s="4"/>
      <c r="CC116" s="4"/>
      <c r="CD116" s="4"/>
      <c r="CE116" s="4"/>
      <c r="CF116" s="4"/>
    </row>
    <row r="117" spans="1:84" outlineLevel="2">
      <c r="A117" s="116"/>
      <c r="B117" s="116"/>
      <c r="C117" s="116">
        <v>3</v>
      </c>
      <c r="D117" s="3" t="s">
        <v>1105</v>
      </c>
      <c r="E117" s="163"/>
      <c r="F117" s="163"/>
      <c r="G117" s="220" t="s">
        <v>1087</v>
      </c>
      <c r="H117" s="163"/>
      <c r="I117" s="163"/>
      <c r="J117" s="163"/>
      <c r="K117" s="163"/>
      <c r="L117" s="163"/>
      <c r="M117" s="164"/>
      <c r="N117" s="164"/>
      <c r="O117" s="165"/>
      <c r="P117" s="166">
        <v>0</v>
      </c>
      <c r="Q117" s="166">
        <v>0</v>
      </c>
      <c r="R117" s="167">
        <v>67</v>
      </c>
      <c r="S117" s="167">
        <v>67</v>
      </c>
      <c r="T117" s="164"/>
      <c r="U117" s="164"/>
      <c r="V117" s="168">
        <v>0</v>
      </c>
      <c r="W117" s="169">
        <v>0</v>
      </c>
      <c r="X117" s="170"/>
      <c r="Y117" s="165"/>
      <c r="Z117" s="171"/>
      <c r="AA117" s="97">
        <v>0</v>
      </c>
      <c r="AB117" s="172">
        <v>0</v>
      </c>
      <c r="AC117" s="123"/>
      <c r="AD117" s="4"/>
      <c r="AE117" s="4"/>
      <c r="AF117" s="4"/>
      <c r="AG117" s="4"/>
      <c r="AH117" s="4"/>
      <c r="AI117" s="4"/>
      <c r="AJ117" s="4"/>
      <c r="AK117" s="4"/>
      <c r="AL117" s="4"/>
      <c r="AM117" s="4"/>
      <c r="AN117" s="4"/>
      <c r="AO117" s="4"/>
      <c r="AP117" s="4"/>
      <c r="AQ117" s="4"/>
      <c r="AR117" s="4"/>
      <c r="AS117" s="4"/>
      <c r="AT117" s="4"/>
      <c r="AU117" s="4"/>
      <c r="AV117" s="4"/>
      <c r="AW117" s="4"/>
      <c r="AX117" s="4"/>
      <c r="AY117" s="4"/>
      <c r="AZ117" s="4"/>
      <c r="BA117" s="4"/>
      <c r="BB117" s="4"/>
      <c r="BC117" s="4"/>
      <c r="BD117" s="4"/>
      <c r="BE117" s="4"/>
      <c r="BF117" s="4"/>
      <c r="BG117" s="4"/>
      <c r="BH117" s="4"/>
      <c r="BI117" s="4"/>
      <c r="BJ117" s="4"/>
      <c r="BK117" s="4"/>
      <c r="BL117" s="4"/>
      <c r="BM117" s="4"/>
      <c r="BN117" s="4"/>
      <c r="BO117" s="4"/>
      <c r="BP117" s="4"/>
      <c r="BQ117" s="4"/>
      <c r="BR117" s="4"/>
      <c r="BS117" s="4"/>
      <c r="BT117" s="4"/>
      <c r="BU117" s="4"/>
      <c r="BV117" s="4"/>
      <c r="BW117" s="4"/>
      <c r="BX117" s="4"/>
      <c r="BY117" s="4"/>
      <c r="BZ117" s="4"/>
      <c r="CA117" s="4"/>
      <c r="CB117" s="4"/>
      <c r="CC117" s="4"/>
      <c r="CD117" s="4"/>
      <c r="CE117" s="4"/>
      <c r="CF117" s="4"/>
    </row>
    <row r="118" spans="1:84" outlineLevel="2">
      <c r="A118" s="116"/>
      <c r="B118" s="116"/>
      <c r="C118" s="116">
        <v>3</v>
      </c>
      <c r="D118" s="3" t="s">
        <v>1106</v>
      </c>
      <c r="E118" s="163"/>
      <c r="F118" s="163"/>
      <c r="G118" s="221" t="s">
        <v>1088</v>
      </c>
      <c r="H118" s="163"/>
      <c r="I118" s="163"/>
      <c r="J118" s="163"/>
      <c r="K118" s="163"/>
      <c r="L118" s="163"/>
      <c r="M118" s="164"/>
      <c r="N118" s="164"/>
      <c r="O118" s="165"/>
      <c r="P118" s="166">
        <v>0</v>
      </c>
      <c r="Q118" s="166">
        <v>0</v>
      </c>
      <c r="R118" s="167">
        <v>3</v>
      </c>
      <c r="S118" s="167">
        <v>3</v>
      </c>
      <c r="T118" s="164">
        <v>43330</v>
      </c>
      <c r="U118" s="164">
        <v>43334</v>
      </c>
      <c r="V118" s="168">
        <v>0</v>
      </c>
      <c r="W118" s="169">
        <v>3</v>
      </c>
      <c r="X118" s="170"/>
      <c r="Y118" s="165"/>
      <c r="Z118" s="171"/>
      <c r="AA118" s="97">
        <v>0</v>
      </c>
      <c r="AB118" s="172">
        <v>0</v>
      </c>
      <c r="AC118" s="123"/>
      <c r="AD118" s="4"/>
      <c r="AE118" s="4"/>
      <c r="AF118" s="4"/>
      <c r="AG118" s="4"/>
      <c r="AH118" s="4"/>
      <c r="AI118" s="4"/>
      <c r="AJ118" s="4"/>
      <c r="AK118" s="4"/>
      <c r="AL118" s="4"/>
      <c r="AM118" s="4"/>
      <c r="AN118" s="4"/>
      <c r="AO118" s="4"/>
      <c r="AP118" s="4"/>
      <c r="AQ118" s="4"/>
      <c r="AR118" s="4"/>
      <c r="AS118" s="4"/>
      <c r="AT118" s="4"/>
      <c r="AU118" s="4"/>
      <c r="AV118" s="4"/>
      <c r="AW118" s="4"/>
      <c r="AX118" s="4"/>
      <c r="AY118" s="4"/>
      <c r="AZ118" s="4"/>
      <c r="BA118" s="4"/>
      <c r="BB118" s="4"/>
      <c r="BC118" s="4"/>
      <c r="BD118" s="4"/>
      <c r="BE118" s="4"/>
      <c r="BF118" s="4"/>
      <c r="BG118" s="4"/>
      <c r="BH118" s="4"/>
      <c r="BI118" s="4"/>
      <c r="BJ118" s="4"/>
      <c r="BK118" s="4"/>
      <c r="BL118" s="4"/>
      <c r="BM118" s="4"/>
      <c r="BN118" s="4"/>
      <c r="BO118" s="4"/>
      <c r="BP118" s="4"/>
      <c r="BQ118" s="4"/>
      <c r="BR118" s="4"/>
      <c r="BS118" s="4"/>
      <c r="BT118" s="4"/>
      <c r="BU118" s="4"/>
      <c r="BV118" s="4"/>
      <c r="BW118" s="4"/>
      <c r="BX118" s="4"/>
      <c r="BY118" s="4"/>
      <c r="BZ118" s="4"/>
      <c r="CA118" s="4"/>
      <c r="CB118" s="4"/>
      <c r="CC118" s="4"/>
      <c r="CD118" s="4"/>
      <c r="CE118" s="4"/>
      <c r="CF118" s="4"/>
    </row>
    <row r="119" spans="1:84" outlineLevel="2">
      <c r="A119" s="116"/>
      <c r="B119" s="116"/>
      <c r="C119" s="116">
        <v>3</v>
      </c>
      <c r="D119" s="3" t="s">
        <v>1107</v>
      </c>
      <c r="E119" s="163"/>
      <c r="F119" s="163"/>
      <c r="G119" s="220" t="s">
        <v>1089</v>
      </c>
      <c r="H119" s="163"/>
      <c r="I119" s="163"/>
      <c r="J119" s="163"/>
      <c r="K119" s="163"/>
      <c r="L119" s="163"/>
      <c r="M119" s="164"/>
      <c r="N119" s="164"/>
      <c r="O119" s="165"/>
      <c r="P119" s="166">
        <v>0</v>
      </c>
      <c r="Q119" s="166">
        <v>0</v>
      </c>
      <c r="R119" s="167">
        <v>1</v>
      </c>
      <c r="S119" s="167">
        <v>1</v>
      </c>
      <c r="T119" s="164"/>
      <c r="U119" s="164"/>
      <c r="V119" s="168">
        <v>0</v>
      </c>
      <c r="W119" s="169">
        <v>0</v>
      </c>
      <c r="X119" s="170"/>
      <c r="Y119" s="165"/>
      <c r="Z119" s="171"/>
      <c r="AA119" s="97">
        <v>0</v>
      </c>
      <c r="AB119" s="172">
        <v>0</v>
      </c>
      <c r="AC119" s="123"/>
      <c r="AD119" s="4"/>
      <c r="AE119" s="4"/>
      <c r="AF119" s="4"/>
      <c r="AG119" s="4"/>
      <c r="AH119" s="4"/>
      <c r="AI119" s="4"/>
      <c r="AJ119" s="4"/>
      <c r="AK119" s="4"/>
      <c r="AL119" s="4"/>
      <c r="AM119" s="4"/>
      <c r="AN119" s="4"/>
      <c r="AO119" s="4"/>
      <c r="AP119" s="4"/>
      <c r="AQ119" s="4"/>
      <c r="AR119" s="4"/>
      <c r="AS119" s="4"/>
      <c r="AT119" s="4"/>
      <c r="AU119" s="4"/>
      <c r="AV119" s="4"/>
      <c r="AW119" s="4"/>
      <c r="AX119" s="4"/>
      <c r="AY119" s="4"/>
      <c r="AZ119" s="4"/>
      <c r="BA119" s="4"/>
      <c r="BB119" s="4"/>
      <c r="BC119" s="4"/>
      <c r="BD119" s="4"/>
      <c r="BE119" s="4"/>
      <c r="BF119" s="4"/>
      <c r="BG119" s="4"/>
      <c r="BH119" s="4"/>
      <c r="BI119" s="4"/>
      <c r="BJ119" s="4"/>
      <c r="BK119" s="4"/>
      <c r="BL119" s="4"/>
      <c r="BM119" s="4"/>
      <c r="BN119" s="4"/>
      <c r="BO119" s="4"/>
      <c r="BP119" s="4"/>
      <c r="BQ119" s="4"/>
      <c r="BR119" s="4"/>
      <c r="BS119" s="4"/>
      <c r="BT119" s="4"/>
      <c r="BU119" s="4"/>
      <c r="BV119" s="4"/>
      <c r="BW119" s="4"/>
      <c r="BX119" s="4"/>
      <c r="BY119" s="4"/>
      <c r="BZ119" s="4"/>
      <c r="CA119" s="4"/>
      <c r="CB119" s="4"/>
      <c r="CC119" s="4"/>
      <c r="CD119" s="4"/>
      <c r="CE119" s="4"/>
      <c r="CF119" s="4"/>
    </row>
    <row r="120" spans="1:84" ht="11.45" customHeight="1">
      <c r="A120" s="173"/>
      <c r="B120" s="173"/>
      <c r="C120" s="173"/>
      <c r="D120" s="222"/>
      <c r="E120" s="175"/>
      <c r="F120" s="175"/>
      <c r="G120" s="175"/>
      <c r="H120" s="175"/>
      <c r="I120" s="175"/>
      <c r="J120" s="175"/>
      <c r="K120" s="175"/>
      <c r="L120" s="175"/>
      <c r="M120" s="176"/>
      <c r="N120" s="176"/>
      <c r="O120" s="177"/>
      <c r="P120" s="178"/>
      <c r="Q120" s="178"/>
      <c r="R120" s="179"/>
      <c r="S120" s="179"/>
      <c r="T120" s="176"/>
      <c r="U120" s="176"/>
      <c r="V120" s="180"/>
      <c r="W120" s="181"/>
      <c r="X120" s="182"/>
      <c r="Y120" s="177"/>
      <c r="Z120" s="183"/>
      <c r="AA120" s="184"/>
      <c r="AB120" s="185"/>
      <c r="AC120" s="162"/>
      <c r="AD120" s="162"/>
      <c r="AE120" s="162"/>
      <c r="AF120" s="162"/>
      <c r="AG120" s="162"/>
      <c r="AH120" s="162"/>
      <c r="AI120" s="162"/>
      <c r="AJ120" s="162"/>
      <c r="AK120" s="162"/>
      <c r="AL120" s="162"/>
      <c r="AM120" s="162"/>
      <c r="AN120" s="162"/>
      <c r="AO120" s="162"/>
      <c r="AP120" s="162"/>
      <c r="AQ120" s="162"/>
      <c r="AR120" s="162"/>
      <c r="AS120" s="162"/>
      <c r="AT120" s="162"/>
      <c r="AU120" s="162"/>
      <c r="AV120" s="162"/>
      <c r="AW120" s="162"/>
      <c r="AX120" s="162"/>
      <c r="AY120" s="162"/>
      <c r="AZ120" s="162"/>
      <c r="BA120" s="162"/>
      <c r="BB120" s="162"/>
      <c r="BC120" s="162"/>
      <c r="BD120" s="162"/>
      <c r="BE120" s="162"/>
      <c r="BF120" s="162"/>
      <c r="BG120" s="162"/>
      <c r="BH120" s="162"/>
      <c r="BI120" s="162"/>
      <c r="BJ120" s="162"/>
      <c r="BK120" s="162"/>
      <c r="BL120" s="162"/>
      <c r="BM120" s="162"/>
      <c r="BN120" s="162"/>
      <c r="BO120" s="162"/>
      <c r="BP120" s="162"/>
      <c r="BQ120" s="162"/>
      <c r="BR120" s="162"/>
      <c r="BS120" s="162"/>
      <c r="BT120" s="162"/>
      <c r="BU120" s="162"/>
      <c r="BV120" s="162"/>
      <c r="BW120" s="162"/>
      <c r="BX120" s="162"/>
      <c r="BY120" s="162"/>
      <c r="BZ120" s="162"/>
      <c r="CA120" s="162"/>
      <c r="CB120" s="162"/>
      <c r="CC120" s="162"/>
      <c r="CD120" s="162"/>
      <c r="CE120" s="162"/>
      <c r="CF120" s="162"/>
    </row>
    <row r="121" spans="1:84">
      <c r="A121" s="116"/>
      <c r="B121" s="116"/>
      <c r="C121" s="116"/>
      <c r="D121" s="219"/>
      <c r="E121" s="163"/>
      <c r="F121" s="163"/>
      <c r="G121" s="163"/>
      <c r="H121" s="163"/>
      <c r="I121" s="163"/>
      <c r="J121" s="163"/>
      <c r="K121" s="163"/>
      <c r="L121" s="163"/>
      <c r="M121" s="164"/>
      <c r="N121" s="164"/>
      <c r="O121" s="165"/>
      <c r="P121" s="166"/>
      <c r="Q121" s="166"/>
      <c r="R121" s="167"/>
      <c r="S121" s="167"/>
      <c r="T121" s="164"/>
      <c r="U121" s="164"/>
      <c r="V121" s="168"/>
      <c r="W121" s="169"/>
      <c r="X121" s="170"/>
      <c r="Y121" s="165"/>
      <c r="Z121" s="171"/>
      <c r="AA121" s="97"/>
      <c r="AB121" s="172"/>
    </row>
    <row r="122" spans="1:84">
      <c r="A122" s="173"/>
      <c r="B122" s="173"/>
      <c r="C122" s="173"/>
      <c r="D122" s="222"/>
      <c r="E122" s="175"/>
      <c r="F122" s="175"/>
      <c r="G122" s="175"/>
      <c r="H122" s="175"/>
      <c r="I122" s="175"/>
      <c r="J122" s="175"/>
      <c r="K122" s="175"/>
      <c r="L122" s="175"/>
      <c r="M122" s="176"/>
      <c r="N122" s="176"/>
      <c r="O122" s="177"/>
      <c r="P122" s="178"/>
      <c r="Q122" s="178"/>
      <c r="R122" s="179"/>
      <c r="S122" s="179"/>
      <c r="T122" s="176"/>
      <c r="U122" s="176"/>
      <c r="V122" s="180"/>
      <c r="W122" s="181"/>
      <c r="X122" s="182"/>
      <c r="Y122" s="177"/>
      <c r="Z122" s="183"/>
      <c r="AA122" s="184"/>
      <c r="AB122" s="185"/>
    </row>
    <row r="123" spans="1:84">
      <c r="A123" s="116"/>
      <c r="B123" s="116"/>
      <c r="C123" s="116"/>
      <c r="D123" s="219"/>
      <c r="E123" s="163"/>
      <c r="F123" s="163"/>
      <c r="G123" s="163"/>
      <c r="H123" s="163"/>
      <c r="I123" s="163"/>
      <c r="J123" s="163"/>
      <c r="K123" s="163"/>
      <c r="L123" s="163"/>
      <c r="M123" s="164"/>
      <c r="N123" s="164"/>
      <c r="O123" s="165"/>
      <c r="P123" s="166"/>
      <c r="Q123" s="166"/>
      <c r="R123" s="167"/>
      <c r="S123" s="167"/>
      <c r="T123" s="164"/>
      <c r="U123" s="164"/>
      <c r="V123" s="168"/>
      <c r="W123" s="169"/>
      <c r="X123" s="170"/>
      <c r="Y123" s="165"/>
      <c r="Z123" s="171"/>
      <c r="AA123" s="97"/>
      <c r="AB123" s="172"/>
    </row>
    <row r="124" spans="1:84">
      <c r="A124" s="116"/>
      <c r="B124" s="116"/>
      <c r="C124" s="116"/>
      <c r="D124" s="219"/>
      <c r="E124" s="163"/>
      <c r="F124" s="163"/>
      <c r="G124" s="163"/>
      <c r="H124" s="163"/>
      <c r="I124" s="163"/>
      <c r="J124" s="163"/>
      <c r="K124" s="163"/>
      <c r="L124" s="163"/>
      <c r="M124" s="164"/>
      <c r="N124" s="164"/>
      <c r="O124" s="165"/>
      <c r="P124" s="166"/>
      <c r="Q124" s="166"/>
      <c r="R124" s="167"/>
      <c r="S124" s="167"/>
      <c r="T124" s="164"/>
      <c r="U124" s="164"/>
      <c r="V124" s="168"/>
      <c r="W124" s="169"/>
      <c r="X124" s="170"/>
      <c r="Y124" s="165"/>
      <c r="Z124" s="171"/>
      <c r="AA124" s="97"/>
      <c r="AB124" s="172"/>
    </row>
    <row r="125" spans="1:84">
      <c r="A125" s="116"/>
      <c r="B125" s="116"/>
      <c r="C125" s="116"/>
      <c r="D125" s="219"/>
      <c r="E125" s="163"/>
      <c r="F125" s="163"/>
      <c r="G125" s="163"/>
      <c r="H125" s="163"/>
      <c r="I125" s="163"/>
      <c r="J125" s="163"/>
      <c r="K125" s="163"/>
      <c r="L125" s="163"/>
      <c r="M125" s="164"/>
      <c r="N125" s="164"/>
      <c r="O125" s="165"/>
      <c r="P125" s="166"/>
      <c r="Q125" s="166"/>
      <c r="R125" s="167"/>
      <c r="S125" s="167"/>
      <c r="T125" s="164"/>
      <c r="U125" s="164"/>
      <c r="V125" s="168"/>
      <c r="W125" s="169"/>
      <c r="X125" s="170"/>
      <c r="Y125" s="165"/>
      <c r="Z125" s="171"/>
      <c r="AA125" s="97"/>
      <c r="AB125" s="172"/>
    </row>
    <row r="126" spans="1:84">
      <c r="A126" s="116"/>
      <c r="B126" s="116"/>
      <c r="C126" s="116"/>
      <c r="D126" s="219"/>
      <c r="E126" s="163"/>
      <c r="F126" s="163"/>
      <c r="G126" s="163"/>
      <c r="H126" s="163"/>
      <c r="I126" s="163"/>
      <c r="J126" s="163"/>
      <c r="K126" s="163"/>
      <c r="L126" s="163"/>
      <c r="M126" s="164"/>
      <c r="N126" s="164"/>
      <c r="O126" s="165"/>
      <c r="P126" s="166"/>
      <c r="Q126" s="166"/>
      <c r="R126" s="167"/>
      <c r="S126" s="167"/>
      <c r="T126" s="164"/>
      <c r="U126" s="164"/>
      <c r="V126" s="168"/>
      <c r="W126" s="169"/>
      <c r="X126" s="170"/>
      <c r="Y126" s="165"/>
      <c r="Z126" s="171"/>
      <c r="AA126" s="97"/>
      <c r="AB126" s="172"/>
    </row>
    <row r="127" spans="1:84">
      <c r="A127" s="116"/>
      <c r="B127" s="116"/>
      <c r="C127" s="116"/>
      <c r="D127" s="219"/>
      <c r="E127" s="163"/>
      <c r="F127" s="163"/>
      <c r="G127" s="163"/>
      <c r="H127" s="163"/>
      <c r="I127" s="163"/>
      <c r="J127" s="163"/>
      <c r="K127" s="163"/>
      <c r="L127" s="163"/>
      <c r="M127" s="164"/>
      <c r="N127" s="164"/>
      <c r="O127" s="165"/>
      <c r="P127" s="166"/>
      <c r="Q127" s="166"/>
      <c r="R127" s="167"/>
      <c r="S127" s="167"/>
      <c r="T127" s="164"/>
      <c r="U127" s="164"/>
      <c r="V127" s="168"/>
      <c r="W127" s="169"/>
      <c r="X127" s="170"/>
      <c r="Y127" s="165"/>
      <c r="Z127" s="171"/>
      <c r="AA127" s="97"/>
      <c r="AB127" s="172"/>
    </row>
    <row r="128" spans="1:84">
      <c r="A128" s="116"/>
      <c r="B128" s="116"/>
      <c r="C128" s="116"/>
      <c r="D128" s="219"/>
      <c r="E128" s="163"/>
      <c r="F128" s="163"/>
      <c r="G128" s="163"/>
      <c r="H128" s="163"/>
      <c r="I128" s="163"/>
      <c r="J128" s="163"/>
      <c r="K128" s="163"/>
      <c r="L128" s="163"/>
      <c r="M128" s="164"/>
      <c r="N128" s="164"/>
      <c r="O128" s="165"/>
      <c r="P128" s="166"/>
      <c r="Q128" s="166"/>
      <c r="R128" s="167"/>
      <c r="S128" s="167"/>
      <c r="T128" s="164"/>
      <c r="U128" s="164"/>
      <c r="V128" s="168"/>
      <c r="W128" s="169"/>
      <c r="X128" s="170"/>
      <c r="Y128" s="165"/>
      <c r="Z128" s="171"/>
      <c r="AA128" s="97"/>
      <c r="AB128" s="172"/>
    </row>
    <row r="129" spans="1:28">
      <c r="A129" s="116"/>
      <c r="B129" s="116"/>
      <c r="C129" s="116"/>
      <c r="D129" s="219"/>
      <c r="E129" s="163"/>
      <c r="F129" s="163"/>
      <c r="G129" s="163"/>
      <c r="H129" s="163"/>
      <c r="I129" s="163"/>
      <c r="J129" s="163"/>
      <c r="K129" s="163"/>
      <c r="L129" s="163"/>
      <c r="M129" s="164"/>
      <c r="N129" s="164"/>
      <c r="O129" s="165"/>
      <c r="P129" s="166"/>
      <c r="Q129" s="166"/>
      <c r="R129" s="167"/>
      <c r="S129" s="167"/>
      <c r="T129" s="164"/>
      <c r="U129" s="164"/>
      <c r="V129" s="168"/>
      <c r="W129" s="169"/>
      <c r="X129" s="170"/>
      <c r="Y129" s="165"/>
      <c r="Z129" s="171"/>
      <c r="AA129" s="97"/>
      <c r="AB129" s="172"/>
    </row>
    <row r="130" spans="1:28">
      <c r="A130" s="116"/>
      <c r="B130" s="116"/>
      <c r="C130" s="116"/>
      <c r="D130" s="219"/>
      <c r="E130" s="163"/>
      <c r="F130" s="163"/>
      <c r="G130" s="163"/>
      <c r="H130" s="163"/>
      <c r="I130" s="163"/>
      <c r="J130" s="163"/>
      <c r="K130" s="163"/>
      <c r="L130" s="163"/>
      <c r="M130" s="164"/>
      <c r="N130" s="164"/>
      <c r="O130" s="165"/>
      <c r="P130" s="166"/>
      <c r="Q130" s="166"/>
      <c r="R130" s="167"/>
      <c r="S130" s="167"/>
      <c r="T130" s="164"/>
      <c r="U130" s="164"/>
      <c r="V130" s="168"/>
      <c r="W130" s="169"/>
      <c r="X130" s="170"/>
      <c r="Y130" s="165"/>
      <c r="Z130" s="171"/>
      <c r="AA130" s="97"/>
      <c r="AB130" s="172"/>
    </row>
    <row r="131" spans="1:28">
      <c r="A131" s="116"/>
      <c r="B131" s="116"/>
      <c r="C131" s="116"/>
      <c r="D131" s="219"/>
      <c r="E131" s="163"/>
      <c r="F131" s="163"/>
      <c r="G131" s="163"/>
      <c r="H131" s="163"/>
      <c r="I131" s="163"/>
      <c r="J131" s="163"/>
      <c r="K131" s="163"/>
      <c r="L131" s="163"/>
      <c r="M131" s="164"/>
      <c r="N131" s="164"/>
      <c r="O131" s="165"/>
      <c r="P131" s="166"/>
      <c r="Q131" s="166"/>
      <c r="R131" s="167"/>
      <c r="S131" s="167"/>
      <c r="T131" s="164"/>
      <c r="U131" s="164"/>
      <c r="V131" s="168"/>
      <c r="W131" s="169"/>
      <c r="X131" s="170"/>
      <c r="Y131" s="165"/>
      <c r="Z131" s="171"/>
      <c r="AA131" s="97"/>
      <c r="AB131" s="172"/>
    </row>
    <row r="132" spans="1:28">
      <c r="A132" s="116"/>
      <c r="B132" s="116"/>
      <c r="C132" s="116"/>
      <c r="D132" s="219"/>
      <c r="E132" s="163"/>
      <c r="F132" s="163"/>
      <c r="G132" s="163"/>
      <c r="H132" s="163"/>
      <c r="I132" s="163"/>
      <c r="J132" s="163"/>
      <c r="K132" s="163"/>
      <c r="L132" s="163"/>
      <c r="M132" s="164"/>
      <c r="N132" s="164"/>
      <c r="O132" s="165"/>
      <c r="P132" s="166"/>
      <c r="Q132" s="166"/>
      <c r="R132" s="167"/>
      <c r="S132" s="167"/>
      <c r="T132" s="164"/>
      <c r="U132" s="164"/>
      <c r="V132" s="168"/>
      <c r="W132" s="169"/>
      <c r="X132" s="170"/>
      <c r="Y132" s="165"/>
      <c r="Z132" s="171"/>
      <c r="AA132" s="97"/>
      <c r="AB132" s="172"/>
    </row>
    <row r="133" spans="1:28">
      <c r="A133" s="116"/>
      <c r="B133" s="116"/>
      <c r="C133" s="116"/>
      <c r="D133" s="219"/>
      <c r="E133" s="163"/>
      <c r="F133" s="163"/>
      <c r="G133" s="163"/>
      <c r="H133" s="163"/>
      <c r="I133" s="163"/>
      <c r="J133" s="163"/>
      <c r="K133" s="163"/>
      <c r="L133" s="163"/>
      <c r="M133" s="164"/>
      <c r="N133" s="164"/>
      <c r="O133" s="165"/>
      <c r="P133" s="166"/>
      <c r="Q133" s="166"/>
      <c r="R133" s="167"/>
      <c r="S133" s="167"/>
      <c r="T133" s="164"/>
      <c r="U133" s="164"/>
      <c r="V133" s="168"/>
      <c r="W133" s="169"/>
      <c r="X133" s="170"/>
      <c r="Y133" s="165"/>
      <c r="Z133" s="171"/>
      <c r="AA133" s="97"/>
      <c r="AB133" s="172"/>
    </row>
    <row r="134" spans="1:28">
      <c r="A134" s="116"/>
      <c r="B134" s="116"/>
      <c r="C134" s="116"/>
      <c r="D134" s="219"/>
      <c r="E134" s="163"/>
      <c r="F134" s="163"/>
      <c r="G134" s="163"/>
      <c r="H134" s="163"/>
      <c r="I134" s="163"/>
      <c r="J134" s="163"/>
      <c r="K134" s="163"/>
      <c r="L134" s="163"/>
      <c r="M134" s="164"/>
      <c r="N134" s="164"/>
      <c r="O134" s="165"/>
      <c r="P134" s="166"/>
      <c r="Q134" s="166"/>
      <c r="R134" s="167"/>
      <c r="S134" s="167"/>
      <c r="T134" s="164"/>
      <c r="U134" s="164"/>
      <c r="V134" s="168"/>
      <c r="W134" s="169"/>
      <c r="X134" s="170"/>
      <c r="Y134" s="165"/>
      <c r="Z134" s="171"/>
      <c r="AA134" s="97"/>
      <c r="AB134" s="172"/>
    </row>
    <row r="135" spans="1:28">
      <c r="A135" s="116"/>
      <c r="B135" s="116"/>
      <c r="C135" s="116"/>
      <c r="D135" s="219"/>
      <c r="E135" s="163"/>
      <c r="F135" s="163"/>
      <c r="G135" s="163"/>
      <c r="H135" s="163"/>
      <c r="I135" s="163"/>
      <c r="J135" s="163"/>
      <c r="K135" s="163"/>
      <c r="L135" s="163"/>
      <c r="M135" s="164"/>
      <c r="N135" s="164"/>
      <c r="O135" s="165"/>
      <c r="P135" s="166"/>
      <c r="Q135" s="166"/>
      <c r="R135" s="167"/>
      <c r="S135" s="167"/>
      <c r="T135" s="164"/>
      <c r="U135" s="164"/>
      <c r="V135" s="168"/>
      <c r="W135" s="169"/>
      <c r="X135" s="170"/>
      <c r="Y135" s="165"/>
      <c r="Z135" s="171"/>
      <c r="AA135" s="97"/>
      <c r="AB135" s="172"/>
    </row>
    <row r="136" spans="1:28">
      <c r="A136" s="116"/>
      <c r="B136" s="116"/>
      <c r="C136" s="116"/>
      <c r="D136" s="219"/>
      <c r="E136" s="163"/>
      <c r="F136" s="163"/>
      <c r="G136" s="163"/>
      <c r="H136" s="163"/>
      <c r="I136" s="163"/>
      <c r="J136" s="163"/>
      <c r="K136" s="163"/>
      <c r="L136" s="163"/>
      <c r="M136" s="164"/>
      <c r="N136" s="164"/>
      <c r="O136" s="165"/>
      <c r="P136" s="166"/>
      <c r="Q136" s="166"/>
      <c r="R136" s="167"/>
      <c r="S136" s="167"/>
      <c r="T136" s="164"/>
      <c r="U136" s="164"/>
      <c r="V136" s="168"/>
      <c r="W136" s="169"/>
      <c r="X136" s="170"/>
      <c r="Y136" s="165"/>
      <c r="Z136" s="171"/>
      <c r="AA136" s="97"/>
      <c r="AB136" s="172"/>
    </row>
    <row r="137" spans="1:28">
      <c r="A137" s="116"/>
      <c r="B137" s="116"/>
      <c r="C137" s="116"/>
      <c r="D137" s="219"/>
      <c r="E137" s="163"/>
      <c r="F137" s="163"/>
      <c r="G137" s="163"/>
      <c r="H137" s="163"/>
      <c r="I137" s="163"/>
      <c r="J137" s="163"/>
      <c r="K137" s="163"/>
      <c r="L137" s="163"/>
      <c r="M137" s="164"/>
      <c r="N137" s="164"/>
      <c r="O137" s="165"/>
      <c r="P137" s="166"/>
      <c r="Q137" s="166"/>
      <c r="R137" s="167"/>
      <c r="S137" s="167"/>
      <c r="T137" s="164"/>
      <c r="U137" s="164"/>
      <c r="V137" s="168"/>
      <c r="W137" s="169"/>
      <c r="X137" s="170"/>
      <c r="Y137" s="165"/>
      <c r="Z137" s="171"/>
      <c r="AA137" s="97"/>
      <c r="AB137" s="172"/>
    </row>
    <row r="138" spans="1:28">
      <c r="A138" s="116"/>
      <c r="B138" s="116"/>
      <c r="C138" s="116"/>
      <c r="D138" s="219"/>
      <c r="E138" s="163"/>
      <c r="F138" s="163"/>
      <c r="G138" s="163"/>
      <c r="H138" s="163"/>
      <c r="I138" s="163"/>
      <c r="J138" s="163"/>
      <c r="K138" s="163"/>
      <c r="L138" s="163"/>
      <c r="M138" s="164"/>
      <c r="N138" s="164"/>
      <c r="O138" s="165"/>
      <c r="P138" s="166"/>
      <c r="Q138" s="166"/>
      <c r="R138" s="167"/>
      <c r="S138" s="167"/>
      <c r="T138" s="164"/>
      <c r="U138" s="164"/>
      <c r="V138" s="168"/>
      <c r="W138" s="169"/>
      <c r="X138" s="170"/>
      <c r="Y138" s="165"/>
      <c r="Z138" s="171"/>
      <c r="AA138" s="97"/>
      <c r="AB138" s="172"/>
    </row>
    <row r="139" spans="1:28">
      <c r="A139" s="116"/>
      <c r="B139" s="116"/>
      <c r="C139" s="116"/>
      <c r="D139" s="219"/>
      <c r="E139" s="163"/>
      <c r="F139" s="163"/>
      <c r="G139" s="163"/>
      <c r="H139" s="163"/>
      <c r="I139" s="163"/>
      <c r="J139" s="163"/>
      <c r="K139" s="163"/>
      <c r="L139" s="163"/>
      <c r="M139" s="164"/>
      <c r="N139" s="164"/>
      <c r="O139" s="165"/>
      <c r="P139" s="166"/>
      <c r="Q139" s="166"/>
      <c r="R139" s="167"/>
      <c r="S139" s="167"/>
      <c r="T139" s="164"/>
      <c r="U139" s="164"/>
      <c r="V139" s="168"/>
      <c r="W139" s="169"/>
      <c r="X139" s="170"/>
      <c r="Y139" s="165"/>
      <c r="Z139" s="171"/>
      <c r="AA139" s="97"/>
      <c r="AB139" s="172"/>
    </row>
    <row r="140" spans="1:28">
      <c r="A140" s="116"/>
      <c r="B140" s="116"/>
      <c r="C140" s="116"/>
      <c r="D140" s="219"/>
      <c r="E140" s="163"/>
      <c r="F140" s="163"/>
      <c r="G140" s="163"/>
      <c r="H140" s="163"/>
      <c r="I140" s="163"/>
      <c r="J140" s="163"/>
      <c r="K140" s="163"/>
      <c r="L140" s="163"/>
      <c r="M140" s="164"/>
      <c r="N140" s="164"/>
      <c r="O140" s="165"/>
      <c r="P140" s="166"/>
      <c r="Q140" s="166"/>
      <c r="R140" s="167"/>
      <c r="S140" s="167"/>
      <c r="T140" s="164"/>
      <c r="U140" s="164"/>
      <c r="V140" s="168"/>
      <c r="W140" s="169"/>
      <c r="X140" s="170"/>
      <c r="Y140" s="165"/>
      <c r="Z140" s="171"/>
      <c r="AA140" s="97"/>
      <c r="AB140" s="172"/>
    </row>
    <row r="141" spans="1:28">
      <c r="A141" s="116"/>
      <c r="B141" s="116"/>
      <c r="C141" s="116"/>
      <c r="D141" s="219"/>
      <c r="E141" s="163"/>
      <c r="F141" s="163"/>
      <c r="G141" s="163"/>
      <c r="H141" s="163"/>
      <c r="I141" s="163"/>
      <c r="J141" s="163"/>
      <c r="K141" s="163"/>
      <c r="L141" s="163"/>
      <c r="M141" s="164"/>
      <c r="N141" s="164"/>
      <c r="O141" s="165"/>
      <c r="P141" s="166"/>
      <c r="Q141" s="166"/>
      <c r="R141" s="167"/>
      <c r="S141" s="167"/>
      <c r="T141" s="164"/>
      <c r="U141" s="164"/>
      <c r="V141" s="168"/>
      <c r="W141" s="169"/>
      <c r="X141" s="170"/>
      <c r="Y141" s="165"/>
      <c r="Z141" s="171"/>
      <c r="AA141" s="97"/>
      <c r="AB141" s="172"/>
    </row>
    <row r="142" spans="1:28">
      <c r="A142" s="116"/>
      <c r="B142" s="116"/>
      <c r="C142" s="116"/>
      <c r="D142" s="219"/>
      <c r="E142" s="163"/>
      <c r="F142" s="163"/>
      <c r="G142" s="163"/>
      <c r="H142" s="163"/>
      <c r="I142" s="163"/>
      <c r="J142" s="163"/>
      <c r="K142" s="163"/>
      <c r="L142" s="163"/>
      <c r="M142" s="164"/>
      <c r="N142" s="164"/>
      <c r="O142" s="165"/>
      <c r="P142" s="166"/>
      <c r="Q142" s="166"/>
      <c r="R142" s="167"/>
      <c r="S142" s="167"/>
      <c r="T142" s="164"/>
      <c r="U142" s="164"/>
      <c r="V142" s="168"/>
      <c r="W142" s="169"/>
      <c r="X142" s="170"/>
      <c r="Y142" s="165"/>
      <c r="Z142" s="171"/>
      <c r="AA142" s="97"/>
      <c r="AB142" s="172"/>
    </row>
    <row r="143" spans="1:28">
      <c r="A143" s="116"/>
      <c r="B143" s="116"/>
      <c r="C143" s="116"/>
      <c r="D143" s="186"/>
      <c r="E143" s="163"/>
      <c r="F143" s="163"/>
      <c r="G143" s="163"/>
      <c r="H143" s="163"/>
      <c r="I143" s="163"/>
      <c r="J143" s="163"/>
      <c r="K143" s="163"/>
      <c r="L143" s="163"/>
      <c r="M143" s="164"/>
      <c r="N143" s="164"/>
      <c r="O143" s="165"/>
      <c r="P143" s="166"/>
      <c r="Q143" s="166"/>
      <c r="R143" s="167"/>
      <c r="S143" s="167"/>
      <c r="T143" s="164"/>
      <c r="U143" s="164"/>
      <c r="V143" s="168"/>
      <c r="W143" s="169"/>
      <c r="X143" s="170"/>
      <c r="Y143" s="165"/>
      <c r="Z143" s="171"/>
      <c r="AA143" s="97"/>
      <c r="AB143" s="172"/>
    </row>
    <row r="144" spans="1:28">
      <c r="A144" s="116"/>
      <c r="B144" s="116"/>
      <c r="C144" s="116"/>
      <c r="D144" s="186"/>
      <c r="E144" s="163"/>
      <c r="F144" s="163"/>
      <c r="G144" s="163"/>
      <c r="H144" s="163"/>
      <c r="I144" s="163"/>
      <c r="J144" s="163"/>
      <c r="K144" s="163"/>
      <c r="L144" s="163"/>
      <c r="M144" s="164"/>
      <c r="N144" s="164"/>
      <c r="O144" s="165"/>
      <c r="P144" s="166"/>
      <c r="Q144" s="166"/>
      <c r="R144" s="167"/>
      <c r="S144" s="167"/>
      <c r="T144" s="164"/>
      <c r="U144" s="164"/>
      <c r="V144" s="168"/>
      <c r="W144" s="169"/>
      <c r="X144" s="170"/>
      <c r="Y144" s="165"/>
      <c r="Z144" s="171"/>
      <c r="AA144" s="97"/>
      <c r="AB144" s="172"/>
    </row>
    <row r="145" spans="1:28">
      <c r="A145" s="116"/>
      <c r="B145" s="116"/>
      <c r="C145" s="116"/>
      <c r="D145" s="186"/>
      <c r="E145" s="163"/>
      <c r="F145" s="163"/>
      <c r="G145" s="163"/>
      <c r="H145" s="163"/>
      <c r="I145" s="163"/>
      <c r="J145" s="163"/>
      <c r="K145" s="163"/>
      <c r="L145" s="163"/>
      <c r="M145" s="164"/>
      <c r="N145" s="164"/>
      <c r="O145" s="165"/>
      <c r="P145" s="166"/>
      <c r="Q145" s="166"/>
      <c r="R145" s="167"/>
      <c r="S145" s="167"/>
      <c r="T145" s="164"/>
      <c r="U145" s="164"/>
      <c r="V145" s="168"/>
      <c r="W145" s="169"/>
      <c r="X145" s="170"/>
      <c r="Y145" s="165"/>
      <c r="Z145" s="171"/>
      <c r="AA145" s="97"/>
      <c r="AB145" s="172"/>
    </row>
    <row r="146" spans="1:28">
      <c r="A146" s="116"/>
      <c r="B146" s="116"/>
      <c r="C146" s="116"/>
      <c r="D146" s="219"/>
      <c r="E146" s="163"/>
      <c r="F146" s="163"/>
      <c r="G146" s="163"/>
      <c r="H146" s="163"/>
      <c r="I146" s="163"/>
      <c r="J146" s="163"/>
      <c r="K146" s="163"/>
      <c r="L146" s="163"/>
      <c r="M146" s="164"/>
      <c r="N146" s="164"/>
      <c r="O146" s="165"/>
      <c r="P146" s="166"/>
      <c r="Q146" s="166"/>
      <c r="R146" s="167"/>
      <c r="S146" s="167"/>
      <c r="T146" s="164"/>
      <c r="U146" s="164"/>
      <c r="V146" s="168"/>
      <c r="W146" s="169"/>
      <c r="X146" s="170"/>
      <c r="Y146" s="165"/>
      <c r="Z146" s="171"/>
      <c r="AA146" s="97"/>
      <c r="AB146" s="172"/>
    </row>
    <row r="147" spans="1:28">
      <c r="A147" s="116"/>
      <c r="B147" s="116"/>
      <c r="C147" s="116"/>
      <c r="D147" s="219"/>
      <c r="E147" s="163"/>
      <c r="F147" s="163"/>
      <c r="G147" s="163"/>
      <c r="H147" s="163"/>
      <c r="I147" s="163"/>
      <c r="J147" s="163"/>
      <c r="K147" s="163"/>
      <c r="L147" s="163"/>
      <c r="M147" s="164"/>
      <c r="N147" s="164"/>
      <c r="O147" s="165"/>
      <c r="P147" s="166"/>
      <c r="Q147" s="166"/>
      <c r="R147" s="167"/>
      <c r="S147" s="167"/>
      <c r="T147" s="164"/>
      <c r="U147" s="164"/>
      <c r="V147" s="168"/>
      <c r="W147" s="169"/>
      <c r="X147" s="170"/>
      <c r="Y147" s="165"/>
      <c r="Z147" s="171"/>
      <c r="AA147" s="97"/>
      <c r="AB147" s="172"/>
    </row>
    <row r="148" spans="1:28">
      <c r="A148" s="116"/>
      <c r="B148" s="116"/>
      <c r="C148" s="116"/>
      <c r="D148" s="219"/>
      <c r="E148" s="163"/>
      <c r="F148" s="163"/>
      <c r="G148" s="163"/>
      <c r="H148" s="163"/>
      <c r="I148" s="163"/>
      <c r="J148" s="163"/>
      <c r="K148" s="163"/>
      <c r="L148" s="163"/>
      <c r="M148" s="164"/>
      <c r="N148" s="164"/>
      <c r="O148" s="165"/>
      <c r="P148" s="166"/>
      <c r="Q148" s="166"/>
      <c r="R148" s="167"/>
      <c r="S148" s="167"/>
      <c r="T148" s="164"/>
      <c r="U148" s="164"/>
      <c r="V148" s="168"/>
      <c r="W148" s="169"/>
      <c r="X148" s="170"/>
      <c r="Y148" s="165"/>
      <c r="Z148" s="171"/>
      <c r="AA148" s="97"/>
      <c r="AB148" s="172"/>
    </row>
    <row r="149" spans="1:28">
      <c r="A149" s="116"/>
      <c r="B149" s="116"/>
      <c r="C149" s="116"/>
      <c r="D149" s="219"/>
      <c r="E149" s="163"/>
      <c r="F149" s="163"/>
      <c r="G149" s="163"/>
      <c r="H149" s="163"/>
      <c r="I149" s="163"/>
      <c r="J149" s="163"/>
      <c r="K149" s="163"/>
      <c r="L149" s="163"/>
      <c r="M149" s="164"/>
      <c r="N149" s="164"/>
      <c r="O149" s="165"/>
      <c r="P149" s="166"/>
      <c r="Q149" s="166"/>
      <c r="R149" s="167"/>
      <c r="S149" s="167"/>
      <c r="T149" s="164"/>
      <c r="U149" s="164"/>
      <c r="V149" s="168"/>
      <c r="W149" s="169"/>
      <c r="X149" s="170"/>
      <c r="Y149" s="165"/>
      <c r="Z149" s="171"/>
      <c r="AA149" s="97"/>
      <c r="AB149" s="172"/>
    </row>
    <row r="150" spans="1:28">
      <c r="A150" s="116"/>
      <c r="B150" s="116"/>
      <c r="C150" s="116"/>
      <c r="D150" s="219"/>
      <c r="E150" s="163"/>
      <c r="F150" s="163"/>
      <c r="G150" s="163"/>
      <c r="H150" s="163"/>
      <c r="I150" s="163"/>
      <c r="J150" s="163"/>
      <c r="K150" s="163"/>
      <c r="L150" s="163"/>
      <c r="M150" s="164"/>
      <c r="N150" s="164"/>
      <c r="O150" s="165"/>
      <c r="P150" s="166"/>
      <c r="Q150" s="166"/>
      <c r="R150" s="167"/>
      <c r="S150" s="167"/>
      <c r="T150" s="164"/>
      <c r="U150" s="164"/>
      <c r="V150" s="168"/>
      <c r="W150" s="169"/>
      <c r="X150" s="170"/>
      <c r="Y150" s="165"/>
      <c r="Z150" s="171"/>
      <c r="AA150" s="97"/>
      <c r="AB150" s="172"/>
    </row>
    <row r="151" spans="1:28">
      <c r="A151" s="116"/>
      <c r="B151" s="116"/>
      <c r="C151" s="116"/>
      <c r="D151" s="219"/>
      <c r="E151" s="163"/>
      <c r="F151" s="163"/>
      <c r="G151" s="163"/>
      <c r="H151" s="163"/>
      <c r="I151" s="163"/>
      <c r="J151" s="163"/>
      <c r="K151" s="163"/>
      <c r="L151" s="163"/>
      <c r="M151" s="164"/>
      <c r="N151" s="164"/>
      <c r="O151" s="165"/>
      <c r="P151" s="166"/>
      <c r="Q151" s="166"/>
      <c r="R151" s="167"/>
      <c r="S151" s="167"/>
      <c r="T151" s="164"/>
      <c r="U151" s="164"/>
      <c r="V151" s="168"/>
      <c r="W151" s="169"/>
      <c r="X151" s="170"/>
      <c r="Y151" s="165"/>
      <c r="Z151" s="171"/>
      <c r="AA151" s="97"/>
      <c r="AB151" s="172"/>
    </row>
    <row r="152" spans="1:28">
      <c r="A152" s="116"/>
      <c r="B152" s="116"/>
      <c r="C152" s="116"/>
      <c r="D152" s="219"/>
      <c r="E152" s="163"/>
      <c r="F152" s="163"/>
      <c r="G152" s="163"/>
      <c r="H152" s="163"/>
      <c r="I152" s="163"/>
      <c r="J152" s="163"/>
      <c r="K152" s="163"/>
      <c r="L152" s="163"/>
      <c r="M152" s="164"/>
      <c r="N152" s="164"/>
      <c r="O152" s="165"/>
      <c r="P152" s="166"/>
      <c r="Q152" s="166"/>
      <c r="R152" s="167"/>
      <c r="S152" s="167"/>
      <c r="T152" s="164"/>
      <c r="U152" s="164"/>
      <c r="V152" s="168"/>
      <c r="W152" s="169"/>
      <c r="X152" s="170"/>
      <c r="Y152" s="165"/>
      <c r="Z152" s="171"/>
      <c r="AA152" s="97"/>
      <c r="AB152" s="172"/>
    </row>
    <row r="153" spans="1:28">
      <c r="A153" s="116"/>
      <c r="B153" s="116"/>
      <c r="C153" s="116"/>
      <c r="D153" s="219"/>
      <c r="E153" s="163"/>
      <c r="F153" s="163"/>
      <c r="G153" s="163"/>
      <c r="H153" s="163"/>
      <c r="I153" s="163"/>
      <c r="J153" s="163"/>
      <c r="K153" s="163"/>
      <c r="L153" s="163"/>
      <c r="M153" s="164"/>
      <c r="N153" s="164"/>
      <c r="O153" s="165"/>
      <c r="P153" s="166"/>
      <c r="Q153" s="166"/>
      <c r="R153" s="167"/>
      <c r="S153" s="167"/>
      <c r="T153" s="164"/>
      <c r="U153" s="164"/>
      <c r="V153" s="168"/>
      <c r="W153" s="169"/>
      <c r="X153" s="170"/>
      <c r="Y153" s="165"/>
      <c r="Z153" s="171"/>
      <c r="AA153" s="97"/>
      <c r="AB153" s="172"/>
    </row>
    <row r="154" spans="1:28">
      <c r="A154" s="116"/>
      <c r="B154" s="116"/>
      <c r="C154" s="116"/>
      <c r="D154" s="219"/>
      <c r="E154" s="163"/>
      <c r="F154" s="163"/>
      <c r="G154" s="163"/>
      <c r="H154" s="163"/>
      <c r="I154" s="163"/>
      <c r="J154" s="163"/>
      <c r="K154" s="163"/>
      <c r="L154" s="163"/>
      <c r="M154" s="164"/>
      <c r="N154" s="164"/>
      <c r="O154" s="165"/>
      <c r="P154" s="166"/>
      <c r="Q154" s="166"/>
      <c r="R154" s="167"/>
      <c r="S154" s="167"/>
      <c r="T154" s="164"/>
      <c r="U154" s="164"/>
      <c r="V154" s="168"/>
      <c r="W154" s="169"/>
      <c r="X154" s="170"/>
      <c r="Y154" s="165"/>
      <c r="Z154" s="171"/>
      <c r="AA154" s="97"/>
      <c r="AB154" s="172"/>
    </row>
    <row r="155" spans="1:28">
      <c r="A155" s="116"/>
      <c r="B155" s="116"/>
      <c r="C155" s="116"/>
      <c r="D155" s="219"/>
      <c r="E155" s="163"/>
      <c r="F155" s="163"/>
      <c r="G155" s="163"/>
      <c r="H155" s="163"/>
      <c r="I155" s="163"/>
      <c r="J155" s="163"/>
      <c r="K155" s="163"/>
      <c r="L155" s="163"/>
      <c r="M155" s="164"/>
      <c r="N155" s="164"/>
      <c r="O155" s="165"/>
      <c r="P155" s="166"/>
      <c r="Q155" s="166"/>
      <c r="R155" s="167"/>
      <c r="S155" s="167"/>
      <c r="T155" s="164"/>
      <c r="U155" s="164"/>
      <c r="V155" s="168"/>
      <c r="W155" s="169"/>
      <c r="X155" s="170"/>
      <c r="Y155" s="165"/>
      <c r="Z155" s="171"/>
      <c r="AA155" s="97"/>
      <c r="AB155" s="172"/>
    </row>
    <row r="156" spans="1:28">
      <c r="A156" s="116"/>
      <c r="B156" s="116"/>
      <c r="C156" s="116"/>
      <c r="D156" s="219"/>
      <c r="E156" s="163"/>
      <c r="F156" s="163"/>
      <c r="G156" s="163"/>
      <c r="H156" s="163"/>
      <c r="I156" s="163"/>
      <c r="J156" s="163"/>
      <c r="K156" s="163"/>
      <c r="L156" s="163"/>
      <c r="M156" s="164"/>
      <c r="N156" s="164"/>
      <c r="O156" s="165"/>
      <c r="P156" s="166"/>
      <c r="Q156" s="166"/>
      <c r="R156" s="167"/>
      <c r="S156" s="167"/>
      <c r="T156" s="164"/>
      <c r="U156" s="164"/>
      <c r="V156" s="168"/>
      <c r="W156" s="169"/>
      <c r="X156" s="170"/>
      <c r="Y156" s="165"/>
      <c r="Z156" s="171"/>
      <c r="AA156" s="97"/>
      <c r="AB156" s="172"/>
    </row>
    <row r="157" spans="1:28">
      <c r="A157" s="116"/>
      <c r="B157" s="116"/>
      <c r="C157" s="116"/>
      <c r="D157" s="219"/>
      <c r="E157" s="163"/>
      <c r="F157" s="163"/>
      <c r="G157" s="163"/>
      <c r="H157" s="163"/>
      <c r="I157" s="163"/>
      <c r="J157" s="163"/>
      <c r="K157" s="163"/>
      <c r="L157" s="163"/>
      <c r="M157" s="164"/>
      <c r="N157" s="164"/>
      <c r="O157" s="165"/>
      <c r="P157" s="166"/>
      <c r="Q157" s="166"/>
      <c r="R157" s="167"/>
      <c r="S157" s="167"/>
      <c r="T157" s="164"/>
      <c r="U157" s="164"/>
      <c r="V157" s="168"/>
      <c r="W157" s="169"/>
      <c r="X157" s="170"/>
      <c r="Y157" s="165"/>
      <c r="Z157" s="171"/>
      <c r="AA157" s="97"/>
      <c r="AB157" s="172"/>
    </row>
    <row r="158" spans="1:28">
      <c r="A158" s="116"/>
      <c r="B158" s="116"/>
      <c r="C158" s="116"/>
      <c r="D158" s="186"/>
      <c r="E158" s="163"/>
      <c r="F158" s="163"/>
      <c r="G158" s="163"/>
      <c r="H158" s="163"/>
      <c r="I158" s="163"/>
      <c r="J158" s="163"/>
      <c r="K158" s="163"/>
      <c r="L158" s="163"/>
      <c r="M158" s="164"/>
      <c r="N158" s="164"/>
      <c r="O158" s="165"/>
      <c r="P158" s="166"/>
      <c r="Q158" s="166"/>
      <c r="R158" s="167"/>
      <c r="S158" s="167"/>
      <c r="T158" s="164"/>
      <c r="U158" s="164"/>
      <c r="V158" s="168"/>
      <c r="W158" s="169"/>
      <c r="X158" s="170"/>
      <c r="Y158" s="165"/>
      <c r="Z158" s="171"/>
      <c r="AA158" s="97"/>
      <c r="AB158" s="172"/>
    </row>
    <row r="159" spans="1:28">
      <c r="A159" s="116"/>
      <c r="B159" s="116"/>
      <c r="C159" s="116"/>
      <c r="D159" s="186"/>
      <c r="E159" s="163"/>
      <c r="F159" s="163"/>
      <c r="G159" s="163"/>
      <c r="H159" s="163"/>
      <c r="I159" s="163"/>
      <c r="J159" s="163"/>
      <c r="K159" s="163"/>
      <c r="L159" s="163"/>
      <c r="M159" s="164"/>
      <c r="N159" s="164"/>
      <c r="O159" s="165"/>
      <c r="P159" s="166"/>
      <c r="Q159" s="166"/>
      <c r="R159" s="167"/>
      <c r="S159" s="167"/>
      <c r="T159" s="164"/>
      <c r="U159" s="164"/>
      <c r="V159" s="168"/>
      <c r="W159" s="169"/>
      <c r="X159" s="170"/>
      <c r="Y159" s="165"/>
      <c r="Z159" s="171"/>
      <c r="AA159" s="97"/>
      <c r="AB159" s="172"/>
    </row>
    <row r="160" spans="1:28">
      <c r="A160" s="116"/>
      <c r="B160" s="116"/>
      <c r="C160" s="116"/>
      <c r="D160" s="219"/>
      <c r="E160" s="163"/>
      <c r="F160" s="163"/>
      <c r="G160" s="163"/>
      <c r="H160" s="163"/>
      <c r="I160" s="163"/>
      <c r="J160" s="163"/>
      <c r="K160" s="163"/>
      <c r="L160" s="163"/>
      <c r="M160" s="164"/>
      <c r="N160" s="164"/>
      <c r="O160" s="165"/>
      <c r="P160" s="166"/>
      <c r="Q160" s="166"/>
      <c r="R160" s="167"/>
      <c r="S160" s="167"/>
      <c r="T160" s="164"/>
      <c r="U160" s="164"/>
      <c r="V160" s="168"/>
      <c r="W160" s="169"/>
      <c r="X160" s="170"/>
      <c r="Y160" s="165"/>
      <c r="Z160" s="171"/>
      <c r="AA160" s="97"/>
      <c r="AB160" s="172"/>
    </row>
    <row r="161" spans="1:28">
      <c r="A161" s="116"/>
      <c r="B161" s="116"/>
      <c r="C161" s="116"/>
      <c r="D161" s="219"/>
      <c r="E161" s="163"/>
      <c r="F161" s="163"/>
      <c r="G161" s="163"/>
      <c r="H161" s="163"/>
      <c r="I161" s="163"/>
      <c r="J161" s="163"/>
      <c r="K161" s="163"/>
      <c r="L161" s="163"/>
      <c r="M161" s="164"/>
      <c r="N161" s="164"/>
      <c r="O161" s="165"/>
      <c r="P161" s="166"/>
      <c r="Q161" s="166"/>
      <c r="R161" s="167"/>
      <c r="S161" s="167"/>
      <c r="T161" s="164"/>
      <c r="U161" s="164"/>
      <c r="V161" s="168"/>
      <c r="W161" s="169"/>
      <c r="X161" s="170"/>
      <c r="Y161" s="165"/>
      <c r="Z161" s="171"/>
      <c r="AA161" s="97"/>
      <c r="AB161" s="172"/>
    </row>
    <row r="162" spans="1:28">
      <c r="A162" s="116"/>
      <c r="B162" s="116"/>
      <c r="C162" s="116"/>
      <c r="D162" s="219"/>
      <c r="E162" s="163"/>
      <c r="F162" s="163"/>
      <c r="G162" s="163"/>
      <c r="H162" s="163"/>
      <c r="I162" s="163"/>
      <c r="J162" s="163"/>
      <c r="K162" s="163"/>
      <c r="L162" s="163"/>
      <c r="M162" s="164"/>
      <c r="N162" s="164"/>
      <c r="O162" s="165"/>
      <c r="P162" s="166"/>
      <c r="Q162" s="166"/>
      <c r="R162" s="167"/>
      <c r="S162" s="167"/>
      <c r="T162" s="164"/>
      <c r="U162" s="164"/>
      <c r="V162" s="168"/>
      <c r="W162" s="169"/>
      <c r="X162" s="170"/>
      <c r="Y162" s="165"/>
      <c r="Z162" s="171"/>
      <c r="AA162" s="97"/>
      <c r="AB162" s="172"/>
    </row>
    <row r="163" spans="1:28">
      <c r="A163" s="173"/>
      <c r="B163" s="173"/>
      <c r="C163" s="194"/>
      <c r="D163" s="150"/>
      <c r="E163" s="195"/>
      <c r="F163" s="175"/>
      <c r="G163" s="175"/>
      <c r="H163" s="175"/>
      <c r="I163" s="175"/>
      <c r="J163" s="175"/>
      <c r="K163" s="175"/>
      <c r="L163" s="175"/>
      <c r="M163" s="176"/>
      <c r="N163" s="176"/>
      <c r="O163" s="177"/>
      <c r="P163" s="178"/>
      <c r="Q163" s="178"/>
      <c r="R163" s="179"/>
      <c r="S163" s="179"/>
      <c r="T163" s="176"/>
      <c r="U163" s="176"/>
      <c r="V163" s="180"/>
      <c r="W163" s="181"/>
      <c r="X163" s="182"/>
      <c r="Y163" s="177"/>
      <c r="Z163" s="183"/>
      <c r="AA163" s="184"/>
      <c r="AB163" s="185"/>
    </row>
    <row r="164" spans="1:28">
      <c r="A164" s="116"/>
      <c r="B164" s="116"/>
      <c r="C164" s="193"/>
      <c r="D164" s="196"/>
      <c r="E164" s="192"/>
      <c r="F164" s="163"/>
      <c r="G164" s="163"/>
      <c r="H164" s="163"/>
      <c r="I164" s="163"/>
      <c r="J164" s="163"/>
      <c r="K164" s="163"/>
      <c r="L164" s="163"/>
      <c r="M164" s="164"/>
      <c r="N164" s="164"/>
      <c r="O164" s="165"/>
      <c r="P164" s="166"/>
      <c r="Q164" s="166"/>
      <c r="R164" s="167"/>
      <c r="S164" s="167"/>
      <c r="T164" s="164"/>
      <c r="U164" s="164"/>
      <c r="V164" s="168"/>
      <c r="W164" s="169"/>
      <c r="X164" s="170"/>
      <c r="Y164" s="165"/>
      <c r="Z164" s="171"/>
      <c r="AA164" s="97"/>
      <c r="AB164" s="172"/>
    </row>
    <row r="165" spans="1:28">
      <c r="A165" s="116"/>
      <c r="B165" s="116"/>
      <c r="C165" s="193"/>
      <c r="D165" s="196"/>
      <c r="E165" s="192"/>
      <c r="F165" s="163"/>
      <c r="G165" s="163"/>
      <c r="H165" s="163"/>
      <c r="I165" s="163"/>
      <c r="J165" s="163"/>
      <c r="K165" s="163"/>
      <c r="L165" s="163"/>
      <c r="M165" s="164"/>
      <c r="N165" s="164"/>
      <c r="O165" s="165"/>
      <c r="P165" s="166"/>
      <c r="Q165" s="166"/>
      <c r="R165" s="167"/>
      <c r="S165" s="167"/>
      <c r="T165" s="164"/>
      <c r="U165" s="164"/>
      <c r="V165" s="168"/>
      <c r="W165" s="169"/>
      <c r="X165" s="170"/>
      <c r="Y165" s="165"/>
      <c r="Z165" s="171"/>
      <c r="AA165" s="97"/>
      <c r="AB165" s="172"/>
    </row>
    <row r="166" spans="1:28">
      <c r="A166" s="116"/>
      <c r="B166" s="116"/>
      <c r="C166" s="116"/>
      <c r="D166" s="174"/>
      <c r="E166" s="163"/>
      <c r="F166" s="163"/>
      <c r="G166" s="163"/>
      <c r="H166" s="163"/>
      <c r="I166" s="163"/>
      <c r="J166" s="163"/>
      <c r="K166" s="163"/>
      <c r="L166" s="163"/>
      <c r="M166" s="164"/>
      <c r="N166" s="164"/>
      <c r="O166" s="165"/>
      <c r="P166" s="166"/>
      <c r="Q166" s="166"/>
      <c r="R166" s="167"/>
      <c r="S166" s="167"/>
      <c r="T166" s="164"/>
      <c r="U166" s="164"/>
      <c r="V166" s="168"/>
      <c r="W166" s="169"/>
      <c r="X166" s="170"/>
      <c r="Y166" s="165"/>
      <c r="Z166" s="171"/>
      <c r="AA166" s="97"/>
      <c r="AB166" s="172"/>
    </row>
    <row r="167" spans="1:28">
      <c r="A167" s="116"/>
      <c r="B167" s="116"/>
      <c r="C167" s="116"/>
      <c r="D167" s="3"/>
      <c r="E167" s="163"/>
      <c r="F167" s="163"/>
      <c r="G167" s="163"/>
      <c r="H167" s="163"/>
      <c r="I167" s="163"/>
      <c r="J167" s="163"/>
      <c r="K167" s="163"/>
      <c r="L167" s="163"/>
      <c r="M167" s="164"/>
      <c r="N167" s="164"/>
      <c r="O167" s="165"/>
      <c r="P167" s="166"/>
      <c r="Q167" s="166"/>
      <c r="R167" s="167"/>
      <c r="S167" s="167"/>
      <c r="T167" s="164"/>
      <c r="U167" s="164"/>
      <c r="V167" s="168"/>
      <c r="W167" s="169"/>
      <c r="X167" s="170"/>
      <c r="Y167" s="165"/>
      <c r="Z167" s="171"/>
      <c r="AA167" s="97"/>
      <c r="AB167" s="172"/>
    </row>
    <row r="168" spans="1:28">
      <c r="A168" s="116"/>
      <c r="B168" s="116"/>
      <c r="C168" s="116"/>
      <c r="D168" s="3"/>
      <c r="E168" s="163"/>
      <c r="F168" s="163"/>
      <c r="G168" s="163"/>
      <c r="H168" s="163"/>
      <c r="I168" s="163"/>
      <c r="J168" s="163"/>
      <c r="K168" s="163"/>
      <c r="L168" s="163"/>
      <c r="M168" s="164"/>
      <c r="N168" s="164"/>
      <c r="O168" s="165"/>
      <c r="P168" s="166"/>
      <c r="Q168" s="166"/>
      <c r="R168" s="167"/>
      <c r="S168" s="167"/>
      <c r="T168" s="164"/>
      <c r="U168" s="164"/>
      <c r="V168" s="168"/>
      <c r="W168" s="169"/>
      <c r="X168" s="170"/>
      <c r="Y168" s="165"/>
      <c r="Z168" s="171"/>
      <c r="AA168" s="97"/>
      <c r="AB168" s="172"/>
    </row>
    <row r="169" spans="1:28">
      <c r="A169" s="116"/>
      <c r="B169" s="116"/>
      <c r="C169" s="116"/>
      <c r="D169" s="3"/>
      <c r="E169" s="163"/>
      <c r="F169" s="163"/>
      <c r="G169" s="163"/>
      <c r="H169" s="163"/>
      <c r="I169" s="163"/>
      <c r="J169" s="163"/>
      <c r="K169" s="163"/>
      <c r="L169" s="163"/>
      <c r="M169" s="164"/>
      <c r="N169" s="164"/>
      <c r="O169" s="165"/>
      <c r="P169" s="166"/>
      <c r="Q169" s="166"/>
      <c r="R169" s="167"/>
      <c r="S169" s="167"/>
      <c r="T169" s="164"/>
      <c r="U169" s="164"/>
      <c r="V169" s="168"/>
      <c r="W169" s="169"/>
      <c r="X169" s="170"/>
      <c r="Y169" s="165"/>
      <c r="Z169" s="171"/>
      <c r="AA169" s="97"/>
      <c r="AB169" s="172"/>
    </row>
    <row r="170" spans="1:28">
      <c r="A170" s="116"/>
      <c r="B170" s="116"/>
      <c r="C170" s="116"/>
      <c r="D170" s="3"/>
      <c r="E170" s="163"/>
      <c r="F170" s="163"/>
      <c r="G170" s="163"/>
      <c r="H170" s="163"/>
      <c r="I170" s="163"/>
      <c r="J170" s="163"/>
      <c r="K170" s="163"/>
      <c r="L170" s="163"/>
      <c r="M170" s="164"/>
      <c r="N170" s="164"/>
      <c r="O170" s="165"/>
      <c r="P170" s="166"/>
      <c r="Q170" s="166"/>
      <c r="R170" s="167"/>
      <c r="S170" s="167"/>
      <c r="T170" s="164"/>
      <c r="U170" s="164"/>
      <c r="V170" s="168"/>
      <c r="W170" s="169"/>
      <c r="X170" s="170"/>
      <c r="Y170" s="165"/>
      <c r="Z170" s="171"/>
      <c r="AA170" s="97"/>
      <c r="AB170" s="172"/>
    </row>
    <row r="171" spans="1:28">
      <c r="A171" s="116"/>
      <c r="B171" s="116"/>
      <c r="C171" s="116"/>
      <c r="D171" s="3"/>
      <c r="E171" s="163"/>
      <c r="F171" s="163"/>
      <c r="G171" s="163"/>
      <c r="H171" s="163"/>
      <c r="I171" s="163"/>
      <c r="J171" s="163"/>
      <c r="K171" s="163"/>
      <c r="L171" s="163"/>
      <c r="M171" s="164"/>
      <c r="N171" s="164"/>
      <c r="O171" s="165"/>
      <c r="P171" s="166"/>
      <c r="Q171" s="166"/>
      <c r="R171" s="167"/>
      <c r="S171" s="167"/>
      <c r="T171" s="164"/>
      <c r="U171" s="164"/>
      <c r="V171" s="168"/>
      <c r="W171" s="169"/>
      <c r="X171" s="170"/>
      <c r="Y171" s="165"/>
      <c r="Z171" s="171"/>
      <c r="AA171" s="97"/>
      <c r="AB171" s="172"/>
    </row>
    <row r="172" spans="1:28">
      <c r="A172" s="116"/>
      <c r="B172" s="116"/>
      <c r="C172" s="116"/>
      <c r="D172" s="3"/>
      <c r="E172" s="163"/>
      <c r="F172" s="163"/>
      <c r="G172" s="163"/>
      <c r="H172" s="163"/>
      <c r="I172" s="163"/>
      <c r="J172" s="163"/>
      <c r="K172" s="163"/>
      <c r="L172" s="163"/>
      <c r="M172" s="164"/>
      <c r="N172" s="164"/>
      <c r="O172" s="165"/>
      <c r="P172" s="166"/>
      <c r="Q172" s="166"/>
      <c r="R172" s="167"/>
      <c r="S172" s="167"/>
      <c r="T172" s="164"/>
      <c r="U172" s="164"/>
      <c r="V172" s="168"/>
      <c r="W172" s="169"/>
      <c r="X172" s="170"/>
      <c r="Y172" s="165"/>
      <c r="Z172" s="171"/>
      <c r="AA172" s="97"/>
      <c r="AB172" s="172"/>
    </row>
    <row r="173" spans="1:28">
      <c r="A173" s="116"/>
      <c r="B173" s="116"/>
      <c r="C173" s="116"/>
      <c r="D173" s="3"/>
      <c r="E173" s="163"/>
      <c r="F173" s="163"/>
      <c r="G173" s="163"/>
      <c r="H173" s="163"/>
      <c r="I173" s="163"/>
      <c r="J173" s="163"/>
      <c r="K173" s="163"/>
      <c r="L173" s="163"/>
      <c r="M173" s="164"/>
      <c r="N173" s="164"/>
      <c r="O173" s="165"/>
      <c r="P173" s="166"/>
      <c r="Q173" s="166"/>
      <c r="R173" s="167"/>
      <c r="S173" s="167"/>
      <c r="T173" s="164"/>
      <c r="U173" s="164"/>
      <c r="V173" s="168"/>
      <c r="W173" s="169"/>
      <c r="X173" s="170"/>
      <c r="Y173" s="165"/>
      <c r="Z173" s="171"/>
      <c r="AA173" s="97"/>
      <c r="AB173" s="172"/>
    </row>
    <row r="174" spans="1:28">
      <c r="A174" s="116"/>
      <c r="B174" s="116"/>
      <c r="C174" s="116"/>
      <c r="D174" s="3"/>
      <c r="E174" s="163"/>
      <c r="F174" s="163"/>
      <c r="G174" s="163"/>
      <c r="H174" s="163"/>
      <c r="I174" s="163"/>
      <c r="J174" s="163"/>
      <c r="K174" s="163"/>
      <c r="L174" s="163"/>
      <c r="M174" s="164"/>
      <c r="N174" s="164"/>
      <c r="O174" s="165"/>
      <c r="P174" s="166"/>
      <c r="Q174" s="166"/>
      <c r="R174" s="167"/>
      <c r="S174" s="167"/>
      <c r="T174" s="164"/>
      <c r="U174" s="164"/>
      <c r="V174" s="168"/>
      <c r="W174" s="169"/>
      <c r="X174" s="170"/>
      <c r="Y174" s="165"/>
      <c r="Z174" s="171"/>
      <c r="AA174" s="97"/>
      <c r="AB174" s="172"/>
    </row>
    <row r="175" spans="1:28">
      <c r="A175" s="116"/>
      <c r="B175" s="116"/>
      <c r="C175" s="116"/>
      <c r="D175" s="3"/>
      <c r="E175" s="163"/>
      <c r="F175" s="163"/>
      <c r="G175" s="163"/>
      <c r="H175" s="163"/>
      <c r="I175" s="163"/>
      <c r="J175" s="163"/>
      <c r="K175" s="163"/>
      <c r="L175" s="163"/>
      <c r="M175" s="164"/>
      <c r="N175" s="164"/>
      <c r="O175" s="165"/>
      <c r="P175" s="166"/>
      <c r="Q175" s="166"/>
      <c r="R175" s="167"/>
      <c r="S175" s="167"/>
      <c r="T175" s="164"/>
      <c r="U175" s="164"/>
      <c r="V175" s="168"/>
      <c r="W175" s="169"/>
      <c r="X175" s="170"/>
      <c r="Y175" s="165"/>
      <c r="Z175" s="171"/>
      <c r="AA175" s="97"/>
      <c r="AB175" s="172"/>
    </row>
    <row r="176" spans="1:28">
      <c r="A176" s="116"/>
      <c r="B176" s="116"/>
      <c r="C176" s="116"/>
      <c r="D176" s="3"/>
      <c r="E176" s="163"/>
      <c r="F176" s="163"/>
      <c r="G176" s="163"/>
      <c r="H176" s="163"/>
      <c r="I176" s="163"/>
      <c r="J176" s="163"/>
      <c r="K176" s="163"/>
      <c r="L176" s="163"/>
      <c r="M176" s="164"/>
      <c r="N176" s="164"/>
      <c r="O176" s="165"/>
      <c r="P176" s="166"/>
      <c r="Q176" s="166"/>
      <c r="R176" s="167"/>
      <c r="S176" s="167"/>
      <c r="T176" s="164"/>
      <c r="U176" s="164"/>
      <c r="V176" s="168"/>
      <c r="W176" s="169"/>
      <c r="X176" s="170"/>
      <c r="Y176" s="165"/>
      <c r="Z176" s="171"/>
      <c r="AA176" s="97"/>
      <c r="AB176" s="172"/>
    </row>
    <row r="177" spans="1:28">
      <c r="A177" s="116"/>
      <c r="B177" s="116"/>
      <c r="C177" s="116"/>
      <c r="D177" s="3"/>
      <c r="E177" s="163"/>
      <c r="F177" s="163"/>
      <c r="G177" s="163"/>
      <c r="H177" s="163"/>
      <c r="I177" s="163"/>
      <c r="J177" s="163"/>
      <c r="K177" s="163"/>
      <c r="L177" s="163"/>
      <c r="M177" s="164"/>
      <c r="N177" s="164"/>
      <c r="O177" s="165"/>
      <c r="P177" s="166"/>
      <c r="Q177" s="166"/>
      <c r="R177" s="167"/>
      <c r="S177" s="167"/>
      <c r="T177" s="164"/>
      <c r="U177" s="164"/>
      <c r="V177" s="168"/>
      <c r="W177" s="169"/>
      <c r="X177" s="170"/>
      <c r="Y177" s="165"/>
      <c r="Z177" s="171"/>
      <c r="AA177" s="97"/>
      <c r="AB177" s="172"/>
    </row>
    <row r="178" spans="1:28">
      <c r="A178" s="116"/>
      <c r="B178" s="116"/>
      <c r="C178" s="116"/>
      <c r="D178" s="3"/>
      <c r="E178" s="163"/>
      <c r="F178" s="163"/>
      <c r="G178" s="163"/>
      <c r="H178" s="163"/>
      <c r="I178" s="163"/>
      <c r="J178" s="163"/>
      <c r="K178" s="163"/>
      <c r="L178" s="163"/>
      <c r="M178" s="164"/>
      <c r="N178" s="164"/>
      <c r="O178" s="165"/>
      <c r="P178" s="166"/>
      <c r="Q178" s="166"/>
      <c r="R178" s="167"/>
      <c r="S178" s="167"/>
      <c r="T178" s="164"/>
      <c r="U178" s="164"/>
      <c r="V178" s="168"/>
      <c r="W178" s="169"/>
      <c r="X178" s="170"/>
      <c r="Y178" s="165"/>
      <c r="Z178" s="171"/>
      <c r="AA178" s="97"/>
      <c r="AB178" s="172"/>
    </row>
    <row r="179" spans="1:28">
      <c r="A179" s="116"/>
      <c r="B179" s="116"/>
      <c r="C179" s="116"/>
      <c r="D179" s="3"/>
      <c r="E179" s="163"/>
      <c r="F179" s="163"/>
      <c r="G179" s="163"/>
      <c r="H179" s="163"/>
      <c r="I179" s="163"/>
      <c r="J179" s="163"/>
      <c r="K179" s="163"/>
      <c r="L179" s="163"/>
      <c r="M179" s="164"/>
      <c r="N179" s="164"/>
      <c r="O179" s="165"/>
      <c r="P179" s="166"/>
      <c r="Q179" s="166"/>
      <c r="R179" s="167"/>
      <c r="S179" s="167"/>
      <c r="T179" s="164"/>
      <c r="U179" s="164"/>
      <c r="V179" s="168"/>
      <c r="W179" s="169"/>
      <c r="X179" s="170"/>
      <c r="Y179" s="165"/>
      <c r="Z179" s="171"/>
      <c r="AA179" s="97"/>
      <c r="AB179" s="172"/>
    </row>
    <row r="180" spans="1:28">
      <c r="A180" s="116"/>
      <c r="B180" s="116"/>
      <c r="C180" s="116"/>
      <c r="D180" s="3"/>
      <c r="E180" s="163"/>
      <c r="F180" s="163"/>
      <c r="G180" s="163"/>
      <c r="H180" s="163"/>
      <c r="I180" s="163"/>
      <c r="J180" s="163"/>
      <c r="K180" s="163"/>
      <c r="L180" s="163"/>
      <c r="M180" s="164"/>
      <c r="N180" s="164"/>
      <c r="O180" s="165"/>
      <c r="P180" s="166"/>
      <c r="Q180" s="166"/>
      <c r="R180" s="167"/>
      <c r="S180" s="167"/>
      <c r="T180" s="164"/>
      <c r="U180" s="164"/>
      <c r="V180" s="168"/>
      <c r="W180" s="169"/>
      <c r="X180" s="170"/>
      <c r="Y180" s="165"/>
      <c r="Z180" s="171"/>
      <c r="AA180" s="97"/>
      <c r="AB180" s="172"/>
    </row>
    <row r="181" spans="1:28">
      <c r="A181" s="116"/>
      <c r="B181" s="116"/>
      <c r="C181" s="116"/>
      <c r="D181" s="3"/>
      <c r="E181" s="163"/>
      <c r="F181" s="163"/>
      <c r="G181" s="163"/>
      <c r="H181" s="163"/>
      <c r="I181" s="163"/>
      <c r="J181" s="163"/>
      <c r="K181" s="163"/>
      <c r="L181" s="163"/>
      <c r="M181" s="164"/>
      <c r="N181" s="164"/>
      <c r="O181" s="165"/>
      <c r="P181" s="166"/>
      <c r="Q181" s="166"/>
      <c r="R181" s="167"/>
      <c r="S181" s="167"/>
      <c r="T181" s="164"/>
      <c r="U181" s="164"/>
      <c r="V181" s="168"/>
      <c r="W181" s="169"/>
      <c r="X181" s="170"/>
      <c r="Y181" s="165"/>
      <c r="Z181" s="171"/>
      <c r="AA181" s="97"/>
      <c r="AB181" s="172"/>
    </row>
    <row r="182" spans="1:28">
      <c r="A182" s="116"/>
      <c r="B182" s="116"/>
      <c r="C182" s="116"/>
      <c r="D182" s="3"/>
      <c r="E182" s="163"/>
      <c r="F182" s="163"/>
      <c r="G182" s="163"/>
      <c r="H182" s="163"/>
      <c r="I182" s="163"/>
      <c r="J182" s="163"/>
      <c r="K182" s="163"/>
      <c r="L182" s="163"/>
      <c r="M182" s="164"/>
      <c r="N182" s="164"/>
      <c r="O182" s="165"/>
      <c r="P182" s="166"/>
      <c r="Q182" s="166"/>
      <c r="R182" s="167"/>
      <c r="S182" s="167"/>
      <c r="T182" s="164"/>
      <c r="U182" s="164"/>
      <c r="V182" s="168"/>
      <c r="W182" s="169"/>
      <c r="X182" s="170"/>
      <c r="Y182" s="165"/>
      <c r="Z182" s="171"/>
      <c r="AA182" s="97"/>
      <c r="AB182" s="172"/>
    </row>
    <row r="183" spans="1:28">
      <c r="A183" s="116"/>
      <c r="B183" s="116"/>
      <c r="C183" s="116"/>
      <c r="D183" s="3"/>
      <c r="E183" s="163"/>
      <c r="F183" s="163"/>
      <c r="G183" s="163"/>
      <c r="H183" s="163"/>
      <c r="I183" s="163"/>
      <c r="J183" s="163"/>
      <c r="K183" s="163"/>
      <c r="L183" s="163"/>
      <c r="M183" s="164"/>
      <c r="N183" s="164"/>
      <c r="O183" s="165"/>
      <c r="P183" s="166"/>
      <c r="Q183" s="166"/>
      <c r="R183" s="167"/>
      <c r="S183" s="167"/>
      <c r="T183" s="164"/>
      <c r="U183" s="164"/>
      <c r="V183" s="168"/>
      <c r="W183" s="169"/>
      <c r="X183" s="170"/>
      <c r="Y183" s="165"/>
      <c r="Z183" s="171"/>
      <c r="AA183" s="97"/>
      <c r="AB183" s="172"/>
    </row>
    <row r="184" spans="1:28">
      <c r="A184" s="116"/>
      <c r="B184" s="116"/>
      <c r="C184" s="116"/>
      <c r="D184" s="3"/>
      <c r="E184" s="163"/>
      <c r="F184" s="163"/>
      <c r="G184" s="163"/>
      <c r="H184" s="163"/>
      <c r="I184" s="163"/>
      <c r="J184" s="163"/>
      <c r="K184" s="163"/>
      <c r="L184" s="163"/>
      <c r="M184" s="164"/>
      <c r="N184" s="164"/>
      <c r="O184" s="165"/>
      <c r="P184" s="166"/>
      <c r="Q184" s="166"/>
      <c r="R184" s="167"/>
      <c r="S184" s="167"/>
      <c r="T184" s="164"/>
      <c r="U184" s="164"/>
      <c r="V184" s="168"/>
      <c r="W184" s="169"/>
      <c r="X184" s="170"/>
      <c r="Y184" s="165"/>
      <c r="Z184" s="171"/>
      <c r="AA184" s="97"/>
      <c r="AB184" s="172"/>
    </row>
    <row r="185" spans="1:28">
      <c r="A185" s="116"/>
      <c r="B185" s="116"/>
      <c r="C185" s="116"/>
      <c r="D185" s="3"/>
      <c r="E185" s="163"/>
      <c r="F185" s="163"/>
      <c r="G185" s="163"/>
      <c r="H185" s="163"/>
      <c r="I185" s="163"/>
      <c r="J185" s="163"/>
      <c r="K185" s="163"/>
      <c r="L185" s="163"/>
      <c r="M185" s="164"/>
      <c r="N185" s="164"/>
      <c r="O185" s="165"/>
      <c r="P185" s="166"/>
      <c r="Q185" s="166"/>
      <c r="R185" s="167"/>
      <c r="S185" s="167"/>
      <c r="T185" s="164"/>
      <c r="U185" s="164"/>
      <c r="V185" s="168"/>
      <c r="W185" s="169"/>
      <c r="X185" s="170"/>
      <c r="Y185" s="165"/>
      <c r="Z185" s="171"/>
      <c r="AA185" s="97"/>
      <c r="AB185" s="172"/>
    </row>
    <row r="186" spans="1:28">
      <c r="A186" s="116"/>
      <c r="B186" s="116"/>
      <c r="C186" s="116"/>
      <c r="D186" s="3"/>
      <c r="E186" s="163"/>
      <c r="F186" s="163"/>
      <c r="G186" s="163"/>
      <c r="H186" s="163"/>
      <c r="I186" s="163"/>
      <c r="J186" s="163"/>
      <c r="K186" s="163"/>
      <c r="L186" s="163"/>
      <c r="M186" s="164"/>
      <c r="N186" s="164"/>
      <c r="O186" s="165"/>
      <c r="P186" s="166"/>
      <c r="Q186" s="166"/>
      <c r="R186" s="167"/>
      <c r="S186" s="167"/>
      <c r="T186" s="164"/>
      <c r="U186" s="164"/>
      <c r="V186" s="168"/>
      <c r="W186" s="169"/>
      <c r="X186" s="170"/>
      <c r="Y186" s="165"/>
      <c r="Z186" s="171"/>
      <c r="AA186" s="97"/>
      <c r="AB186" s="172"/>
    </row>
    <row r="187" spans="1:28">
      <c r="A187" s="116"/>
      <c r="B187" s="116"/>
      <c r="C187" s="116"/>
      <c r="D187" s="3"/>
      <c r="E187" s="163"/>
      <c r="F187" s="163"/>
      <c r="G187" s="163"/>
      <c r="H187" s="163"/>
      <c r="I187" s="163"/>
      <c r="J187" s="163"/>
      <c r="K187" s="163"/>
      <c r="L187" s="163"/>
      <c r="M187" s="164"/>
      <c r="N187" s="164"/>
      <c r="O187" s="165"/>
      <c r="P187" s="166"/>
      <c r="Q187" s="166"/>
      <c r="R187" s="167"/>
      <c r="S187" s="167"/>
      <c r="T187" s="164"/>
      <c r="U187" s="164"/>
      <c r="V187" s="168"/>
      <c r="W187" s="169"/>
      <c r="X187" s="170"/>
      <c r="Y187" s="165"/>
      <c r="Z187" s="171"/>
      <c r="AA187" s="97"/>
      <c r="AB187" s="172"/>
    </row>
    <row r="188" spans="1:28">
      <c r="A188" s="116"/>
      <c r="B188" s="116"/>
      <c r="C188" s="116"/>
      <c r="D188" s="3"/>
      <c r="E188" s="163"/>
      <c r="F188" s="163"/>
      <c r="G188" s="163"/>
      <c r="H188" s="163"/>
      <c r="I188" s="163"/>
      <c r="J188" s="163"/>
      <c r="K188" s="163"/>
      <c r="L188" s="163"/>
      <c r="M188" s="164"/>
      <c r="N188" s="164"/>
      <c r="O188" s="165"/>
      <c r="P188" s="166"/>
      <c r="Q188" s="166"/>
      <c r="R188" s="167"/>
      <c r="S188" s="167"/>
      <c r="T188" s="164"/>
      <c r="U188" s="164"/>
      <c r="V188" s="168"/>
      <c r="W188" s="169"/>
      <c r="X188" s="170"/>
      <c r="Y188" s="165"/>
      <c r="Z188" s="171"/>
      <c r="AA188" s="97"/>
      <c r="AB188" s="172"/>
    </row>
    <row r="189" spans="1:28">
      <c r="A189" s="116"/>
      <c r="B189" s="116"/>
      <c r="C189" s="116"/>
      <c r="D189" s="3"/>
      <c r="E189" s="163"/>
      <c r="F189" s="163"/>
      <c r="G189" s="163"/>
      <c r="H189" s="163"/>
      <c r="I189" s="163"/>
      <c r="J189" s="163"/>
      <c r="K189" s="163"/>
      <c r="L189" s="163"/>
      <c r="M189" s="164"/>
      <c r="N189" s="164"/>
      <c r="O189" s="165"/>
      <c r="P189" s="166"/>
      <c r="Q189" s="166"/>
      <c r="R189" s="167"/>
      <c r="S189" s="167"/>
      <c r="T189" s="164"/>
      <c r="U189" s="164"/>
      <c r="V189" s="168"/>
      <c r="W189" s="169"/>
      <c r="X189" s="170"/>
      <c r="Y189" s="165"/>
      <c r="Z189" s="171"/>
      <c r="AA189" s="97"/>
      <c r="AB189" s="172"/>
    </row>
    <row r="190" spans="1:28">
      <c r="A190" s="116"/>
      <c r="B190" s="116"/>
      <c r="C190" s="116"/>
      <c r="D190" s="3"/>
      <c r="E190" s="163"/>
      <c r="F190" s="163"/>
      <c r="G190" s="163"/>
      <c r="H190" s="163"/>
      <c r="I190" s="163"/>
      <c r="J190" s="163"/>
      <c r="K190" s="163"/>
      <c r="L190" s="163"/>
      <c r="M190" s="164"/>
      <c r="N190" s="164"/>
      <c r="O190" s="165"/>
      <c r="P190" s="166"/>
      <c r="Q190" s="166"/>
      <c r="R190" s="167"/>
      <c r="S190" s="167"/>
      <c r="T190" s="164"/>
      <c r="U190" s="164"/>
      <c r="V190" s="168"/>
      <c r="W190" s="169"/>
      <c r="X190" s="170"/>
      <c r="Y190" s="165"/>
      <c r="Z190" s="171"/>
      <c r="AA190" s="97"/>
      <c r="AB190" s="172"/>
    </row>
    <row r="191" spans="1:28">
      <c r="A191" s="116"/>
      <c r="B191" s="116"/>
      <c r="C191" s="116"/>
      <c r="D191" s="3"/>
      <c r="E191" s="163"/>
      <c r="F191" s="163"/>
      <c r="G191" s="163"/>
      <c r="H191" s="163"/>
      <c r="I191" s="163"/>
      <c r="J191" s="163"/>
      <c r="K191" s="163"/>
      <c r="L191" s="163"/>
      <c r="M191" s="164"/>
      <c r="N191" s="164"/>
      <c r="O191" s="165"/>
      <c r="P191" s="166"/>
      <c r="Q191" s="166"/>
      <c r="R191" s="167"/>
      <c r="S191" s="167"/>
      <c r="T191" s="164"/>
      <c r="U191" s="164"/>
      <c r="V191" s="168"/>
      <c r="W191" s="169"/>
      <c r="X191" s="170"/>
      <c r="Y191" s="165"/>
      <c r="Z191" s="171"/>
      <c r="AA191" s="97"/>
      <c r="AB191" s="172"/>
    </row>
    <row r="192" spans="1:28">
      <c r="A192" s="116"/>
      <c r="B192" s="116"/>
      <c r="C192" s="116"/>
      <c r="D192" s="3"/>
      <c r="E192" s="163"/>
      <c r="F192" s="163"/>
      <c r="G192" s="163"/>
      <c r="H192" s="163"/>
      <c r="I192" s="163"/>
      <c r="J192" s="163"/>
      <c r="K192" s="163"/>
      <c r="L192" s="163"/>
      <c r="M192" s="164"/>
      <c r="N192" s="164"/>
      <c r="O192" s="165"/>
      <c r="P192" s="166"/>
      <c r="Q192" s="166"/>
      <c r="R192" s="167"/>
      <c r="S192" s="167"/>
      <c r="T192" s="164"/>
      <c r="U192" s="164"/>
      <c r="V192" s="168"/>
      <c r="W192" s="169"/>
      <c r="X192" s="170"/>
      <c r="Y192" s="165"/>
      <c r="Z192" s="171"/>
      <c r="AA192" s="97"/>
      <c r="AB192" s="172"/>
    </row>
    <row r="193" spans="1:28">
      <c r="A193" s="116"/>
      <c r="B193" s="116"/>
      <c r="C193" s="116"/>
      <c r="D193" s="3"/>
      <c r="E193" s="163"/>
      <c r="F193" s="163"/>
      <c r="G193" s="163"/>
      <c r="H193" s="163"/>
      <c r="I193" s="163"/>
      <c r="J193" s="163"/>
      <c r="K193" s="163"/>
      <c r="L193" s="163"/>
      <c r="M193" s="164"/>
      <c r="N193" s="164"/>
      <c r="O193" s="165"/>
      <c r="P193" s="166"/>
      <c r="Q193" s="166"/>
      <c r="R193" s="167"/>
      <c r="S193" s="167"/>
      <c r="T193" s="164"/>
      <c r="U193" s="164"/>
      <c r="V193" s="168"/>
      <c r="W193" s="169"/>
      <c r="X193" s="170"/>
      <c r="Y193" s="165"/>
      <c r="Z193" s="171"/>
      <c r="AA193" s="97"/>
      <c r="AB193" s="172"/>
    </row>
    <row r="194" spans="1:28">
      <c r="A194" s="116"/>
      <c r="B194" s="116"/>
      <c r="C194" s="116"/>
      <c r="D194" s="3"/>
      <c r="E194" s="163"/>
      <c r="F194" s="163"/>
      <c r="G194" s="163"/>
      <c r="H194" s="163"/>
      <c r="I194" s="163"/>
      <c r="J194" s="163"/>
      <c r="K194" s="163"/>
      <c r="L194" s="163"/>
      <c r="M194" s="164"/>
      <c r="N194" s="164"/>
      <c r="O194" s="165"/>
      <c r="P194" s="166"/>
      <c r="Q194" s="166"/>
      <c r="R194" s="167"/>
      <c r="S194" s="167"/>
      <c r="T194" s="164"/>
      <c r="U194" s="164"/>
      <c r="V194" s="168"/>
      <c r="W194" s="169"/>
      <c r="X194" s="170"/>
      <c r="Y194" s="165"/>
      <c r="Z194" s="171"/>
      <c r="AA194" s="97"/>
      <c r="AB194" s="172"/>
    </row>
    <row r="195" spans="1:28">
      <c r="A195" s="116"/>
      <c r="B195" s="116"/>
      <c r="C195" s="116"/>
      <c r="D195" s="186"/>
      <c r="E195" s="163"/>
      <c r="F195" s="163"/>
      <c r="G195" s="163"/>
      <c r="H195" s="163"/>
      <c r="I195" s="163"/>
      <c r="J195" s="163"/>
      <c r="K195" s="163"/>
      <c r="L195" s="163"/>
      <c r="M195" s="164"/>
      <c r="N195" s="164"/>
      <c r="O195" s="165"/>
      <c r="P195" s="166"/>
      <c r="Q195" s="166"/>
      <c r="R195" s="167"/>
      <c r="S195" s="167"/>
      <c r="T195" s="164"/>
      <c r="U195" s="164"/>
      <c r="V195" s="168"/>
      <c r="W195" s="169"/>
      <c r="X195" s="170"/>
      <c r="Y195" s="165"/>
      <c r="Z195" s="171"/>
      <c r="AA195" s="97"/>
      <c r="AB195" s="172"/>
    </row>
    <row r="196" spans="1:28">
      <c r="A196" s="116"/>
      <c r="B196" s="116"/>
      <c r="C196" s="116"/>
      <c r="D196" s="3"/>
      <c r="E196" s="163"/>
      <c r="F196" s="163"/>
      <c r="G196" s="163"/>
      <c r="H196" s="163"/>
      <c r="I196" s="163"/>
      <c r="J196" s="163"/>
      <c r="K196" s="163"/>
      <c r="L196" s="163"/>
      <c r="M196" s="164"/>
      <c r="N196" s="164"/>
      <c r="O196" s="165"/>
      <c r="P196" s="166"/>
      <c r="Q196" s="166"/>
      <c r="R196" s="167"/>
      <c r="S196" s="167"/>
      <c r="T196" s="164"/>
      <c r="U196" s="164"/>
      <c r="V196" s="168"/>
      <c r="W196" s="169"/>
      <c r="X196" s="170"/>
      <c r="Y196" s="165"/>
      <c r="Z196" s="171"/>
      <c r="AA196" s="97"/>
      <c r="AB196" s="172"/>
    </row>
    <row r="197" spans="1:28">
      <c r="A197" s="116"/>
      <c r="B197" s="116"/>
      <c r="C197" s="116"/>
      <c r="D197" s="3"/>
      <c r="E197" s="163"/>
      <c r="F197" s="163"/>
      <c r="G197" s="163"/>
      <c r="H197" s="163"/>
      <c r="I197" s="163"/>
      <c r="J197" s="163"/>
      <c r="K197" s="163"/>
      <c r="L197" s="163"/>
      <c r="M197" s="164"/>
      <c r="N197" s="164"/>
      <c r="O197" s="165"/>
      <c r="P197" s="166"/>
      <c r="Q197" s="166"/>
      <c r="R197" s="167"/>
      <c r="S197" s="167"/>
      <c r="T197" s="164"/>
      <c r="U197" s="164"/>
      <c r="V197" s="168"/>
      <c r="W197" s="169"/>
      <c r="X197" s="170"/>
      <c r="Y197" s="165"/>
      <c r="Z197" s="171"/>
      <c r="AA197" s="97"/>
      <c r="AB197" s="172"/>
    </row>
    <row r="198" spans="1:28">
      <c r="A198" s="116"/>
      <c r="B198" s="116"/>
      <c r="C198" s="116"/>
      <c r="D198" s="3"/>
      <c r="E198" s="163"/>
      <c r="F198" s="163"/>
      <c r="G198" s="163"/>
      <c r="H198" s="163"/>
      <c r="I198" s="163"/>
      <c r="J198" s="163"/>
      <c r="K198" s="163"/>
      <c r="L198" s="163"/>
      <c r="M198" s="164"/>
      <c r="N198" s="164"/>
      <c r="O198" s="165"/>
      <c r="P198" s="166"/>
      <c r="Q198" s="166"/>
      <c r="R198" s="167"/>
      <c r="S198" s="167"/>
      <c r="T198" s="164"/>
      <c r="U198" s="164"/>
      <c r="V198" s="168"/>
      <c r="W198" s="169"/>
      <c r="X198" s="170"/>
      <c r="Y198" s="165"/>
      <c r="Z198" s="171"/>
      <c r="AA198" s="97"/>
      <c r="AB198" s="172"/>
    </row>
    <row r="199" spans="1:28">
      <c r="A199" s="116"/>
      <c r="B199" s="116"/>
      <c r="C199" s="116"/>
      <c r="D199" s="3"/>
      <c r="E199" s="163"/>
      <c r="F199" s="163"/>
      <c r="G199" s="163"/>
      <c r="H199" s="163"/>
      <c r="I199" s="163"/>
      <c r="J199" s="163"/>
      <c r="K199" s="163"/>
      <c r="L199" s="163"/>
      <c r="M199" s="164"/>
      <c r="N199" s="164"/>
      <c r="O199" s="165"/>
      <c r="P199" s="166"/>
      <c r="Q199" s="166"/>
      <c r="R199" s="167"/>
      <c r="S199" s="167"/>
      <c r="T199" s="164"/>
      <c r="U199" s="164"/>
      <c r="V199" s="168"/>
      <c r="W199" s="169"/>
      <c r="X199" s="170"/>
      <c r="Y199" s="165"/>
      <c r="Z199" s="171"/>
      <c r="AA199" s="97"/>
      <c r="AB199" s="172"/>
    </row>
    <row r="200" spans="1:28">
      <c r="A200" s="116"/>
      <c r="B200" s="116"/>
      <c r="C200" s="116"/>
      <c r="D200" s="3"/>
      <c r="E200" s="163"/>
      <c r="F200" s="163"/>
      <c r="G200" s="163"/>
      <c r="H200" s="163"/>
      <c r="I200" s="163"/>
      <c r="J200" s="163"/>
      <c r="K200" s="163"/>
      <c r="L200" s="163"/>
      <c r="M200" s="164"/>
      <c r="N200" s="164"/>
      <c r="O200" s="165"/>
      <c r="P200" s="166"/>
      <c r="Q200" s="166"/>
      <c r="R200" s="167"/>
      <c r="S200" s="167"/>
      <c r="T200" s="164"/>
      <c r="U200" s="164"/>
      <c r="V200" s="168"/>
      <c r="W200" s="169"/>
      <c r="X200" s="170"/>
      <c r="Y200" s="165"/>
      <c r="Z200" s="171"/>
      <c r="AA200" s="97"/>
      <c r="AB200" s="172"/>
    </row>
    <row r="201" spans="1:28">
      <c r="A201" s="116"/>
      <c r="B201" s="116"/>
      <c r="C201" s="116"/>
      <c r="D201" s="3"/>
      <c r="E201" s="163"/>
      <c r="F201" s="163"/>
      <c r="G201" s="163"/>
      <c r="H201" s="163"/>
      <c r="I201" s="163"/>
      <c r="J201" s="163"/>
      <c r="K201" s="163"/>
      <c r="L201" s="163"/>
      <c r="M201" s="164"/>
      <c r="N201" s="164"/>
      <c r="O201" s="165"/>
      <c r="P201" s="166"/>
      <c r="Q201" s="166"/>
      <c r="R201" s="167"/>
      <c r="S201" s="167"/>
      <c r="T201" s="164"/>
      <c r="U201" s="164"/>
      <c r="V201" s="168"/>
      <c r="W201" s="169"/>
      <c r="X201" s="170"/>
      <c r="Y201" s="165"/>
      <c r="Z201" s="171"/>
      <c r="AA201" s="97"/>
      <c r="AB201" s="172"/>
    </row>
    <row r="202" spans="1:28">
      <c r="A202" s="116"/>
      <c r="B202" s="116"/>
      <c r="C202" s="116"/>
      <c r="D202" s="3"/>
      <c r="E202" s="163"/>
      <c r="F202" s="163"/>
      <c r="G202" s="163"/>
      <c r="H202" s="163"/>
      <c r="I202" s="163"/>
      <c r="J202" s="163"/>
      <c r="K202" s="163"/>
      <c r="L202" s="163"/>
      <c r="M202" s="164"/>
      <c r="N202" s="164"/>
      <c r="O202" s="165"/>
      <c r="P202" s="166"/>
      <c r="Q202" s="166"/>
      <c r="R202" s="167"/>
      <c r="S202" s="167"/>
      <c r="T202" s="164"/>
      <c r="U202" s="164"/>
      <c r="V202" s="168"/>
      <c r="W202" s="169"/>
      <c r="X202" s="170"/>
      <c r="Y202" s="165"/>
      <c r="Z202" s="171"/>
      <c r="AA202" s="97"/>
      <c r="AB202" s="172"/>
    </row>
    <row r="203" spans="1:28">
      <c r="A203" s="116"/>
      <c r="B203" s="116"/>
      <c r="C203" s="116"/>
      <c r="D203" s="3"/>
      <c r="E203" s="163"/>
      <c r="F203" s="163"/>
      <c r="G203" s="163"/>
      <c r="H203" s="163"/>
      <c r="I203" s="163"/>
      <c r="J203" s="163"/>
      <c r="K203" s="163"/>
      <c r="L203" s="163"/>
      <c r="M203" s="164"/>
      <c r="N203" s="164"/>
      <c r="O203" s="165"/>
      <c r="P203" s="166"/>
      <c r="Q203" s="166"/>
      <c r="R203" s="167"/>
      <c r="S203" s="167"/>
      <c r="T203" s="164"/>
      <c r="U203" s="164"/>
      <c r="V203" s="168"/>
      <c r="W203" s="169"/>
      <c r="X203" s="170"/>
      <c r="Y203" s="165"/>
      <c r="Z203" s="171"/>
      <c r="AA203" s="97"/>
      <c r="AB203" s="172"/>
    </row>
    <row r="204" spans="1:28">
      <c r="A204" s="116"/>
      <c r="B204" s="116"/>
      <c r="C204" s="116"/>
      <c r="D204" s="3"/>
      <c r="E204" s="163"/>
      <c r="F204" s="163"/>
      <c r="G204" s="163"/>
      <c r="H204" s="163"/>
      <c r="I204" s="163"/>
      <c r="J204" s="163"/>
      <c r="K204" s="163"/>
      <c r="L204" s="163"/>
      <c r="M204" s="164"/>
      <c r="N204" s="164"/>
      <c r="O204" s="165"/>
      <c r="P204" s="166"/>
      <c r="Q204" s="166"/>
      <c r="R204" s="167"/>
      <c r="S204" s="167"/>
      <c r="T204" s="164"/>
      <c r="U204" s="164"/>
      <c r="V204" s="168"/>
      <c r="W204" s="169"/>
      <c r="X204" s="170"/>
      <c r="Y204" s="165"/>
      <c r="Z204" s="171"/>
      <c r="AA204" s="97"/>
      <c r="AB204" s="172"/>
    </row>
    <row r="205" spans="1:28">
      <c r="A205" s="116"/>
      <c r="B205" s="116"/>
      <c r="C205" s="116"/>
      <c r="D205" s="3"/>
      <c r="E205" s="163"/>
      <c r="F205" s="163"/>
      <c r="G205" s="163"/>
      <c r="H205" s="163"/>
      <c r="I205" s="163"/>
      <c r="J205" s="163"/>
      <c r="K205" s="163"/>
      <c r="L205" s="163"/>
      <c r="M205" s="164"/>
      <c r="N205" s="164"/>
      <c r="O205" s="165"/>
      <c r="P205" s="166"/>
      <c r="Q205" s="166"/>
      <c r="R205" s="167"/>
      <c r="S205" s="167"/>
      <c r="T205" s="164"/>
      <c r="U205" s="164"/>
      <c r="V205" s="168"/>
      <c r="W205" s="169"/>
      <c r="X205" s="170"/>
      <c r="Y205" s="165"/>
      <c r="Z205" s="171"/>
      <c r="AA205" s="97"/>
      <c r="AB205" s="172"/>
    </row>
    <row r="206" spans="1:28">
      <c r="A206" s="116"/>
      <c r="B206" s="116"/>
      <c r="C206" s="116"/>
      <c r="D206" s="3"/>
      <c r="E206" s="163"/>
      <c r="F206" s="163"/>
      <c r="G206" s="163"/>
      <c r="H206" s="163"/>
      <c r="I206" s="163"/>
      <c r="J206" s="163"/>
      <c r="K206" s="163"/>
      <c r="L206" s="163"/>
      <c r="M206" s="164"/>
      <c r="N206" s="164"/>
      <c r="O206" s="165"/>
      <c r="P206" s="166"/>
      <c r="Q206" s="166"/>
      <c r="R206" s="167"/>
      <c r="S206" s="167"/>
      <c r="T206" s="164"/>
      <c r="U206" s="164"/>
      <c r="V206" s="168"/>
      <c r="W206" s="169"/>
      <c r="X206" s="170"/>
      <c r="Y206" s="165"/>
      <c r="Z206" s="171"/>
      <c r="AA206" s="97"/>
      <c r="AB206" s="172"/>
    </row>
    <row r="207" spans="1:28">
      <c r="A207" s="116"/>
      <c r="B207" s="116"/>
      <c r="C207" s="116"/>
      <c r="D207" s="3"/>
      <c r="E207" s="163"/>
      <c r="F207" s="163"/>
      <c r="G207" s="163"/>
      <c r="H207" s="163"/>
      <c r="I207" s="163"/>
      <c r="J207" s="163"/>
      <c r="K207" s="163"/>
      <c r="L207" s="163"/>
      <c r="M207" s="164"/>
      <c r="N207" s="164"/>
      <c r="O207" s="165"/>
      <c r="P207" s="166"/>
      <c r="Q207" s="166"/>
      <c r="R207" s="167"/>
      <c r="S207" s="167"/>
      <c r="T207" s="164"/>
      <c r="U207" s="164"/>
      <c r="V207" s="168"/>
      <c r="W207" s="169"/>
      <c r="X207" s="170"/>
      <c r="Y207" s="165"/>
      <c r="Z207" s="171"/>
      <c r="AA207" s="97"/>
      <c r="AB207" s="172"/>
    </row>
    <row r="208" spans="1:28">
      <c r="A208" s="116"/>
      <c r="B208" s="116"/>
      <c r="C208" s="116"/>
      <c r="D208" s="3"/>
      <c r="E208" s="163"/>
      <c r="F208" s="163"/>
      <c r="G208" s="163"/>
      <c r="H208" s="163"/>
      <c r="I208" s="163"/>
      <c r="J208" s="163"/>
      <c r="K208" s="163"/>
      <c r="L208" s="163"/>
      <c r="M208" s="164"/>
      <c r="N208" s="164"/>
      <c r="O208" s="165"/>
      <c r="P208" s="166"/>
      <c r="Q208" s="166"/>
      <c r="R208" s="167"/>
      <c r="S208" s="167"/>
      <c r="T208" s="164"/>
      <c r="U208" s="164"/>
      <c r="V208" s="168"/>
      <c r="W208" s="169"/>
      <c r="X208" s="170"/>
      <c r="Y208" s="165"/>
      <c r="Z208" s="171"/>
      <c r="AA208" s="97"/>
      <c r="AB208" s="172"/>
    </row>
    <row r="209" spans="1:28">
      <c r="A209" s="116"/>
      <c r="B209" s="116"/>
      <c r="C209" s="116"/>
      <c r="D209" s="3"/>
      <c r="E209" s="163"/>
      <c r="F209" s="163"/>
      <c r="G209" s="163"/>
      <c r="H209" s="163"/>
      <c r="I209" s="163"/>
      <c r="J209" s="163"/>
      <c r="K209" s="163"/>
      <c r="L209" s="163"/>
      <c r="M209" s="164"/>
      <c r="N209" s="164"/>
      <c r="O209" s="165"/>
      <c r="P209" s="166"/>
      <c r="Q209" s="166"/>
      <c r="R209" s="167"/>
      <c r="S209" s="167"/>
      <c r="T209" s="164"/>
      <c r="U209" s="164"/>
      <c r="V209" s="168"/>
      <c r="W209" s="169"/>
      <c r="X209" s="170"/>
      <c r="Y209" s="165"/>
      <c r="Z209" s="171"/>
      <c r="AA209" s="97"/>
      <c r="AB209" s="172"/>
    </row>
    <row r="210" spans="1:28">
      <c r="A210" s="116"/>
      <c r="B210" s="116"/>
      <c r="C210" s="116"/>
      <c r="D210" s="3"/>
      <c r="E210" s="163"/>
      <c r="F210" s="163"/>
      <c r="G210" s="163"/>
      <c r="H210" s="163"/>
      <c r="I210" s="163"/>
      <c r="J210" s="163"/>
      <c r="K210" s="163"/>
      <c r="L210" s="163"/>
      <c r="M210" s="164"/>
      <c r="N210" s="164"/>
      <c r="O210" s="165"/>
      <c r="P210" s="166"/>
      <c r="Q210" s="166"/>
      <c r="R210" s="167"/>
      <c r="S210" s="167"/>
      <c r="T210" s="164"/>
      <c r="U210" s="164"/>
      <c r="V210" s="168"/>
      <c r="W210" s="169"/>
      <c r="X210" s="170"/>
      <c r="Y210" s="165"/>
      <c r="Z210" s="171"/>
      <c r="AA210" s="97"/>
      <c r="AB210" s="172"/>
    </row>
    <row r="211" spans="1:28">
      <c r="A211" s="116"/>
      <c r="B211" s="116"/>
      <c r="C211" s="116"/>
      <c r="D211" s="3"/>
      <c r="E211" s="163"/>
      <c r="F211" s="163"/>
      <c r="G211" s="163"/>
      <c r="H211" s="163"/>
      <c r="I211" s="163"/>
      <c r="J211" s="163"/>
      <c r="K211" s="163"/>
      <c r="L211" s="163"/>
      <c r="M211" s="164"/>
      <c r="N211" s="164"/>
      <c r="O211" s="165"/>
      <c r="P211" s="166"/>
      <c r="Q211" s="166"/>
      <c r="R211" s="167"/>
      <c r="S211" s="167"/>
      <c r="T211" s="164"/>
      <c r="U211" s="164"/>
      <c r="V211" s="168"/>
      <c r="W211" s="169"/>
      <c r="X211" s="170"/>
      <c r="Y211" s="165"/>
      <c r="Z211" s="171"/>
      <c r="AA211" s="97"/>
      <c r="AB211" s="172"/>
    </row>
    <row r="212" spans="1:28">
      <c r="A212" s="116"/>
      <c r="B212" s="116"/>
      <c r="C212" s="116"/>
      <c r="D212" s="3"/>
      <c r="E212" s="163"/>
      <c r="F212" s="163"/>
      <c r="G212" s="163"/>
      <c r="H212" s="163"/>
      <c r="I212" s="163"/>
      <c r="J212" s="163"/>
      <c r="K212" s="163"/>
      <c r="L212" s="163"/>
      <c r="M212" s="164"/>
      <c r="N212" s="164"/>
      <c r="O212" s="165"/>
      <c r="P212" s="166"/>
      <c r="Q212" s="166"/>
      <c r="R212" s="167"/>
      <c r="S212" s="167"/>
      <c r="T212" s="164"/>
      <c r="U212" s="164"/>
      <c r="V212" s="168"/>
      <c r="W212" s="169"/>
      <c r="X212" s="170"/>
      <c r="Y212" s="165"/>
      <c r="Z212" s="171"/>
      <c r="AA212" s="97"/>
      <c r="AB212" s="172"/>
    </row>
    <row r="213" spans="1:28">
      <c r="A213" s="116"/>
      <c r="B213" s="116"/>
      <c r="C213" s="116"/>
      <c r="D213" s="3"/>
      <c r="E213" s="163"/>
      <c r="F213" s="163"/>
      <c r="G213" s="163"/>
      <c r="H213" s="163"/>
      <c r="I213" s="163"/>
      <c r="J213" s="163"/>
      <c r="K213" s="163"/>
      <c r="L213" s="163"/>
      <c r="M213" s="164"/>
      <c r="N213" s="164"/>
      <c r="O213" s="165"/>
      <c r="P213" s="166"/>
      <c r="Q213" s="166"/>
      <c r="R213" s="167"/>
      <c r="S213" s="167"/>
      <c r="T213" s="164"/>
      <c r="U213" s="164"/>
      <c r="V213" s="168"/>
      <c r="W213" s="169"/>
      <c r="X213" s="170"/>
      <c r="Y213" s="165"/>
      <c r="Z213" s="171"/>
      <c r="AA213" s="97"/>
      <c r="AB213" s="172"/>
    </row>
    <row r="214" spans="1:28">
      <c r="A214" s="116"/>
      <c r="B214" s="116"/>
      <c r="C214" s="116"/>
      <c r="D214" s="3"/>
      <c r="E214" s="163"/>
      <c r="F214" s="163"/>
      <c r="G214" s="163"/>
      <c r="H214" s="163"/>
      <c r="I214" s="163"/>
      <c r="J214" s="163"/>
      <c r="K214" s="163"/>
      <c r="L214" s="163"/>
      <c r="M214" s="164"/>
      <c r="N214" s="164"/>
      <c r="O214" s="165"/>
      <c r="P214" s="166"/>
      <c r="Q214" s="166"/>
      <c r="R214" s="167"/>
      <c r="S214" s="167"/>
      <c r="T214" s="164"/>
      <c r="U214" s="164"/>
      <c r="V214" s="168"/>
      <c r="W214" s="169"/>
      <c r="X214" s="170"/>
      <c r="Y214" s="165"/>
      <c r="Z214" s="171"/>
      <c r="AA214" s="97"/>
      <c r="AB214" s="172"/>
    </row>
    <row r="215" spans="1:28">
      <c r="A215" s="116"/>
      <c r="B215" s="116"/>
      <c r="C215" s="116"/>
      <c r="D215" s="3"/>
      <c r="E215" s="163"/>
      <c r="F215" s="163"/>
      <c r="G215" s="163"/>
      <c r="H215" s="163"/>
      <c r="I215" s="163"/>
      <c r="J215" s="163"/>
      <c r="K215" s="163"/>
      <c r="L215" s="163"/>
      <c r="M215" s="164"/>
      <c r="N215" s="164"/>
      <c r="O215" s="165"/>
      <c r="P215" s="166"/>
      <c r="Q215" s="166"/>
      <c r="R215" s="167"/>
      <c r="S215" s="167"/>
      <c r="T215" s="164"/>
      <c r="U215" s="164"/>
      <c r="V215" s="168"/>
      <c r="W215" s="169"/>
      <c r="X215" s="170"/>
      <c r="Y215" s="165"/>
      <c r="Z215" s="171"/>
      <c r="AA215" s="97"/>
      <c r="AB215" s="172"/>
    </row>
    <row r="216" spans="1:28">
      <c r="A216" s="116"/>
      <c r="B216" s="116"/>
      <c r="C216" s="116"/>
      <c r="D216" s="3"/>
      <c r="E216" s="163"/>
      <c r="F216" s="163"/>
      <c r="G216" s="163"/>
      <c r="H216" s="163"/>
      <c r="I216" s="163"/>
      <c r="J216" s="163"/>
      <c r="K216" s="163"/>
      <c r="L216" s="163"/>
      <c r="M216" s="164"/>
      <c r="N216" s="164"/>
      <c r="O216" s="165"/>
      <c r="P216" s="166"/>
      <c r="Q216" s="166"/>
      <c r="R216" s="167"/>
      <c r="S216" s="167"/>
      <c r="T216" s="164"/>
      <c r="U216" s="164"/>
      <c r="V216" s="168"/>
      <c r="W216" s="169"/>
      <c r="X216" s="170"/>
      <c r="Y216" s="165"/>
      <c r="Z216" s="171"/>
      <c r="AA216" s="97"/>
      <c r="AB216" s="172"/>
    </row>
    <row r="217" spans="1:28">
      <c r="A217" s="116"/>
      <c r="B217" s="116"/>
      <c r="C217" s="116"/>
      <c r="D217" s="3"/>
      <c r="E217" s="163"/>
      <c r="F217" s="163"/>
      <c r="G217" s="163"/>
      <c r="H217" s="163"/>
      <c r="I217" s="163"/>
      <c r="J217" s="163"/>
      <c r="K217" s="163"/>
      <c r="L217" s="163"/>
      <c r="M217" s="164"/>
      <c r="N217" s="164"/>
      <c r="O217" s="165"/>
      <c r="P217" s="166"/>
      <c r="Q217" s="166"/>
      <c r="R217" s="167"/>
      <c r="S217" s="167"/>
      <c r="T217" s="164"/>
      <c r="U217" s="164"/>
      <c r="V217" s="168"/>
      <c r="W217" s="169"/>
      <c r="X217" s="170"/>
      <c r="Y217" s="165"/>
      <c r="Z217" s="171"/>
      <c r="AA217" s="97"/>
      <c r="AB217" s="172"/>
    </row>
    <row r="218" spans="1:28">
      <c r="A218" s="116"/>
      <c r="B218" s="116"/>
      <c r="C218" s="116"/>
      <c r="D218" s="3"/>
      <c r="E218" s="163"/>
      <c r="F218" s="163"/>
      <c r="G218" s="163"/>
      <c r="H218" s="163"/>
      <c r="I218" s="163"/>
      <c r="J218" s="163"/>
      <c r="K218" s="163"/>
      <c r="L218" s="163"/>
      <c r="M218" s="164"/>
      <c r="N218" s="164"/>
      <c r="O218" s="165"/>
      <c r="P218" s="166"/>
      <c r="Q218" s="166"/>
      <c r="R218" s="167"/>
      <c r="S218" s="167"/>
      <c r="T218" s="164"/>
      <c r="U218" s="164"/>
      <c r="V218" s="168"/>
      <c r="W218" s="169"/>
      <c r="X218" s="170"/>
      <c r="Y218" s="165"/>
      <c r="Z218" s="171"/>
      <c r="AA218" s="97"/>
      <c r="AB218" s="172"/>
    </row>
    <row r="219" spans="1:28">
      <c r="A219" s="116"/>
      <c r="B219" s="116"/>
      <c r="C219" s="116"/>
      <c r="D219" s="3"/>
      <c r="E219" s="163"/>
      <c r="F219" s="163"/>
      <c r="G219" s="163"/>
      <c r="H219" s="163"/>
      <c r="I219" s="163"/>
      <c r="J219" s="163"/>
      <c r="K219" s="163"/>
      <c r="L219" s="163"/>
      <c r="M219" s="164"/>
      <c r="N219" s="164"/>
      <c r="O219" s="165"/>
      <c r="P219" s="166"/>
      <c r="Q219" s="166"/>
      <c r="R219" s="167"/>
      <c r="S219" s="167"/>
      <c r="T219" s="164"/>
      <c r="U219" s="164"/>
      <c r="V219" s="168"/>
      <c r="W219" s="169"/>
      <c r="X219" s="170"/>
      <c r="Y219" s="165"/>
      <c r="Z219" s="171"/>
      <c r="AA219" s="97"/>
      <c r="AB219" s="172"/>
    </row>
    <row r="220" spans="1:28">
      <c r="A220" s="116"/>
      <c r="B220" s="116"/>
      <c r="C220" s="116"/>
      <c r="D220" s="3"/>
      <c r="E220" s="163"/>
      <c r="F220" s="163"/>
      <c r="G220" s="163"/>
      <c r="H220" s="163"/>
      <c r="I220" s="163"/>
      <c r="J220" s="163"/>
      <c r="K220" s="163"/>
      <c r="L220" s="163"/>
      <c r="M220" s="164"/>
      <c r="N220" s="164"/>
      <c r="O220" s="165"/>
      <c r="P220" s="166"/>
      <c r="Q220" s="166"/>
      <c r="R220" s="167"/>
      <c r="S220" s="167"/>
      <c r="T220" s="164"/>
      <c r="U220" s="164"/>
      <c r="V220" s="168"/>
      <c r="W220" s="169"/>
      <c r="X220" s="170"/>
      <c r="Y220" s="165"/>
      <c r="Z220" s="171"/>
      <c r="AA220" s="97"/>
      <c r="AB220" s="172"/>
    </row>
    <row r="221" spans="1:28">
      <c r="A221" s="116"/>
      <c r="B221" s="116"/>
      <c r="C221" s="116"/>
      <c r="D221" s="3"/>
      <c r="E221" s="163"/>
      <c r="F221" s="163"/>
      <c r="G221" s="163"/>
      <c r="H221" s="163"/>
      <c r="I221" s="163"/>
      <c r="J221" s="163"/>
      <c r="K221" s="163"/>
      <c r="L221" s="163"/>
      <c r="M221" s="164"/>
      <c r="N221" s="164"/>
      <c r="O221" s="165"/>
      <c r="P221" s="166"/>
      <c r="Q221" s="166"/>
      <c r="R221" s="167"/>
      <c r="S221" s="167"/>
      <c r="T221" s="164"/>
      <c r="U221" s="164"/>
      <c r="V221" s="168"/>
      <c r="W221" s="169"/>
      <c r="X221" s="170"/>
      <c r="Y221" s="165"/>
      <c r="Z221" s="171"/>
      <c r="AA221" s="97"/>
      <c r="AB221" s="172"/>
    </row>
    <row r="222" spans="1:28">
      <c r="A222" s="116"/>
      <c r="B222" s="116"/>
      <c r="C222" s="116"/>
      <c r="D222" s="3"/>
      <c r="E222" s="163"/>
      <c r="F222" s="163"/>
      <c r="G222" s="163"/>
      <c r="H222" s="163"/>
      <c r="I222" s="163"/>
      <c r="J222" s="163"/>
      <c r="K222" s="163"/>
      <c r="L222" s="163"/>
      <c r="M222" s="164"/>
      <c r="N222" s="164"/>
      <c r="O222" s="165"/>
      <c r="P222" s="166"/>
      <c r="Q222" s="166"/>
      <c r="R222" s="167"/>
      <c r="S222" s="167"/>
      <c r="T222" s="164"/>
      <c r="U222" s="164"/>
      <c r="V222" s="168"/>
      <c r="W222" s="169"/>
      <c r="X222" s="170"/>
      <c r="Y222" s="165"/>
      <c r="Z222" s="171"/>
      <c r="AA222" s="97"/>
      <c r="AB222" s="172"/>
    </row>
    <row r="223" spans="1:28">
      <c r="A223" s="116"/>
      <c r="B223" s="116"/>
      <c r="C223" s="116"/>
      <c r="D223" s="3"/>
      <c r="E223" s="163"/>
      <c r="F223" s="163"/>
      <c r="G223" s="163"/>
      <c r="H223" s="163"/>
      <c r="I223" s="163"/>
      <c r="J223" s="163"/>
      <c r="K223" s="163"/>
      <c r="L223" s="163"/>
      <c r="M223" s="164"/>
      <c r="N223" s="164"/>
      <c r="O223" s="165"/>
      <c r="P223" s="166"/>
      <c r="Q223" s="166"/>
      <c r="R223" s="167"/>
      <c r="S223" s="167"/>
      <c r="T223" s="164"/>
      <c r="U223" s="164"/>
      <c r="V223" s="168"/>
      <c r="W223" s="169"/>
      <c r="X223" s="170"/>
      <c r="Y223" s="165"/>
      <c r="Z223" s="171"/>
      <c r="AA223" s="97"/>
      <c r="AB223" s="172"/>
    </row>
    <row r="224" spans="1:28">
      <c r="A224" s="116"/>
      <c r="B224" s="116"/>
      <c r="C224" s="116"/>
      <c r="D224" s="3"/>
      <c r="E224" s="163"/>
      <c r="F224" s="163"/>
      <c r="G224" s="163"/>
      <c r="H224" s="163"/>
      <c r="I224" s="163"/>
      <c r="J224" s="163"/>
      <c r="K224" s="163"/>
      <c r="L224" s="163"/>
      <c r="M224" s="164"/>
      <c r="N224" s="164"/>
      <c r="O224" s="165"/>
      <c r="P224" s="166"/>
      <c r="Q224" s="166"/>
      <c r="R224" s="167"/>
      <c r="S224" s="167"/>
      <c r="T224" s="164"/>
      <c r="U224" s="164"/>
      <c r="V224" s="168"/>
      <c r="W224" s="169"/>
      <c r="X224" s="170"/>
      <c r="Y224" s="165"/>
      <c r="Z224" s="171"/>
      <c r="AA224" s="97"/>
      <c r="AB224" s="172"/>
    </row>
    <row r="225" spans="1:28">
      <c r="A225" s="116"/>
      <c r="B225" s="116"/>
      <c r="C225" s="116"/>
      <c r="D225" s="3"/>
      <c r="E225" s="163"/>
      <c r="F225" s="163"/>
      <c r="G225" s="163"/>
      <c r="H225" s="163"/>
      <c r="I225" s="163"/>
      <c r="J225" s="163"/>
      <c r="K225" s="163"/>
      <c r="L225" s="163"/>
      <c r="M225" s="164"/>
      <c r="N225" s="164"/>
      <c r="O225" s="165"/>
      <c r="P225" s="166"/>
      <c r="Q225" s="166"/>
      <c r="R225" s="167"/>
      <c r="S225" s="167"/>
      <c r="T225" s="164"/>
      <c r="U225" s="164"/>
      <c r="V225" s="168"/>
      <c r="W225" s="169"/>
      <c r="X225" s="170"/>
      <c r="Y225" s="165"/>
      <c r="Z225" s="171"/>
      <c r="AA225" s="97"/>
      <c r="AB225" s="172"/>
    </row>
    <row r="226" spans="1:28">
      <c r="A226" s="116"/>
      <c r="B226" s="116"/>
      <c r="C226" s="116"/>
      <c r="D226" s="3"/>
      <c r="E226" s="163"/>
      <c r="F226" s="163"/>
      <c r="G226" s="163"/>
      <c r="H226" s="163"/>
      <c r="I226" s="163"/>
      <c r="J226" s="163"/>
      <c r="K226" s="163"/>
      <c r="L226" s="163"/>
      <c r="M226" s="164"/>
      <c r="N226" s="164"/>
      <c r="O226" s="165"/>
      <c r="P226" s="166"/>
      <c r="Q226" s="166"/>
      <c r="R226" s="167"/>
      <c r="S226" s="167"/>
      <c r="T226" s="164"/>
      <c r="U226" s="164"/>
      <c r="V226" s="168"/>
      <c r="W226" s="169"/>
      <c r="X226" s="170"/>
      <c r="Y226" s="165"/>
      <c r="Z226" s="171"/>
      <c r="AA226" s="97"/>
      <c r="AB226" s="172"/>
    </row>
    <row r="227" spans="1:28">
      <c r="A227" s="116"/>
      <c r="B227" s="116"/>
      <c r="C227" s="116"/>
      <c r="D227" s="3"/>
      <c r="E227" s="163"/>
      <c r="F227" s="163"/>
      <c r="G227" s="163"/>
      <c r="H227" s="163"/>
      <c r="I227" s="163"/>
      <c r="J227" s="163"/>
      <c r="K227" s="163"/>
      <c r="L227" s="163"/>
      <c r="M227" s="164"/>
      <c r="N227" s="164"/>
      <c r="O227" s="165"/>
      <c r="P227" s="166"/>
      <c r="Q227" s="166"/>
      <c r="R227" s="167"/>
      <c r="S227" s="167"/>
      <c r="T227" s="164"/>
      <c r="U227" s="164"/>
      <c r="V227" s="168"/>
      <c r="W227" s="169"/>
      <c r="X227" s="170"/>
      <c r="Y227" s="165"/>
      <c r="Z227" s="171"/>
      <c r="AA227" s="97"/>
      <c r="AB227" s="172"/>
    </row>
    <row r="228" spans="1:28">
      <c r="A228" s="116"/>
      <c r="B228" s="116"/>
      <c r="C228" s="116"/>
      <c r="D228" s="3"/>
      <c r="E228" s="163"/>
      <c r="F228" s="163"/>
      <c r="G228" s="163"/>
      <c r="H228" s="163"/>
      <c r="I228" s="163"/>
      <c r="J228" s="163"/>
      <c r="K228" s="163"/>
      <c r="L228" s="163"/>
      <c r="M228" s="164"/>
      <c r="N228" s="164"/>
      <c r="O228" s="165"/>
      <c r="P228" s="166"/>
      <c r="Q228" s="166"/>
      <c r="R228" s="167"/>
      <c r="S228" s="167"/>
      <c r="T228" s="164"/>
      <c r="U228" s="164"/>
      <c r="V228" s="168"/>
      <c r="W228" s="169"/>
      <c r="X228" s="170"/>
      <c r="Y228" s="165"/>
      <c r="Z228" s="171"/>
      <c r="AA228" s="97"/>
      <c r="AB228" s="172"/>
    </row>
    <row r="229" spans="1:28">
      <c r="A229" s="116"/>
      <c r="B229" s="116"/>
      <c r="C229" s="116"/>
      <c r="D229" s="3"/>
      <c r="E229" s="163"/>
      <c r="F229" s="163"/>
      <c r="G229" s="163"/>
      <c r="H229" s="163"/>
      <c r="I229" s="163"/>
      <c r="J229" s="163"/>
      <c r="K229" s="163"/>
      <c r="L229" s="163"/>
      <c r="M229" s="164"/>
      <c r="N229" s="164"/>
      <c r="O229" s="165"/>
      <c r="P229" s="166"/>
      <c r="Q229" s="166"/>
      <c r="R229" s="167"/>
      <c r="S229" s="167"/>
      <c r="T229" s="164"/>
      <c r="U229" s="164"/>
      <c r="V229" s="168"/>
      <c r="W229" s="169"/>
      <c r="X229" s="170"/>
      <c r="Y229" s="165"/>
      <c r="Z229" s="171"/>
      <c r="AA229" s="97"/>
      <c r="AB229" s="172"/>
    </row>
    <row r="230" spans="1:28">
      <c r="A230" s="116"/>
      <c r="B230" s="116"/>
      <c r="C230" s="116"/>
      <c r="D230" s="3"/>
      <c r="E230" s="163"/>
      <c r="F230" s="163"/>
      <c r="G230" s="163"/>
      <c r="H230" s="163"/>
      <c r="I230" s="163"/>
      <c r="J230" s="163"/>
      <c r="K230" s="163"/>
      <c r="L230" s="163"/>
      <c r="M230" s="164"/>
      <c r="N230" s="164"/>
      <c r="O230" s="165"/>
      <c r="P230" s="166"/>
      <c r="Q230" s="166"/>
      <c r="R230" s="167"/>
      <c r="S230" s="167"/>
      <c r="T230" s="164"/>
      <c r="U230" s="164"/>
      <c r="V230" s="168"/>
      <c r="W230" s="169"/>
      <c r="X230" s="170"/>
      <c r="Y230" s="165"/>
      <c r="Z230" s="171"/>
      <c r="AA230" s="97"/>
      <c r="AB230" s="172"/>
    </row>
    <row r="231" spans="1:28">
      <c r="A231" s="116"/>
      <c r="B231" s="116"/>
      <c r="C231" s="116"/>
      <c r="D231" s="3"/>
      <c r="E231" s="163"/>
      <c r="F231" s="163"/>
      <c r="G231" s="163"/>
      <c r="H231" s="163"/>
      <c r="I231" s="163"/>
      <c r="J231" s="163"/>
      <c r="K231" s="163"/>
      <c r="L231" s="163"/>
      <c r="M231" s="164"/>
      <c r="N231" s="164"/>
      <c r="O231" s="165"/>
      <c r="P231" s="166"/>
      <c r="Q231" s="166"/>
      <c r="R231" s="167"/>
      <c r="S231" s="167"/>
      <c r="T231" s="164"/>
      <c r="U231" s="164"/>
      <c r="V231" s="168"/>
      <c r="W231" s="169"/>
      <c r="X231" s="170"/>
      <c r="Y231" s="165"/>
      <c r="Z231" s="171"/>
      <c r="AA231" s="97"/>
      <c r="AB231" s="172"/>
    </row>
    <row r="232" spans="1:28">
      <c r="A232" s="116"/>
      <c r="B232" s="116"/>
      <c r="C232" s="116"/>
      <c r="D232" s="3"/>
      <c r="E232" s="163"/>
      <c r="F232" s="163"/>
      <c r="G232" s="163"/>
      <c r="H232" s="163"/>
      <c r="I232" s="163"/>
      <c r="J232" s="163"/>
      <c r="K232" s="163"/>
      <c r="L232" s="163"/>
      <c r="M232" s="164"/>
      <c r="N232" s="164"/>
      <c r="O232" s="165"/>
      <c r="P232" s="166"/>
      <c r="Q232" s="166"/>
      <c r="R232" s="167"/>
      <c r="S232" s="167"/>
      <c r="T232" s="164"/>
      <c r="U232" s="164"/>
      <c r="V232" s="168"/>
      <c r="W232" s="169"/>
      <c r="X232" s="170"/>
      <c r="Y232" s="165"/>
      <c r="Z232" s="171"/>
      <c r="AA232" s="97"/>
      <c r="AB232" s="172"/>
    </row>
    <row r="233" spans="1:28">
      <c r="A233" s="116"/>
      <c r="B233" s="116"/>
      <c r="C233" s="116"/>
      <c r="D233" s="3"/>
      <c r="E233" s="163"/>
      <c r="F233" s="163"/>
      <c r="G233" s="163"/>
      <c r="H233" s="163"/>
      <c r="I233" s="163"/>
      <c r="J233" s="163"/>
      <c r="K233" s="163"/>
      <c r="L233" s="163"/>
      <c r="M233" s="164"/>
      <c r="N233" s="164"/>
      <c r="O233" s="165"/>
      <c r="P233" s="166"/>
      <c r="Q233" s="166"/>
      <c r="R233" s="167"/>
      <c r="S233" s="167"/>
      <c r="T233" s="164"/>
      <c r="U233" s="164"/>
      <c r="V233" s="168"/>
      <c r="W233" s="169"/>
      <c r="X233" s="170"/>
      <c r="Y233" s="165"/>
      <c r="Z233" s="171"/>
      <c r="AA233" s="97"/>
      <c r="AB233" s="172"/>
    </row>
    <row r="234" spans="1:28">
      <c r="A234" s="116"/>
      <c r="B234" s="116"/>
      <c r="C234" s="116"/>
      <c r="D234" s="3"/>
      <c r="E234" s="163"/>
      <c r="F234" s="163"/>
      <c r="G234" s="163"/>
      <c r="H234" s="163"/>
      <c r="I234" s="163"/>
      <c r="J234" s="163"/>
      <c r="K234" s="163"/>
      <c r="L234" s="163"/>
      <c r="M234" s="164"/>
      <c r="N234" s="164"/>
      <c r="O234" s="165"/>
      <c r="P234" s="166"/>
      <c r="Q234" s="166"/>
      <c r="R234" s="167"/>
      <c r="S234" s="167"/>
      <c r="T234" s="164"/>
      <c r="U234" s="164"/>
      <c r="V234" s="168"/>
      <c r="W234" s="169"/>
      <c r="X234" s="170"/>
      <c r="Y234" s="165"/>
      <c r="Z234" s="171"/>
      <c r="AA234" s="97"/>
      <c r="AB234" s="172"/>
    </row>
    <row r="235" spans="1:28">
      <c r="A235" s="116"/>
      <c r="B235" s="116"/>
      <c r="C235" s="116"/>
      <c r="D235" s="3"/>
      <c r="E235" s="163"/>
      <c r="F235" s="163"/>
      <c r="G235" s="163"/>
      <c r="H235" s="163"/>
      <c r="I235" s="163"/>
      <c r="J235" s="163"/>
      <c r="K235" s="163"/>
      <c r="L235" s="163"/>
      <c r="M235" s="164"/>
      <c r="N235" s="164"/>
      <c r="O235" s="165"/>
      <c r="P235" s="166"/>
      <c r="Q235" s="166"/>
      <c r="R235" s="167"/>
      <c r="S235" s="167"/>
      <c r="T235" s="164"/>
      <c r="U235" s="164"/>
      <c r="V235" s="168"/>
      <c r="W235" s="169"/>
      <c r="X235" s="170"/>
      <c r="Y235" s="165"/>
      <c r="Z235" s="171"/>
      <c r="AA235" s="97"/>
      <c r="AB235" s="172"/>
    </row>
    <row r="236" spans="1:28">
      <c r="A236" s="149"/>
      <c r="B236" s="149"/>
      <c r="C236" s="149"/>
      <c r="D236" s="150"/>
      <c r="E236" s="151"/>
      <c r="F236" s="151"/>
      <c r="G236" s="151"/>
      <c r="H236" s="151"/>
      <c r="I236" s="151"/>
      <c r="J236" s="151"/>
      <c r="K236" s="151"/>
      <c r="L236" s="151"/>
      <c r="M236" s="152"/>
      <c r="N236" s="152"/>
      <c r="O236" s="153"/>
      <c r="P236" s="154"/>
      <c r="Q236" s="154"/>
      <c r="R236" s="155"/>
      <c r="S236" s="155"/>
      <c r="T236" s="152"/>
      <c r="U236" s="152"/>
      <c r="V236" s="156"/>
      <c r="W236" s="157"/>
      <c r="X236" s="158"/>
      <c r="Y236" s="153"/>
      <c r="Z236" s="159"/>
      <c r="AA236" s="160"/>
      <c r="AB236" s="161"/>
    </row>
  </sheetData>
  <sheetProtection formatCells="0" formatColumns="0" formatRows="0" insertColumns="0" insertRows="0" insertHyperlinks="0" deleteColumns="0" deleteRows="0" sort="0" autoFilter="0" pivotTables="0"/>
  <dataConsolidate/>
  <mergeCells count="26">
    <mergeCell ref="AC3:AF3"/>
    <mergeCell ref="AC1:CA1"/>
    <mergeCell ref="AG3:AJ3"/>
    <mergeCell ref="A3:A4"/>
    <mergeCell ref="B3:B4"/>
    <mergeCell ref="C3:C4"/>
    <mergeCell ref="D3:D4"/>
    <mergeCell ref="E3:K4"/>
    <mergeCell ref="D2:F2"/>
    <mergeCell ref="L3:L4"/>
    <mergeCell ref="M3:M4"/>
    <mergeCell ref="N3:N4"/>
    <mergeCell ref="Z3:Z4"/>
    <mergeCell ref="O3:O4"/>
    <mergeCell ref="P3:P4"/>
    <mergeCell ref="Q3:Q4"/>
    <mergeCell ref="R3:R4"/>
    <mergeCell ref="S3:S4"/>
    <mergeCell ref="Y3:Y4"/>
    <mergeCell ref="AB3:AB4"/>
    <mergeCell ref="T3:T4"/>
    <mergeCell ref="U3:U4"/>
    <mergeCell ref="V3:V4"/>
    <mergeCell ref="W3:W4"/>
    <mergeCell ref="X3:X4"/>
    <mergeCell ref="AA3:AA4"/>
  </mergeCells>
  <phoneticPr fontId="5" type="noConversion"/>
  <conditionalFormatting sqref="D5:AB119">
    <cfRule type="expression" dxfId="1" priority="2">
      <formula>($B5="G")</formula>
    </cfRule>
    <cfRule type="expression" dxfId="0" priority="1">
      <formula>($AB5=1)</formula>
    </cfRule>
  </conditionalFormatting>
  <dataValidations count="1">
    <dataValidation type="list" allowBlank="1" showInputMessage="1" showErrorMessage="1" sqref="Y120:Y179">
      <formula1>$L$204</formula1>
    </dataValidation>
  </dataValidations>
  <hyperlinks>
    <hyperlink ref="AC1:CA1" r:id="rId1" display="http://xlworks.net/"/>
  </hyperlinks>
  <pageMargins left="0.19685039370078741" right="0.23622047244094491" top="0.43307086614173229" bottom="0.23622047244094491" header="0.23622047244094491" footer="0.19685039370078741"/>
  <pageSetup paperSize="9" scale="30" fitToHeight="0" orientation="landscape" r:id="rId2"/>
  <headerFooter alignWithMargins="0">
    <oddFooter>&amp;L&amp;"-,보통"&amp;9XLGantt ©http://xlworks.net&amp;C&amp;"-,보통"&amp;9&amp;P/&amp;N</oddFooter>
  </headerFooter>
  <drawing r:id="rId3"/>
  <extLst>
    <ext xmlns:x14="http://schemas.microsoft.com/office/spreadsheetml/2009/9/main" uri="{CCE6A557-97BC-4b89-ADB6-D9C93CAAB3DF}">
      <x14:dataValidations xmlns:xm="http://schemas.microsoft.com/office/excel/2006/main" count="1">
        <x14:dataValidation type="list" allowBlank="1" showInputMessage="1" showErrorMessage="1">
          <x14:formula1>
            <xm:f>'Team Members'!$C$3:$C$10</xm:f>
          </x14:formula1>
          <xm:sqref>Y5:Y119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W30"/>
  <sheetViews>
    <sheetView showGridLines="0" zoomScaleNormal="100" workbookViewId="0">
      <pane ySplit="1" topLeftCell="A2" activePane="bottomLeft" state="frozenSplit"/>
      <selection activeCell="E5" sqref="E5"/>
      <selection pane="bottomLeft" activeCell="B30" sqref="B30"/>
    </sheetView>
  </sheetViews>
  <sheetFormatPr defaultColWidth="10" defaultRowHeight="15"/>
  <cols>
    <col min="1" max="1" width="35.375" style="73" customWidth="1"/>
    <col min="2" max="2" width="13.25" style="71" customWidth="1"/>
    <col min="3" max="3" width="9.875" style="75" customWidth="1"/>
    <col min="4" max="4" width="31.375" style="75" customWidth="1"/>
    <col min="5" max="6" width="14.125" style="75" customWidth="1"/>
    <col min="7" max="7" width="28.375" style="75" customWidth="1"/>
    <col min="8" max="9" width="10" style="75"/>
    <col min="10" max="10" width="8.875" style="75" bestFit="1" customWidth="1"/>
    <col min="11" max="19" width="10" style="75"/>
    <col min="20" max="22" width="10" style="75" customWidth="1"/>
    <col min="23" max="23" width="10" style="75" hidden="1" customWidth="1"/>
    <col min="24" max="16384" width="10" style="75"/>
  </cols>
  <sheetData>
    <row r="1" spans="1:17" s="20" customFormat="1" ht="36.950000000000003" customHeight="1">
      <c r="A1" s="17" t="s">
        <v>1306</v>
      </c>
      <c r="B1" s="18"/>
      <c r="C1" s="18"/>
      <c r="D1" s="18"/>
      <c r="E1" s="18"/>
      <c r="F1" s="18"/>
      <c r="G1" s="18"/>
      <c r="H1" s="18"/>
      <c r="I1" s="18"/>
      <c r="J1" s="18"/>
      <c r="K1" s="18"/>
      <c r="L1" s="252"/>
      <c r="M1" s="253"/>
      <c r="N1" s="253"/>
      <c r="O1" s="19"/>
      <c r="P1" s="19"/>
      <c r="Q1" s="19"/>
    </row>
    <row r="2" spans="1:17" s="23" customFormat="1" ht="12.75">
      <c r="A2" s="21" t="s">
        <v>987</v>
      </c>
      <c r="B2" s="22"/>
    </row>
    <row r="3" spans="1:17" s="23" customFormat="1" ht="12.75">
      <c r="A3" s="21" t="s">
        <v>988</v>
      </c>
      <c r="B3" s="22"/>
    </row>
    <row r="4" spans="1:17" s="23" customFormat="1" ht="12.75">
      <c r="A4" s="254"/>
      <c r="B4" s="254"/>
      <c r="C4" s="24"/>
      <c r="D4" s="25"/>
      <c r="E4" s="25"/>
      <c r="F4" s="25"/>
    </row>
    <row r="5" spans="1:17" s="31" customFormat="1" ht="12.75">
      <c r="A5" s="26"/>
      <c r="B5" s="27"/>
      <c r="C5" s="28"/>
      <c r="D5" s="29"/>
      <c r="E5" s="30"/>
      <c r="F5" s="30"/>
      <c r="G5" s="30"/>
    </row>
    <row r="6" spans="1:17" s="31" customFormat="1" ht="12.75">
      <c r="A6" s="32" t="s">
        <v>989</v>
      </c>
      <c r="B6" s="33">
        <v>173</v>
      </c>
      <c r="C6" s="31" t="s">
        <v>1</v>
      </c>
      <c r="D6" s="251" t="s">
        <v>990</v>
      </c>
      <c r="E6" s="251"/>
      <c r="F6" s="251"/>
      <c r="G6" s="251"/>
    </row>
    <row r="7" spans="1:17" s="31" customFormat="1" ht="12.75">
      <c r="A7" s="34"/>
      <c r="B7" s="35"/>
      <c r="C7" s="36"/>
      <c r="D7" s="37"/>
      <c r="E7" s="37"/>
      <c r="F7" s="37"/>
      <c r="G7" s="37"/>
    </row>
    <row r="8" spans="1:17" s="31" customFormat="1" ht="12.75" customHeight="1">
      <c r="A8" s="38"/>
      <c r="B8" s="39"/>
      <c r="D8" s="40"/>
      <c r="E8" s="40"/>
      <c r="F8" s="40"/>
      <c r="G8" s="40"/>
      <c r="J8" s="41"/>
    </row>
    <row r="9" spans="1:17" s="31" customFormat="1" ht="12.75">
      <c r="A9" s="32" t="s">
        <v>991</v>
      </c>
      <c r="B9" s="33">
        <v>158</v>
      </c>
      <c r="C9" s="31" t="s">
        <v>1</v>
      </c>
      <c r="D9" s="250" t="s">
        <v>992</v>
      </c>
      <c r="E9" s="250"/>
      <c r="F9" s="250"/>
      <c r="G9" s="250"/>
    </row>
    <row r="10" spans="1:17" s="31" customFormat="1" ht="12.75">
      <c r="A10" s="42"/>
      <c r="B10" s="35"/>
      <c r="C10" s="36"/>
      <c r="D10" s="43"/>
      <c r="E10" s="43"/>
      <c r="F10" s="43"/>
      <c r="G10" s="43"/>
    </row>
    <row r="11" spans="1:17" s="31" customFormat="1" ht="13.5" customHeight="1">
      <c r="A11" s="44"/>
      <c r="B11" s="39"/>
      <c r="D11" s="40"/>
      <c r="E11" s="40"/>
      <c r="F11" s="40"/>
      <c r="G11" s="40"/>
    </row>
    <row r="12" spans="1:17" s="31" customFormat="1" ht="12.75" customHeight="1">
      <c r="A12" s="45" t="s">
        <v>986</v>
      </c>
      <c r="B12" s="33">
        <v>52</v>
      </c>
      <c r="C12" s="31" t="s">
        <v>1</v>
      </c>
      <c r="D12" s="250" t="s">
        <v>1262</v>
      </c>
      <c r="E12" s="250"/>
      <c r="F12" s="250"/>
      <c r="G12" s="250"/>
    </row>
    <row r="13" spans="1:17" s="48" customFormat="1" ht="12.75">
      <c r="A13" s="46"/>
      <c r="B13" s="35"/>
      <c r="C13" s="47"/>
      <c r="D13" s="43"/>
      <c r="E13" s="43"/>
      <c r="F13" s="43"/>
      <c r="G13" s="43"/>
      <c r="K13" s="49"/>
    </row>
    <row r="14" spans="1:17" s="48" customFormat="1" ht="14.25" customHeight="1">
      <c r="A14" s="44"/>
      <c r="B14" s="50"/>
      <c r="C14" s="51"/>
      <c r="D14" s="40"/>
      <c r="E14" s="40"/>
      <c r="F14" s="40"/>
      <c r="G14" s="40"/>
    </row>
    <row r="15" spans="1:17" s="31" customFormat="1" ht="12.75" customHeight="1">
      <c r="A15" s="45" t="s">
        <v>986</v>
      </c>
      <c r="B15" s="33"/>
      <c r="C15" s="31" t="s">
        <v>1</v>
      </c>
      <c r="D15" s="250" t="s">
        <v>993</v>
      </c>
      <c r="E15" s="250"/>
      <c r="F15" s="250"/>
      <c r="G15" s="250"/>
    </row>
    <row r="16" spans="1:17" s="31" customFormat="1" ht="12.75">
      <c r="A16" s="46"/>
      <c r="B16" s="52"/>
      <c r="C16" s="53"/>
      <c r="D16" s="43"/>
      <c r="E16" s="43"/>
      <c r="F16" s="43"/>
      <c r="G16" s="43"/>
    </row>
    <row r="17" spans="1:7" s="48" customFormat="1" ht="12.75" customHeight="1">
      <c r="A17" s="54"/>
      <c r="B17" s="50"/>
      <c r="C17" s="51"/>
      <c r="D17" s="40"/>
      <c r="E17" s="40"/>
      <c r="F17" s="40"/>
      <c r="G17" s="40"/>
    </row>
    <row r="18" spans="1:7" s="31" customFormat="1" ht="12.75">
      <c r="A18" s="32" t="s">
        <v>994</v>
      </c>
      <c r="B18" s="55">
        <v>0.91329479768786126</v>
      </c>
      <c r="D18" s="250" t="s">
        <v>995</v>
      </c>
      <c r="E18" s="250"/>
      <c r="F18" s="250"/>
      <c r="G18" s="250"/>
    </row>
    <row r="19" spans="1:7" s="31" customFormat="1" ht="12.75">
      <c r="A19" s="56"/>
      <c r="B19" s="52"/>
      <c r="C19" s="53"/>
      <c r="D19" s="43"/>
      <c r="E19" s="43"/>
      <c r="F19" s="43"/>
      <c r="G19" s="43"/>
    </row>
    <row r="20" spans="1:7" s="31" customFormat="1" ht="12.75" customHeight="1">
      <c r="A20" s="57"/>
      <c r="B20" s="27"/>
      <c r="C20" s="28"/>
      <c r="D20" s="40"/>
      <c r="E20" s="40"/>
      <c r="F20" s="40"/>
      <c r="G20" s="40"/>
    </row>
    <row r="21" spans="1:7" s="31" customFormat="1" ht="12.75">
      <c r="A21" s="32" t="s">
        <v>996</v>
      </c>
      <c r="B21" s="55">
        <v>0.30057803468208094</v>
      </c>
      <c r="D21" s="250" t="s">
        <v>997</v>
      </c>
      <c r="E21" s="250"/>
      <c r="F21" s="250"/>
      <c r="G21" s="250"/>
    </row>
    <row r="22" spans="1:7" s="31" customFormat="1" ht="12.75">
      <c r="A22" s="58"/>
      <c r="B22" s="59"/>
      <c r="C22" s="60"/>
      <c r="D22" s="43"/>
      <c r="E22" s="43"/>
      <c r="F22" s="43"/>
      <c r="G22" s="43"/>
    </row>
    <row r="23" spans="1:7" s="31" customFormat="1" ht="13.5" customHeight="1">
      <c r="A23" s="61"/>
      <c r="B23" s="62"/>
      <c r="C23" s="63"/>
      <c r="D23" s="64"/>
      <c r="E23" s="64"/>
      <c r="F23" s="64"/>
      <c r="G23" s="64"/>
    </row>
    <row r="24" spans="1:7" s="31" customFormat="1" ht="12.75">
      <c r="A24" s="32" t="s">
        <v>998</v>
      </c>
      <c r="B24" s="65">
        <f>ACTUAL_RATE-PLANNED_RATE</f>
        <v>-0.61271676300578037</v>
      </c>
      <c r="D24" s="251" t="s">
        <v>999</v>
      </c>
      <c r="E24" s="251"/>
      <c r="F24" s="251"/>
      <c r="G24" s="251"/>
    </row>
    <row r="25" spans="1:7" s="31" customFormat="1" ht="12.75">
      <c r="A25" s="66"/>
      <c r="B25" s="67"/>
      <c r="C25" s="68"/>
      <c r="D25" s="69"/>
      <c r="E25" s="69"/>
      <c r="F25" s="69"/>
      <c r="G25" s="69"/>
    </row>
    <row r="26" spans="1:7" s="72" customFormat="1">
      <c r="A26" s="70"/>
      <c r="B26" s="71"/>
    </row>
    <row r="27" spans="1:7">
      <c r="B27" s="74"/>
      <c r="G27" s="73"/>
    </row>
    <row r="28" spans="1:7">
      <c r="B28" s="76"/>
    </row>
    <row r="29" spans="1:7">
      <c r="B29" s="76"/>
    </row>
    <row r="30" spans="1:7">
      <c r="B30" s="77"/>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2" priority="1">
      <formula>$J1="Yes"</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F15"/>
  <sheetViews>
    <sheetView showGridLines="0" zoomScale="145" zoomScaleNormal="145" workbookViewId="0">
      <pane ySplit="1" topLeftCell="A2" activePane="bottomLeft" state="frozen"/>
      <selection pane="bottomLeft"/>
    </sheetView>
  </sheetViews>
  <sheetFormatPr defaultColWidth="9.125" defaultRowHeight="15"/>
  <cols>
    <col min="1" max="1" width="1.625" style="191" customWidth="1"/>
    <col min="2" max="3" width="9.75" style="191" bestFit="1" customWidth="1"/>
    <col min="4" max="4" width="9.125" style="191"/>
    <col min="5" max="5" width="10.625" style="191" customWidth="1"/>
    <col min="6" max="16384" width="9.125" style="191"/>
  </cols>
  <sheetData>
    <row r="1" spans="2:6" ht="36.950000000000003" customHeight="1">
      <c r="B1" s="78" t="s">
        <v>1144</v>
      </c>
    </row>
    <row r="2" spans="2:6">
      <c r="B2" s="191" t="s">
        <v>1145</v>
      </c>
    </row>
    <row r="3" spans="2:6">
      <c r="B3" s="191" t="s">
        <v>1146</v>
      </c>
    </row>
    <row r="6" spans="2:6" ht="30">
      <c r="B6" s="79" t="s">
        <v>1001</v>
      </c>
      <c r="C6" s="200" t="s">
        <v>1002</v>
      </c>
      <c r="D6" s="200" t="s">
        <v>2</v>
      </c>
      <c r="E6" s="200" t="s">
        <v>1147</v>
      </c>
      <c r="F6" s="201" t="s">
        <v>1148</v>
      </c>
    </row>
    <row r="7" spans="2:6">
      <c r="B7" s="187">
        <v>43626</v>
      </c>
      <c r="C7" s="187">
        <v>43631</v>
      </c>
      <c r="D7" s="188">
        <v>16</v>
      </c>
      <c r="E7" s="188">
        <f>D7</f>
        <v>16</v>
      </c>
      <c r="F7" s="224">
        <f t="shared" ref="F7:F14" si="0">E7/$D$15</f>
        <v>9.2485549132947972E-2</v>
      </c>
    </row>
    <row r="8" spans="2:6">
      <c r="B8" s="189">
        <v>43632</v>
      </c>
      <c r="C8" s="189">
        <v>43638</v>
      </c>
      <c r="D8" s="190">
        <v>35</v>
      </c>
      <c r="E8" s="190">
        <f>E7+D8</f>
        <v>51</v>
      </c>
      <c r="F8" s="225">
        <f t="shared" si="0"/>
        <v>0.2947976878612717</v>
      </c>
    </row>
    <row r="9" spans="2:6">
      <c r="B9" s="189">
        <v>43639</v>
      </c>
      <c r="C9" s="189">
        <v>43645</v>
      </c>
      <c r="D9" s="190">
        <v>30</v>
      </c>
      <c r="E9" s="190">
        <f t="shared" ref="E9:E14" si="1">E8+D9</f>
        <v>81</v>
      </c>
      <c r="F9" s="225">
        <f t="shared" si="0"/>
        <v>0.46820809248554912</v>
      </c>
    </row>
    <row r="10" spans="2:6">
      <c r="B10" s="189">
        <v>43646</v>
      </c>
      <c r="C10" s="189">
        <v>43652</v>
      </c>
      <c r="D10" s="190">
        <v>37</v>
      </c>
      <c r="E10" s="190">
        <f t="shared" si="1"/>
        <v>118</v>
      </c>
      <c r="F10" s="225">
        <f t="shared" si="0"/>
        <v>0.68208092485549132</v>
      </c>
    </row>
    <row r="11" spans="2:6">
      <c r="B11" s="189">
        <v>43653</v>
      </c>
      <c r="C11" s="189">
        <v>43659</v>
      </c>
      <c r="D11" s="190">
        <v>19</v>
      </c>
      <c r="E11" s="190">
        <f t="shared" si="1"/>
        <v>137</v>
      </c>
      <c r="F11" s="225">
        <f t="shared" si="0"/>
        <v>0.79190751445086704</v>
      </c>
    </row>
    <row r="12" spans="2:6">
      <c r="B12" s="189">
        <v>43660</v>
      </c>
      <c r="C12" s="189">
        <v>43666</v>
      </c>
      <c r="D12" s="190">
        <v>21</v>
      </c>
      <c r="E12" s="190">
        <f t="shared" si="1"/>
        <v>158</v>
      </c>
      <c r="F12" s="225">
        <f t="shared" si="0"/>
        <v>0.91329479768786126</v>
      </c>
    </row>
    <row r="13" spans="2:6">
      <c r="B13" s="189">
        <v>43667</v>
      </c>
      <c r="C13" s="189">
        <v>43673</v>
      </c>
      <c r="D13" s="190">
        <v>15</v>
      </c>
      <c r="E13" s="190">
        <f t="shared" si="1"/>
        <v>173</v>
      </c>
      <c r="F13" s="225">
        <f t="shared" si="0"/>
        <v>1</v>
      </c>
    </row>
    <row r="14" spans="2:6">
      <c r="B14" s="189">
        <v>43674</v>
      </c>
      <c r="C14" s="189">
        <v>43680</v>
      </c>
      <c r="D14" s="190">
        <v>0</v>
      </c>
      <c r="E14" s="190">
        <f t="shared" si="1"/>
        <v>173</v>
      </c>
      <c r="F14" s="225">
        <f t="shared" si="0"/>
        <v>1</v>
      </c>
    </row>
    <row r="15" spans="2:6">
      <c r="C15" s="191" t="s">
        <v>4</v>
      </c>
      <c r="D15" s="191">
        <f>SUM(D7:D14)</f>
        <v>173</v>
      </c>
    </row>
  </sheetData>
  <sortState ref="A7:M39">
    <sortCondition ref="A7:A49"/>
    <sortCondition ref="B7:B49"/>
  </sortState>
  <dataConsolidate/>
  <phoneticPr fontId="2" type="noConversion"/>
  <pageMargins left="0.7" right="0.7" top="0.75" bottom="0.75" header="0.3" footer="0.3"/>
  <pageSetup paperSize="9"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291"/>
  <sheetViews>
    <sheetView showGridLines="0" zoomScale="85" zoomScaleNormal="85" workbookViewId="0">
      <pane ySplit="1" topLeftCell="A2" activePane="bottomLeft" state="frozenSplit"/>
      <selection pane="bottomLeft" activeCell="D15" sqref="D15"/>
    </sheetView>
  </sheetViews>
  <sheetFormatPr defaultColWidth="10" defaultRowHeight="15"/>
  <cols>
    <col min="1" max="1" width="31.625" style="86" customWidth="1"/>
    <col min="2" max="2" width="14.5" style="86" customWidth="1"/>
    <col min="3" max="3" width="7.625" style="86" customWidth="1"/>
    <col min="4" max="4" width="21.5" style="86" customWidth="1"/>
    <col min="5" max="5" width="14.125" style="86" customWidth="1"/>
    <col min="6" max="6" width="10" style="86"/>
    <col min="7" max="7" width="24.25" style="86" customWidth="1"/>
    <col min="8" max="8" width="18.375" style="86" bestFit="1" customWidth="1"/>
    <col min="9" max="9" width="11.125" style="86" bestFit="1" customWidth="1"/>
    <col min="10" max="10" width="27.375" style="86" bestFit="1" customWidth="1"/>
    <col min="11" max="19" width="10" style="86"/>
    <col min="20" max="23" width="10" style="86" customWidth="1"/>
    <col min="24" max="16384" width="10" style="86"/>
  </cols>
  <sheetData>
    <row r="1" spans="1:10" s="80" customFormat="1" ht="36.950000000000003" customHeight="1">
      <c r="A1" s="17" t="s">
        <v>1004</v>
      </c>
      <c r="B1" s="17"/>
      <c r="C1" s="17"/>
      <c r="D1" s="17"/>
      <c r="E1" s="17"/>
      <c r="F1" s="17"/>
      <c r="G1" s="17"/>
      <c r="H1" s="17"/>
    </row>
    <row r="2" spans="1:10" s="81" customFormat="1" ht="78.75" customHeight="1">
      <c r="A2" s="255" t="s">
        <v>1005</v>
      </c>
      <c r="B2" s="255"/>
      <c r="C2" s="255"/>
      <c r="D2" s="255"/>
      <c r="E2" s="255"/>
      <c r="F2" s="255"/>
      <c r="G2" s="255"/>
      <c r="H2" s="255"/>
    </row>
    <row r="3" spans="1:10" s="81" customFormat="1" ht="24.75" customHeight="1">
      <c r="A3" s="256" t="s">
        <v>1006</v>
      </c>
      <c r="B3" s="256"/>
      <c r="D3" s="256" t="s">
        <v>1007</v>
      </c>
      <c r="E3" s="256"/>
      <c r="G3" s="256" t="s">
        <v>1008</v>
      </c>
      <c r="H3" s="256"/>
    </row>
    <row r="4" spans="1:10" s="83" customFormat="1" ht="19.5" customHeight="1">
      <c r="A4" s="82" t="s">
        <v>1009</v>
      </c>
      <c r="B4" s="82" t="s">
        <v>1011</v>
      </c>
      <c r="D4" s="82" t="s">
        <v>1010</v>
      </c>
      <c r="E4" s="82" t="s">
        <v>1012</v>
      </c>
      <c r="G4" s="82" t="s">
        <v>1010</v>
      </c>
      <c r="H4" s="82" t="s">
        <v>1011</v>
      </c>
    </row>
    <row r="5" spans="1:10" ht="16.5">
      <c r="A5" s="118" t="s">
        <v>964</v>
      </c>
      <c r="B5" s="119">
        <v>43466</v>
      </c>
      <c r="C5" s="86" t="str">
        <f t="shared" ref="C5:C54" si="0">IF(B5&gt;0,TEXT(B5,"(aaa)"),"")</f>
        <v>(화)</v>
      </c>
      <c r="D5" s="84"/>
      <c r="E5" s="85"/>
      <c r="F5" s="86" t="str">
        <f t="shared" ref="F5:F54" si="1">IF(E5&gt;0,TEXT(E5,"(aaa)"),"")</f>
        <v/>
      </c>
      <c r="G5" s="84"/>
      <c r="H5" s="85"/>
      <c r="I5" s="86" t="str">
        <f t="shared" ref="I5:I54" si="2">IF(H5&gt;0,TEXT(H5,"(aaa)"),"")</f>
        <v/>
      </c>
      <c r="J5" s="87"/>
    </row>
    <row r="6" spans="1:10" ht="16.5">
      <c r="A6" s="118" t="s">
        <v>965</v>
      </c>
      <c r="B6" s="119">
        <v>43500</v>
      </c>
      <c r="C6" s="86" t="str">
        <f t="shared" si="0"/>
        <v>(월)</v>
      </c>
      <c r="D6" s="84"/>
      <c r="E6" s="85"/>
      <c r="F6" s="86" t="str">
        <f t="shared" si="1"/>
        <v/>
      </c>
      <c r="G6" s="84"/>
      <c r="H6" s="85"/>
      <c r="I6" s="86" t="str">
        <f t="shared" si="2"/>
        <v/>
      </c>
      <c r="J6" s="87"/>
    </row>
    <row r="7" spans="1:10" ht="16.5">
      <c r="A7" s="118" t="s">
        <v>966</v>
      </c>
      <c r="B7" s="119">
        <v>43501</v>
      </c>
      <c r="C7" s="86" t="str">
        <f t="shared" si="0"/>
        <v>(화)</v>
      </c>
      <c r="D7" s="84"/>
      <c r="E7" s="85"/>
      <c r="F7" s="86" t="str">
        <f t="shared" si="1"/>
        <v/>
      </c>
      <c r="G7" s="84"/>
      <c r="H7" s="85"/>
      <c r="I7" s="86" t="str">
        <f t="shared" si="2"/>
        <v/>
      </c>
    </row>
    <row r="8" spans="1:10" ht="16.5">
      <c r="A8" s="118" t="s">
        <v>965</v>
      </c>
      <c r="B8" s="119">
        <v>43502</v>
      </c>
      <c r="C8" s="86" t="str">
        <f t="shared" si="0"/>
        <v>(수)</v>
      </c>
      <c r="D8" s="84"/>
      <c r="E8" s="85"/>
      <c r="F8" s="86" t="str">
        <f t="shared" si="1"/>
        <v/>
      </c>
      <c r="G8" s="84"/>
      <c r="H8" s="85"/>
      <c r="I8" s="86" t="str">
        <f t="shared" si="2"/>
        <v/>
      </c>
    </row>
    <row r="9" spans="1:10" ht="16.5">
      <c r="A9" s="118" t="s">
        <v>967</v>
      </c>
      <c r="B9" s="119">
        <v>43525</v>
      </c>
      <c r="C9" s="86" t="str">
        <f t="shared" si="0"/>
        <v>(금)</v>
      </c>
      <c r="D9" s="84"/>
      <c r="E9" s="85"/>
      <c r="F9" s="86" t="str">
        <f t="shared" si="1"/>
        <v/>
      </c>
      <c r="G9" s="84"/>
      <c r="H9" s="85"/>
      <c r="I9" s="86" t="str">
        <f t="shared" si="2"/>
        <v/>
      </c>
    </row>
    <row r="10" spans="1:10" ht="16.5">
      <c r="A10" s="118" t="s">
        <v>968</v>
      </c>
      <c r="B10" s="119">
        <v>43591</v>
      </c>
      <c r="C10" s="86" t="str">
        <f t="shared" si="0"/>
        <v>(월)</v>
      </c>
      <c r="D10" s="84"/>
      <c r="E10" s="85"/>
      <c r="F10" s="86" t="str">
        <f t="shared" si="1"/>
        <v/>
      </c>
      <c r="G10" s="84"/>
      <c r="H10" s="85"/>
      <c r="I10" s="86" t="str">
        <f t="shared" si="2"/>
        <v/>
      </c>
    </row>
    <row r="11" spans="1:10" ht="16.5">
      <c r="A11" s="118" t="s">
        <v>969</v>
      </c>
      <c r="B11" s="119">
        <v>43622</v>
      </c>
      <c r="C11" s="86" t="str">
        <f t="shared" si="0"/>
        <v>(목)</v>
      </c>
      <c r="D11" s="84"/>
      <c r="E11" s="85"/>
      <c r="F11" s="86" t="str">
        <f t="shared" si="1"/>
        <v/>
      </c>
      <c r="G11" s="84"/>
      <c r="H11" s="85"/>
      <c r="I11" s="86" t="str">
        <f t="shared" si="2"/>
        <v/>
      </c>
    </row>
    <row r="12" spans="1:10" ht="16.5">
      <c r="A12" s="118" t="s">
        <v>970</v>
      </c>
      <c r="B12" s="119">
        <v>43692</v>
      </c>
      <c r="C12" s="86" t="str">
        <f t="shared" si="0"/>
        <v>(목)</v>
      </c>
      <c r="D12" s="84"/>
      <c r="E12" s="85"/>
      <c r="F12" s="86" t="str">
        <f t="shared" si="1"/>
        <v/>
      </c>
      <c r="G12" s="84"/>
      <c r="H12" s="85"/>
      <c r="I12" s="86" t="str">
        <f t="shared" si="2"/>
        <v/>
      </c>
    </row>
    <row r="13" spans="1:10" ht="16.5">
      <c r="A13" s="118" t="s">
        <v>971</v>
      </c>
      <c r="B13" s="119">
        <v>43720</v>
      </c>
      <c r="C13" s="86" t="str">
        <f t="shared" si="0"/>
        <v>(목)</v>
      </c>
      <c r="D13" s="84"/>
      <c r="E13" s="85"/>
      <c r="F13" s="86" t="str">
        <f t="shared" si="1"/>
        <v/>
      </c>
      <c r="G13" s="84"/>
      <c r="H13" s="85"/>
      <c r="I13" s="86" t="str">
        <f t="shared" si="2"/>
        <v/>
      </c>
    </row>
    <row r="14" spans="1:10" ht="16.5">
      <c r="A14" s="118" t="s">
        <v>972</v>
      </c>
      <c r="B14" s="119">
        <v>43721</v>
      </c>
      <c r="C14" s="86" t="str">
        <f t="shared" si="0"/>
        <v>(금)</v>
      </c>
      <c r="D14" s="84"/>
      <c r="E14" s="85"/>
      <c r="F14" s="86" t="str">
        <f t="shared" si="1"/>
        <v/>
      </c>
      <c r="G14" s="84"/>
      <c r="H14" s="85"/>
      <c r="I14" s="86" t="str">
        <f t="shared" si="2"/>
        <v/>
      </c>
    </row>
    <row r="15" spans="1:10" ht="16.5">
      <c r="A15" s="118" t="s">
        <v>973</v>
      </c>
      <c r="B15" s="119">
        <v>43741</v>
      </c>
      <c r="C15" s="86" t="str">
        <f t="shared" si="0"/>
        <v>(목)</v>
      </c>
      <c r="D15" s="84"/>
      <c r="E15" s="85"/>
      <c r="F15" s="86" t="str">
        <f t="shared" si="1"/>
        <v/>
      </c>
      <c r="G15" s="84"/>
      <c r="H15" s="85"/>
      <c r="I15" s="86" t="str">
        <f t="shared" si="2"/>
        <v/>
      </c>
    </row>
    <row r="16" spans="1:10" ht="16.5">
      <c r="A16" s="118" t="s">
        <v>974</v>
      </c>
      <c r="B16" s="119">
        <v>43747</v>
      </c>
      <c r="C16" s="86" t="str">
        <f t="shared" si="0"/>
        <v>(수)</v>
      </c>
      <c r="D16" s="84"/>
      <c r="E16" s="85"/>
      <c r="F16" s="86" t="str">
        <f t="shared" si="1"/>
        <v/>
      </c>
      <c r="G16" s="84"/>
      <c r="H16" s="85"/>
      <c r="I16" s="86" t="str">
        <f t="shared" si="2"/>
        <v/>
      </c>
    </row>
    <row r="17" spans="1:9" ht="16.5">
      <c r="A17" s="118" t="s">
        <v>975</v>
      </c>
      <c r="B17" s="119">
        <v>43824</v>
      </c>
      <c r="C17" s="86" t="str">
        <f t="shared" si="0"/>
        <v>(수)</v>
      </c>
      <c r="D17" s="84"/>
      <c r="E17" s="85"/>
      <c r="F17" s="86" t="str">
        <f t="shared" si="1"/>
        <v/>
      </c>
      <c r="G17" s="84"/>
      <c r="H17" s="85"/>
      <c r="I17" s="86" t="str">
        <f t="shared" si="2"/>
        <v/>
      </c>
    </row>
    <row r="18" spans="1:9">
      <c r="A18" s="118"/>
      <c r="B18" s="119"/>
      <c r="C18" s="86" t="str">
        <f t="shared" si="0"/>
        <v/>
      </c>
      <c r="D18" s="84"/>
      <c r="E18" s="85"/>
      <c r="F18" s="86" t="str">
        <f t="shared" si="1"/>
        <v/>
      </c>
      <c r="G18" s="84"/>
      <c r="H18" s="85"/>
      <c r="I18" s="86" t="str">
        <f t="shared" si="2"/>
        <v/>
      </c>
    </row>
    <row r="19" spans="1:9">
      <c r="A19" s="118"/>
      <c r="B19" s="119"/>
      <c r="C19" s="86" t="str">
        <f t="shared" si="0"/>
        <v/>
      </c>
      <c r="D19" s="84"/>
      <c r="E19" s="85"/>
      <c r="F19" s="86" t="str">
        <f t="shared" si="1"/>
        <v/>
      </c>
      <c r="G19" s="84"/>
      <c r="H19" s="85"/>
      <c r="I19" s="86" t="str">
        <f t="shared" si="2"/>
        <v/>
      </c>
    </row>
    <row r="20" spans="1:9">
      <c r="A20" s="118"/>
      <c r="B20" s="119"/>
      <c r="C20" s="86" t="str">
        <f t="shared" si="0"/>
        <v/>
      </c>
      <c r="D20" s="84"/>
      <c r="E20" s="85"/>
      <c r="F20" s="86" t="str">
        <f t="shared" si="1"/>
        <v/>
      </c>
      <c r="G20" s="84"/>
      <c r="H20" s="85"/>
      <c r="I20" s="86" t="str">
        <f t="shared" si="2"/>
        <v/>
      </c>
    </row>
    <row r="21" spans="1:9">
      <c r="A21" s="118"/>
      <c r="B21" s="119"/>
      <c r="C21" s="86" t="str">
        <f t="shared" si="0"/>
        <v/>
      </c>
      <c r="D21" s="84"/>
      <c r="E21" s="85"/>
      <c r="F21" s="86" t="str">
        <f t="shared" si="1"/>
        <v/>
      </c>
      <c r="G21" s="84"/>
      <c r="H21" s="85"/>
      <c r="I21" s="86" t="str">
        <f t="shared" si="2"/>
        <v/>
      </c>
    </row>
    <row r="22" spans="1:9">
      <c r="A22" s="118"/>
      <c r="B22" s="119"/>
      <c r="C22" s="86" t="str">
        <f t="shared" si="0"/>
        <v/>
      </c>
      <c r="D22" s="84"/>
      <c r="E22" s="85"/>
      <c r="F22" s="86" t="str">
        <f t="shared" si="1"/>
        <v/>
      </c>
      <c r="G22" s="84"/>
      <c r="H22" s="85"/>
      <c r="I22" s="86" t="str">
        <f t="shared" si="2"/>
        <v/>
      </c>
    </row>
    <row r="23" spans="1:9">
      <c r="A23" s="118"/>
      <c r="B23" s="119"/>
      <c r="C23" s="86" t="str">
        <f t="shared" si="0"/>
        <v/>
      </c>
      <c r="D23" s="84"/>
      <c r="E23" s="85"/>
      <c r="F23" s="86" t="str">
        <f t="shared" si="1"/>
        <v/>
      </c>
      <c r="G23" s="84"/>
      <c r="H23" s="85"/>
      <c r="I23" s="86" t="str">
        <f t="shared" si="2"/>
        <v/>
      </c>
    </row>
    <row r="24" spans="1:9">
      <c r="A24" s="118"/>
      <c r="B24" s="119"/>
      <c r="C24" s="86" t="str">
        <f t="shared" si="0"/>
        <v/>
      </c>
      <c r="D24" s="84"/>
      <c r="E24" s="85"/>
      <c r="F24" s="86" t="str">
        <f t="shared" si="1"/>
        <v/>
      </c>
      <c r="G24" s="84"/>
      <c r="H24" s="85"/>
      <c r="I24" s="86" t="str">
        <f t="shared" si="2"/>
        <v/>
      </c>
    </row>
    <row r="25" spans="1:9">
      <c r="A25" s="118"/>
      <c r="B25" s="119"/>
      <c r="C25" s="86" t="str">
        <f t="shared" si="0"/>
        <v/>
      </c>
      <c r="D25" s="84"/>
      <c r="E25" s="85"/>
      <c r="F25" s="86" t="str">
        <f t="shared" si="1"/>
        <v/>
      </c>
      <c r="G25" s="84"/>
      <c r="H25" s="85"/>
      <c r="I25" s="86" t="str">
        <f t="shared" si="2"/>
        <v/>
      </c>
    </row>
    <row r="26" spans="1:9">
      <c r="A26" s="118"/>
      <c r="B26" s="119"/>
      <c r="C26" s="86" t="str">
        <f t="shared" si="0"/>
        <v/>
      </c>
      <c r="D26" s="84"/>
      <c r="E26" s="85"/>
      <c r="F26" s="86" t="str">
        <f t="shared" si="1"/>
        <v/>
      </c>
      <c r="G26" s="84"/>
      <c r="H26" s="85"/>
      <c r="I26" s="86" t="str">
        <f t="shared" si="2"/>
        <v/>
      </c>
    </row>
    <row r="27" spans="1:9">
      <c r="A27" s="118"/>
      <c r="B27" s="119"/>
      <c r="C27" s="86" t="str">
        <f t="shared" si="0"/>
        <v/>
      </c>
      <c r="D27" s="84"/>
      <c r="E27" s="85"/>
      <c r="F27" s="86" t="str">
        <f t="shared" si="1"/>
        <v/>
      </c>
      <c r="G27" s="84"/>
      <c r="H27" s="85"/>
      <c r="I27" s="86" t="str">
        <f t="shared" si="2"/>
        <v/>
      </c>
    </row>
    <row r="28" spans="1:9">
      <c r="A28" s="118"/>
      <c r="B28" s="119"/>
      <c r="C28" s="86" t="str">
        <f t="shared" si="0"/>
        <v/>
      </c>
      <c r="D28" s="84"/>
      <c r="E28" s="85"/>
      <c r="F28" s="86" t="str">
        <f t="shared" si="1"/>
        <v/>
      </c>
      <c r="G28" s="84"/>
      <c r="H28" s="85"/>
      <c r="I28" s="86" t="str">
        <f t="shared" si="2"/>
        <v/>
      </c>
    </row>
    <row r="29" spans="1:9">
      <c r="A29" s="118"/>
      <c r="B29" s="119"/>
      <c r="C29" s="86" t="str">
        <f t="shared" si="0"/>
        <v/>
      </c>
      <c r="D29" s="84"/>
      <c r="E29" s="85"/>
      <c r="F29" s="86" t="str">
        <f t="shared" si="1"/>
        <v/>
      </c>
      <c r="G29" s="84"/>
      <c r="H29" s="85"/>
      <c r="I29" s="86" t="str">
        <f t="shared" si="2"/>
        <v/>
      </c>
    </row>
    <row r="30" spans="1:9">
      <c r="A30" s="118"/>
      <c r="B30" s="119"/>
      <c r="C30" s="86" t="str">
        <f t="shared" si="0"/>
        <v/>
      </c>
      <c r="D30" s="84"/>
      <c r="E30" s="85"/>
      <c r="F30" s="86" t="str">
        <f t="shared" si="1"/>
        <v/>
      </c>
      <c r="G30" s="84"/>
      <c r="H30" s="85"/>
      <c r="I30" s="86" t="str">
        <f t="shared" si="2"/>
        <v/>
      </c>
    </row>
    <row r="31" spans="1:9">
      <c r="A31" s="118"/>
      <c r="B31" s="119"/>
      <c r="C31" s="86" t="str">
        <f t="shared" si="0"/>
        <v/>
      </c>
      <c r="D31" s="84"/>
      <c r="E31" s="85"/>
      <c r="F31" s="86" t="str">
        <f t="shared" si="1"/>
        <v/>
      </c>
      <c r="G31" s="84"/>
      <c r="H31" s="85"/>
      <c r="I31" s="86" t="str">
        <f t="shared" si="2"/>
        <v/>
      </c>
    </row>
    <row r="32" spans="1:9">
      <c r="A32" s="118"/>
      <c r="B32" s="119"/>
      <c r="C32" s="86" t="str">
        <f t="shared" si="0"/>
        <v/>
      </c>
      <c r="D32" s="84"/>
      <c r="E32" s="85"/>
      <c r="F32" s="86" t="str">
        <f t="shared" si="1"/>
        <v/>
      </c>
      <c r="G32" s="84"/>
      <c r="H32" s="85"/>
      <c r="I32" s="86" t="str">
        <f t="shared" si="2"/>
        <v/>
      </c>
    </row>
    <row r="33" spans="1:9">
      <c r="A33" s="118"/>
      <c r="B33" s="119"/>
      <c r="C33" s="86" t="str">
        <f t="shared" si="0"/>
        <v/>
      </c>
      <c r="D33" s="84"/>
      <c r="E33" s="85"/>
      <c r="F33" s="86" t="str">
        <f t="shared" si="1"/>
        <v/>
      </c>
      <c r="G33" s="84"/>
      <c r="H33" s="85"/>
      <c r="I33" s="86" t="str">
        <f t="shared" si="2"/>
        <v/>
      </c>
    </row>
    <row r="34" spans="1:9">
      <c r="A34" s="118"/>
      <c r="B34" s="119"/>
      <c r="C34" s="86" t="str">
        <f t="shared" si="0"/>
        <v/>
      </c>
      <c r="D34" s="84"/>
      <c r="E34" s="85"/>
      <c r="F34" s="86" t="str">
        <f t="shared" si="1"/>
        <v/>
      </c>
      <c r="G34" s="84"/>
      <c r="H34" s="85"/>
      <c r="I34" s="86" t="str">
        <f t="shared" si="2"/>
        <v/>
      </c>
    </row>
    <row r="35" spans="1:9">
      <c r="A35" s="118"/>
      <c r="B35" s="119"/>
      <c r="C35" s="86" t="str">
        <f t="shared" si="0"/>
        <v/>
      </c>
      <c r="D35" s="84"/>
      <c r="E35" s="85"/>
      <c r="F35" s="86" t="str">
        <f t="shared" si="1"/>
        <v/>
      </c>
      <c r="G35" s="84"/>
      <c r="H35" s="85"/>
      <c r="I35" s="86" t="str">
        <f t="shared" si="2"/>
        <v/>
      </c>
    </row>
    <row r="36" spans="1:9">
      <c r="A36" s="118"/>
      <c r="B36" s="119"/>
      <c r="C36" s="86" t="str">
        <f t="shared" si="0"/>
        <v/>
      </c>
      <c r="D36" s="84"/>
      <c r="E36" s="85"/>
      <c r="F36" s="86" t="str">
        <f t="shared" si="1"/>
        <v/>
      </c>
      <c r="G36" s="84"/>
      <c r="H36" s="85"/>
      <c r="I36" s="86" t="str">
        <f t="shared" si="2"/>
        <v/>
      </c>
    </row>
    <row r="37" spans="1:9">
      <c r="A37" s="118"/>
      <c r="B37" s="119"/>
      <c r="C37" s="86" t="str">
        <f t="shared" si="0"/>
        <v/>
      </c>
      <c r="D37" s="84"/>
      <c r="E37" s="85"/>
      <c r="F37" s="86" t="str">
        <f t="shared" si="1"/>
        <v/>
      </c>
      <c r="G37" s="84"/>
      <c r="H37" s="85"/>
      <c r="I37" s="86" t="str">
        <f t="shared" si="2"/>
        <v/>
      </c>
    </row>
    <row r="38" spans="1:9">
      <c r="A38" s="118"/>
      <c r="B38" s="119"/>
      <c r="C38" s="86" t="str">
        <f t="shared" si="0"/>
        <v/>
      </c>
      <c r="D38" s="84"/>
      <c r="E38" s="85"/>
      <c r="F38" s="86" t="str">
        <f t="shared" si="1"/>
        <v/>
      </c>
      <c r="G38" s="84"/>
      <c r="H38" s="85"/>
      <c r="I38" s="86" t="str">
        <f t="shared" si="2"/>
        <v/>
      </c>
    </row>
    <row r="39" spans="1:9">
      <c r="A39" s="118"/>
      <c r="B39" s="119"/>
      <c r="C39" s="86" t="str">
        <f t="shared" si="0"/>
        <v/>
      </c>
      <c r="D39" s="84"/>
      <c r="E39" s="85"/>
      <c r="F39" s="86" t="str">
        <f t="shared" si="1"/>
        <v/>
      </c>
      <c r="G39" s="84"/>
      <c r="H39" s="85"/>
      <c r="I39" s="86" t="str">
        <f t="shared" si="2"/>
        <v/>
      </c>
    </row>
    <row r="40" spans="1:9">
      <c r="A40" s="118"/>
      <c r="B40" s="119"/>
      <c r="C40" s="86" t="str">
        <f t="shared" si="0"/>
        <v/>
      </c>
      <c r="D40" s="84"/>
      <c r="E40" s="85"/>
      <c r="F40" s="86" t="str">
        <f t="shared" si="1"/>
        <v/>
      </c>
      <c r="G40" s="84"/>
      <c r="H40" s="85"/>
      <c r="I40" s="86" t="str">
        <f t="shared" si="2"/>
        <v/>
      </c>
    </row>
    <row r="41" spans="1:9">
      <c r="A41" s="118"/>
      <c r="B41" s="119"/>
      <c r="C41" s="86" t="str">
        <f t="shared" si="0"/>
        <v/>
      </c>
      <c r="D41" s="84"/>
      <c r="E41" s="85"/>
      <c r="F41" s="86" t="str">
        <f t="shared" si="1"/>
        <v/>
      </c>
      <c r="G41" s="84"/>
      <c r="H41" s="85"/>
      <c r="I41" s="86" t="str">
        <f t="shared" si="2"/>
        <v/>
      </c>
    </row>
    <row r="42" spans="1:9">
      <c r="A42" s="118"/>
      <c r="B42" s="119"/>
      <c r="C42" s="86" t="str">
        <f t="shared" si="0"/>
        <v/>
      </c>
      <c r="D42" s="84"/>
      <c r="E42" s="85"/>
      <c r="F42" s="86" t="str">
        <f t="shared" si="1"/>
        <v/>
      </c>
      <c r="G42" s="84"/>
      <c r="H42" s="85"/>
      <c r="I42" s="86" t="str">
        <f t="shared" si="2"/>
        <v/>
      </c>
    </row>
    <row r="43" spans="1:9">
      <c r="A43" s="118"/>
      <c r="B43" s="119"/>
      <c r="C43" s="86" t="str">
        <f t="shared" si="0"/>
        <v/>
      </c>
      <c r="D43" s="84"/>
      <c r="E43" s="85"/>
      <c r="F43" s="86" t="str">
        <f t="shared" si="1"/>
        <v/>
      </c>
      <c r="G43" s="84"/>
      <c r="H43" s="85"/>
      <c r="I43" s="86" t="str">
        <f t="shared" si="2"/>
        <v/>
      </c>
    </row>
    <row r="44" spans="1:9">
      <c r="A44" s="118"/>
      <c r="B44" s="119"/>
      <c r="C44" s="86" t="str">
        <f t="shared" si="0"/>
        <v/>
      </c>
      <c r="D44" s="84"/>
      <c r="E44" s="85"/>
      <c r="F44" s="86" t="str">
        <f t="shared" si="1"/>
        <v/>
      </c>
      <c r="G44" s="84"/>
      <c r="H44" s="85"/>
      <c r="I44" s="86" t="str">
        <f t="shared" si="2"/>
        <v/>
      </c>
    </row>
    <row r="45" spans="1:9">
      <c r="A45" s="118"/>
      <c r="B45" s="119"/>
      <c r="C45" s="86" t="str">
        <f t="shared" si="0"/>
        <v/>
      </c>
      <c r="D45" s="84"/>
      <c r="E45" s="85"/>
      <c r="F45" s="86" t="str">
        <f t="shared" si="1"/>
        <v/>
      </c>
      <c r="G45" s="84"/>
      <c r="H45" s="85"/>
      <c r="I45" s="86" t="str">
        <f t="shared" si="2"/>
        <v/>
      </c>
    </row>
    <row r="46" spans="1:9">
      <c r="A46" s="118"/>
      <c r="B46" s="119"/>
      <c r="C46" s="86" t="str">
        <f t="shared" si="0"/>
        <v/>
      </c>
      <c r="D46" s="84"/>
      <c r="E46" s="85"/>
      <c r="F46" s="86" t="str">
        <f t="shared" si="1"/>
        <v/>
      </c>
      <c r="G46" s="84"/>
      <c r="H46" s="85"/>
      <c r="I46" s="86" t="str">
        <f t="shared" si="2"/>
        <v/>
      </c>
    </row>
    <row r="47" spans="1:9">
      <c r="A47" s="118"/>
      <c r="B47" s="119"/>
      <c r="C47" s="86" t="str">
        <f t="shared" si="0"/>
        <v/>
      </c>
      <c r="D47" s="84"/>
      <c r="E47" s="85"/>
      <c r="F47" s="86" t="str">
        <f t="shared" si="1"/>
        <v/>
      </c>
      <c r="G47" s="84"/>
      <c r="H47" s="85"/>
      <c r="I47" s="86" t="str">
        <f t="shared" si="2"/>
        <v/>
      </c>
    </row>
    <row r="48" spans="1:9">
      <c r="A48" s="118"/>
      <c r="B48" s="119"/>
      <c r="C48" s="86" t="str">
        <f t="shared" si="0"/>
        <v/>
      </c>
      <c r="D48" s="84"/>
      <c r="E48" s="85"/>
      <c r="F48" s="86" t="str">
        <f t="shared" si="1"/>
        <v/>
      </c>
      <c r="G48" s="84"/>
      <c r="H48" s="85"/>
      <c r="I48" s="86" t="str">
        <f t="shared" si="2"/>
        <v/>
      </c>
    </row>
    <row r="49" spans="1:9">
      <c r="A49" s="118"/>
      <c r="B49" s="119"/>
      <c r="C49" s="86" t="str">
        <f t="shared" si="0"/>
        <v/>
      </c>
      <c r="D49" s="84"/>
      <c r="E49" s="85"/>
      <c r="F49" s="86" t="str">
        <f t="shared" si="1"/>
        <v/>
      </c>
      <c r="G49" s="84"/>
      <c r="H49" s="85"/>
      <c r="I49" s="86" t="str">
        <f t="shared" si="2"/>
        <v/>
      </c>
    </row>
    <row r="50" spans="1:9">
      <c r="A50" s="118"/>
      <c r="B50" s="119"/>
      <c r="C50" s="86" t="str">
        <f t="shared" si="0"/>
        <v/>
      </c>
      <c r="D50" s="84"/>
      <c r="E50" s="85"/>
      <c r="F50" s="86" t="str">
        <f t="shared" si="1"/>
        <v/>
      </c>
      <c r="G50" s="84"/>
      <c r="H50" s="85"/>
      <c r="I50" s="86" t="str">
        <f t="shared" si="2"/>
        <v/>
      </c>
    </row>
    <row r="51" spans="1:9">
      <c r="A51" s="118"/>
      <c r="B51" s="119"/>
      <c r="C51" s="86" t="str">
        <f t="shared" si="0"/>
        <v/>
      </c>
      <c r="D51" s="84"/>
      <c r="E51" s="85"/>
      <c r="F51" s="86" t="str">
        <f t="shared" si="1"/>
        <v/>
      </c>
      <c r="G51" s="84"/>
      <c r="H51" s="85"/>
      <c r="I51" s="86" t="str">
        <f t="shared" si="2"/>
        <v/>
      </c>
    </row>
    <row r="52" spans="1:9">
      <c r="A52" s="118"/>
      <c r="B52" s="119"/>
      <c r="C52" s="86" t="str">
        <f t="shared" si="0"/>
        <v/>
      </c>
      <c r="D52" s="84"/>
      <c r="E52" s="85"/>
      <c r="F52" s="86" t="str">
        <f t="shared" si="1"/>
        <v/>
      </c>
      <c r="G52" s="84"/>
      <c r="H52" s="85"/>
      <c r="I52" s="86" t="str">
        <f t="shared" si="2"/>
        <v/>
      </c>
    </row>
    <row r="53" spans="1:9">
      <c r="A53" s="118"/>
      <c r="B53" s="119"/>
      <c r="C53" s="86" t="str">
        <f t="shared" si="0"/>
        <v/>
      </c>
      <c r="D53" s="84"/>
      <c r="E53" s="85"/>
      <c r="F53" s="86" t="str">
        <f t="shared" si="1"/>
        <v/>
      </c>
      <c r="G53" s="84"/>
      <c r="H53" s="85"/>
      <c r="I53" s="86" t="str">
        <f t="shared" si="2"/>
        <v/>
      </c>
    </row>
    <row r="54" spans="1:9">
      <c r="A54" s="118"/>
      <c r="B54" s="119"/>
      <c r="C54" s="86" t="str">
        <f t="shared" si="0"/>
        <v/>
      </c>
      <c r="D54" s="84"/>
      <c r="E54" s="85"/>
      <c r="F54" s="86" t="str">
        <f t="shared" si="1"/>
        <v/>
      </c>
      <c r="G54" s="84"/>
      <c r="H54" s="85"/>
      <c r="I54" s="86" t="str">
        <f t="shared" si="2"/>
        <v/>
      </c>
    </row>
    <row r="55" spans="1:9">
      <c r="A55" s="118"/>
      <c r="B55" s="119"/>
      <c r="C55" s="86" t="str">
        <f t="shared" ref="C55:C118" si="3">IF(B55&gt;0,TEXT(B55,"(aaa)"),"")</f>
        <v/>
      </c>
      <c r="D55" s="84"/>
      <c r="E55" s="85"/>
      <c r="F55" s="86" t="str">
        <f t="shared" ref="F55:F118" si="4">IF(E55&gt;0,TEXT(E55,"(aaa)"),"")</f>
        <v/>
      </c>
      <c r="G55" s="84"/>
      <c r="H55" s="85"/>
      <c r="I55" s="86" t="str">
        <f t="shared" ref="I55:I118" si="5">IF(H55&gt;0,TEXT(H55,"(aaa)"),"")</f>
        <v/>
      </c>
    </row>
    <row r="56" spans="1:9">
      <c r="A56" s="118"/>
      <c r="B56" s="119"/>
      <c r="C56" s="86" t="str">
        <f t="shared" si="3"/>
        <v/>
      </c>
      <c r="D56" s="84"/>
      <c r="E56" s="85"/>
      <c r="F56" s="86" t="str">
        <f t="shared" si="4"/>
        <v/>
      </c>
      <c r="G56" s="84"/>
      <c r="H56" s="85"/>
      <c r="I56" s="86" t="str">
        <f t="shared" si="5"/>
        <v/>
      </c>
    </row>
    <row r="57" spans="1:9">
      <c r="A57" s="118"/>
      <c r="B57" s="119"/>
      <c r="C57" s="86" t="str">
        <f t="shared" si="3"/>
        <v/>
      </c>
      <c r="D57" s="84"/>
      <c r="E57" s="85"/>
      <c r="F57" s="86" t="str">
        <f t="shared" si="4"/>
        <v/>
      </c>
      <c r="G57" s="84"/>
      <c r="H57" s="85"/>
      <c r="I57" s="86" t="str">
        <f t="shared" si="5"/>
        <v/>
      </c>
    </row>
    <row r="58" spans="1:9">
      <c r="A58" s="118"/>
      <c r="B58" s="119"/>
      <c r="C58" s="86" t="str">
        <f t="shared" si="3"/>
        <v/>
      </c>
      <c r="D58" s="84"/>
      <c r="E58" s="85"/>
      <c r="F58" s="86" t="str">
        <f t="shared" si="4"/>
        <v/>
      </c>
      <c r="G58" s="84"/>
      <c r="H58" s="85"/>
      <c r="I58" s="86" t="str">
        <f t="shared" si="5"/>
        <v/>
      </c>
    </row>
    <row r="59" spans="1:9">
      <c r="A59" s="118"/>
      <c r="B59" s="119"/>
      <c r="C59" s="86" t="str">
        <f t="shared" si="3"/>
        <v/>
      </c>
      <c r="D59" s="84"/>
      <c r="E59" s="85"/>
      <c r="F59" s="86" t="str">
        <f t="shared" si="4"/>
        <v/>
      </c>
      <c r="G59" s="84"/>
      <c r="H59" s="85"/>
      <c r="I59" s="86" t="str">
        <f t="shared" si="5"/>
        <v/>
      </c>
    </row>
    <row r="60" spans="1:9">
      <c r="A60" s="118"/>
      <c r="B60" s="119"/>
      <c r="C60" s="86" t="str">
        <f t="shared" si="3"/>
        <v/>
      </c>
      <c r="D60" s="84"/>
      <c r="E60" s="85"/>
      <c r="F60" s="86" t="str">
        <f t="shared" si="4"/>
        <v/>
      </c>
      <c r="G60" s="84"/>
      <c r="H60" s="85"/>
      <c r="I60" s="86" t="str">
        <f t="shared" si="5"/>
        <v/>
      </c>
    </row>
    <row r="61" spans="1:9">
      <c r="A61" s="118"/>
      <c r="B61" s="119"/>
      <c r="C61" s="86" t="str">
        <f t="shared" si="3"/>
        <v/>
      </c>
      <c r="D61" s="84"/>
      <c r="E61" s="85"/>
      <c r="F61" s="86" t="str">
        <f t="shared" si="4"/>
        <v/>
      </c>
      <c r="G61" s="84"/>
      <c r="H61" s="85"/>
      <c r="I61" s="86" t="str">
        <f t="shared" si="5"/>
        <v/>
      </c>
    </row>
    <row r="62" spans="1:9">
      <c r="A62" s="118"/>
      <c r="B62" s="119"/>
      <c r="C62" s="86" t="str">
        <f t="shared" si="3"/>
        <v/>
      </c>
      <c r="D62" s="84"/>
      <c r="E62" s="85"/>
      <c r="F62" s="86" t="str">
        <f t="shared" si="4"/>
        <v/>
      </c>
      <c r="G62" s="84"/>
      <c r="H62" s="85"/>
      <c r="I62" s="86" t="str">
        <f t="shared" si="5"/>
        <v/>
      </c>
    </row>
    <row r="63" spans="1:9">
      <c r="A63" s="118"/>
      <c r="B63" s="119"/>
      <c r="C63" s="86" t="str">
        <f t="shared" si="3"/>
        <v/>
      </c>
      <c r="D63" s="84"/>
      <c r="E63" s="85"/>
      <c r="F63" s="86" t="str">
        <f t="shared" si="4"/>
        <v/>
      </c>
      <c r="G63" s="84"/>
      <c r="H63" s="85"/>
      <c r="I63" s="86" t="str">
        <f t="shared" si="5"/>
        <v/>
      </c>
    </row>
    <row r="64" spans="1:9">
      <c r="A64" s="118"/>
      <c r="B64" s="119"/>
      <c r="C64" s="86" t="str">
        <f t="shared" si="3"/>
        <v/>
      </c>
      <c r="D64" s="84"/>
      <c r="E64" s="85"/>
      <c r="F64" s="86" t="str">
        <f t="shared" si="4"/>
        <v/>
      </c>
      <c r="G64" s="84"/>
      <c r="H64" s="85"/>
      <c r="I64" s="86" t="str">
        <f t="shared" si="5"/>
        <v/>
      </c>
    </row>
    <row r="65" spans="1:9">
      <c r="A65" s="118"/>
      <c r="B65" s="119"/>
      <c r="C65" s="86" t="str">
        <f t="shared" si="3"/>
        <v/>
      </c>
      <c r="D65" s="84"/>
      <c r="E65" s="85"/>
      <c r="F65" s="86" t="str">
        <f t="shared" si="4"/>
        <v/>
      </c>
      <c r="G65" s="84"/>
      <c r="H65" s="85"/>
      <c r="I65" s="86" t="str">
        <f t="shared" si="5"/>
        <v/>
      </c>
    </row>
    <row r="66" spans="1:9">
      <c r="A66" s="118"/>
      <c r="B66" s="119"/>
      <c r="C66" s="86" t="str">
        <f t="shared" si="3"/>
        <v/>
      </c>
      <c r="D66" s="84"/>
      <c r="E66" s="85"/>
      <c r="F66" s="86" t="str">
        <f t="shared" si="4"/>
        <v/>
      </c>
      <c r="G66" s="84"/>
      <c r="H66" s="85"/>
      <c r="I66" s="86" t="str">
        <f t="shared" si="5"/>
        <v/>
      </c>
    </row>
    <row r="67" spans="1:9">
      <c r="A67" s="118"/>
      <c r="B67" s="119"/>
      <c r="C67" s="86" t="str">
        <f t="shared" si="3"/>
        <v/>
      </c>
      <c r="D67" s="84"/>
      <c r="E67" s="85"/>
      <c r="F67" s="86" t="str">
        <f t="shared" si="4"/>
        <v/>
      </c>
      <c r="G67" s="84"/>
      <c r="H67" s="85"/>
      <c r="I67" s="86" t="str">
        <f t="shared" si="5"/>
        <v/>
      </c>
    </row>
    <row r="68" spans="1:9">
      <c r="A68" s="118"/>
      <c r="B68" s="119"/>
      <c r="C68" s="86" t="str">
        <f t="shared" si="3"/>
        <v/>
      </c>
      <c r="D68" s="84"/>
      <c r="E68" s="85"/>
      <c r="F68" s="86" t="str">
        <f t="shared" si="4"/>
        <v/>
      </c>
      <c r="G68" s="84"/>
      <c r="H68" s="85"/>
      <c r="I68" s="86" t="str">
        <f t="shared" si="5"/>
        <v/>
      </c>
    </row>
    <row r="69" spans="1:9">
      <c r="A69" s="118"/>
      <c r="B69" s="119"/>
      <c r="C69" s="86" t="str">
        <f t="shared" si="3"/>
        <v/>
      </c>
      <c r="D69" s="84"/>
      <c r="E69" s="85"/>
      <c r="F69" s="86" t="str">
        <f t="shared" si="4"/>
        <v/>
      </c>
      <c r="G69" s="84"/>
      <c r="H69" s="85"/>
      <c r="I69" s="86" t="str">
        <f t="shared" si="5"/>
        <v/>
      </c>
    </row>
    <row r="70" spans="1:9">
      <c r="A70" s="118"/>
      <c r="B70" s="119"/>
      <c r="C70" s="86" t="str">
        <f t="shared" si="3"/>
        <v/>
      </c>
      <c r="D70" s="84"/>
      <c r="E70" s="85"/>
      <c r="F70" s="86" t="str">
        <f t="shared" si="4"/>
        <v/>
      </c>
      <c r="G70" s="84"/>
      <c r="H70" s="85"/>
      <c r="I70" s="86" t="str">
        <f t="shared" si="5"/>
        <v/>
      </c>
    </row>
    <row r="71" spans="1:9">
      <c r="A71" s="118"/>
      <c r="B71" s="119"/>
      <c r="C71" s="86" t="str">
        <f t="shared" si="3"/>
        <v/>
      </c>
      <c r="D71" s="84"/>
      <c r="E71" s="85"/>
      <c r="F71" s="86" t="str">
        <f t="shared" si="4"/>
        <v/>
      </c>
      <c r="G71" s="84"/>
      <c r="H71" s="85"/>
      <c r="I71" s="86" t="str">
        <f t="shared" si="5"/>
        <v/>
      </c>
    </row>
    <row r="72" spans="1:9">
      <c r="A72" s="118"/>
      <c r="B72" s="119"/>
      <c r="C72" s="86" t="str">
        <f t="shared" si="3"/>
        <v/>
      </c>
      <c r="D72" s="84"/>
      <c r="E72" s="85"/>
      <c r="F72" s="86" t="str">
        <f t="shared" si="4"/>
        <v/>
      </c>
      <c r="G72" s="84"/>
      <c r="H72" s="85"/>
      <c r="I72" s="86" t="str">
        <f t="shared" si="5"/>
        <v/>
      </c>
    </row>
    <row r="73" spans="1:9">
      <c r="A73" s="118"/>
      <c r="B73" s="119"/>
      <c r="C73" s="86" t="str">
        <f t="shared" si="3"/>
        <v/>
      </c>
      <c r="D73" s="84"/>
      <c r="E73" s="85"/>
      <c r="F73" s="86" t="str">
        <f t="shared" si="4"/>
        <v/>
      </c>
      <c r="G73" s="84"/>
      <c r="H73" s="85"/>
      <c r="I73" s="86" t="str">
        <f t="shared" si="5"/>
        <v/>
      </c>
    </row>
    <row r="74" spans="1:9">
      <c r="A74" s="118"/>
      <c r="B74" s="119"/>
      <c r="C74" s="86" t="str">
        <f t="shared" si="3"/>
        <v/>
      </c>
      <c r="D74" s="84"/>
      <c r="E74" s="85"/>
      <c r="F74" s="86" t="str">
        <f t="shared" si="4"/>
        <v/>
      </c>
      <c r="G74" s="84"/>
      <c r="H74" s="85"/>
      <c r="I74" s="86" t="str">
        <f t="shared" si="5"/>
        <v/>
      </c>
    </row>
    <row r="75" spans="1:9">
      <c r="A75" s="118"/>
      <c r="B75" s="119"/>
      <c r="C75" s="86" t="str">
        <f t="shared" si="3"/>
        <v/>
      </c>
      <c r="D75" s="84"/>
      <c r="E75" s="85"/>
      <c r="F75" s="86" t="str">
        <f t="shared" si="4"/>
        <v/>
      </c>
      <c r="G75" s="84"/>
      <c r="H75" s="85"/>
      <c r="I75" s="86" t="str">
        <f t="shared" si="5"/>
        <v/>
      </c>
    </row>
    <row r="76" spans="1:9">
      <c r="A76" s="118"/>
      <c r="B76" s="119"/>
      <c r="C76" s="86" t="str">
        <f t="shared" si="3"/>
        <v/>
      </c>
      <c r="D76" s="84"/>
      <c r="E76" s="85"/>
      <c r="F76" s="86" t="str">
        <f t="shared" si="4"/>
        <v/>
      </c>
      <c r="G76" s="84"/>
      <c r="H76" s="85"/>
      <c r="I76" s="86" t="str">
        <f t="shared" si="5"/>
        <v/>
      </c>
    </row>
    <row r="77" spans="1:9">
      <c r="A77" s="118"/>
      <c r="B77" s="119"/>
      <c r="C77" s="86" t="str">
        <f t="shared" si="3"/>
        <v/>
      </c>
      <c r="D77" s="84"/>
      <c r="E77" s="85"/>
      <c r="F77" s="86" t="str">
        <f t="shared" si="4"/>
        <v/>
      </c>
      <c r="G77" s="84"/>
      <c r="H77" s="85"/>
      <c r="I77" s="86" t="str">
        <f t="shared" si="5"/>
        <v/>
      </c>
    </row>
    <row r="78" spans="1:9">
      <c r="A78" s="118"/>
      <c r="B78" s="119"/>
      <c r="C78" s="86" t="str">
        <f t="shared" si="3"/>
        <v/>
      </c>
      <c r="D78" s="84"/>
      <c r="E78" s="85"/>
      <c r="F78" s="86" t="str">
        <f t="shared" si="4"/>
        <v/>
      </c>
      <c r="G78" s="84"/>
      <c r="H78" s="85"/>
      <c r="I78" s="86" t="str">
        <f t="shared" si="5"/>
        <v/>
      </c>
    </row>
    <row r="79" spans="1:9">
      <c r="A79" s="118"/>
      <c r="B79" s="119"/>
      <c r="C79" s="86" t="str">
        <f t="shared" si="3"/>
        <v/>
      </c>
      <c r="D79" s="84"/>
      <c r="E79" s="85"/>
      <c r="F79" s="86" t="str">
        <f t="shared" si="4"/>
        <v/>
      </c>
      <c r="G79" s="84"/>
      <c r="H79" s="85"/>
      <c r="I79" s="86" t="str">
        <f t="shared" si="5"/>
        <v/>
      </c>
    </row>
    <row r="80" spans="1:9">
      <c r="A80" s="118"/>
      <c r="B80" s="119"/>
      <c r="C80" s="86" t="str">
        <f t="shared" si="3"/>
        <v/>
      </c>
      <c r="D80" s="84"/>
      <c r="E80" s="85"/>
      <c r="F80" s="86" t="str">
        <f t="shared" si="4"/>
        <v/>
      </c>
      <c r="G80" s="84"/>
      <c r="H80" s="85"/>
      <c r="I80" s="86" t="str">
        <f t="shared" si="5"/>
        <v/>
      </c>
    </row>
    <row r="81" spans="1:9">
      <c r="A81" s="118"/>
      <c r="B81" s="119"/>
      <c r="C81" s="86" t="str">
        <f t="shared" si="3"/>
        <v/>
      </c>
      <c r="D81" s="84"/>
      <c r="E81" s="85"/>
      <c r="F81" s="86" t="str">
        <f t="shared" si="4"/>
        <v/>
      </c>
      <c r="G81" s="84"/>
      <c r="H81" s="85"/>
      <c r="I81" s="86" t="str">
        <f t="shared" si="5"/>
        <v/>
      </c>
    </row>
    <row r="82" spans="1:9">
      <c r="A82" s="118"/>
      <c r="B82" s="119"/>
      <c r="C82" s="86" t="str">
        <f t="shared" si="3"/>
        <v/>
      </c>
      <c r="D82" s="84"/>
      <c r="E82" s="85"/>
      <c r="F82" s="86" t="str">
        <f t="shared" si="4"/>
        <v/>
      </c>
      <c r="G82" s="84"/>
      <c r="H82" s="85"/>
      <c r="I82" s="86" t="str">
        <f t="shared" si="5"/>
        <v/>
      </c>
    </row>
    <row r="83" spans="1:9">
      <c r="A83" s="118"/>
      <c r="B83" s="119"/>
      <c r="C83" s="86" t="str">
        <f t="shared" si="3"/>
        <v/>
      </c>
      <c r="D83" s="84"/>
      <c r="E83" s="85"/>
      <c r="F83" s="86" t="str">
        <f t="shared" si="4"/>
        <v/>
      </c>
      <c r="G83" s="84"/>
      <c r="H83" s="85"/>
      <c r="I83" s="86" t="str">
        <f t="shared" si="5"/>
        <v/>
      </c>
    </row>
    <row r="84" spans="1:9">
      <c r="A84" s="118"/>
      <c r="B84" s="119"/>
      <c r="C84" s="86" t="str">
        <f t="shared" si="3"/>
        <v/>
      </c>
      <c r="D84" s="84"/>
      <c r="E84" s="85"/>
      <c r="F84" s="86" t="str">
        <f t="shared" si="4"/>
        <v/>
      </c>
      <c r="G84" s="84"/>
      <c r="H84" s="85"/>
      <c r="I84" s="86" t="str">
        <f t="shared" si="5"/>
        <v/>
      </c>
    </row>
    <row r="85" spans="1:9">
      <c r="A85" s="118"/>
      <c r="B85" s="119"/>
      <c r="C85" s="86" t="str">
        <f t="shared" si="3"/>
        <v/>
      </c>
      <c r="D85" s="84"/>
      <c r="E85" s="85"/>
      <c r="F85" s="86" t="str">
        <f t="shared" si="4"/>
        <v/>
      </c>
      <c r="G85" s="84"/>
      <c r="H85" s="85"/>
      <c r="I85" s="86" t="str">
        <f t="shared" si="5"/>
        <v/>
      </c>
    </row>
    <row r="86" spans="1:9">
      <c r="A86" s="118"/>
      <c r="B86" s="119"/>
      <c r="C86" s="86" t="str">
        <f t="shared" si="3"/>
        <v/>
      </c>
      <c r="D86" s="84"/>
      <c r="E86" s="85"/>
      <c r="F86" s="86" t="str">
        <f t="shared" si="4"/>
        <v/>
      </c>
      <c r="G86" s="84"/>
      <c r="H86" s="85"/>
      <c r="I86" s="86" t="str">
        <f t="shared" si="5"/>
        <v/>
      </c>
    </row>
    <row r="87" spans="1:9">
      <c r="A87" s="118"/>
      <c r="B87" s="119"/>
      <c r="C87" s="86" t="str">
        <f t="shared" si="3"/>
        <v/>
      </c>
      <c r="D87" s="84"/>
      <c r="E87" s="85"/>
      <c r="F87" s="86" t="str">
        <f t="shared" si="4"/>
        <v/>
      </c>
      <c r="G87" s="84"/>
      <c r="H87" s="85"/>
      <c r="I87" s="86" t="str">
        <f t="shared" si="5"/>
        <v/>
      </c>
    </row>
    <row r="88" spans="1:9">
      <c r="A88" s="118"/>
      <c r="B88" s="119"/>
      <c r="C88" s="86" t="str">
        <f t="shared" si="3"/>
        <v/>
      </c>
      <c r="D88" s="84"/>
      <c r="E88" s="85"/>
      <c r="F88" s="86" t="str">
        <f t="shared" si="4"/>
        <v/>
      </c>
      <c r="G88" s="84"/>
      <c r="H88" s="85"/>
      <c r="I88" s="86" t="str">
        <f t="shared" si="5"/>
        <v/>
      </c>
    </row>
    <row r="89" spans="1:9">
      <c r="A89" s="118"/>
      <c r="B89" s="119"/>
      <c r="C89" s="86" t="str">
        <f t="shared" si="3"/>
        <v/>
      </c>
      <c r="D89" s="84"/>
      <c r="E89" s="85"/>
      <c r="F89" s="86" t="str">
        <f t="shared" si="4"/>
        <v/>
      </c>
      <c r="G89" s="84"/>
      <c r="H89" s="85"/>
      <c r="I89" s="86" t="str">
        <f t="shared" si="5"/>
        <v/>
      </c>
    </row>
    <row r="90" spans="1:9">
      <c r="A90" s="118"/>
      <c r="B90" s="119"/>
      <c r="C90" s="86" t="str">
        <f t="shared" si="3"/>
        <v/>
      </c>
      <c r="D90" s="84"/>
      <c r="E90" s="85"/>
      <c r="F90" s="86" t="str">
        <f t="shared" si="4"/>
        <v/>
      </c>
      <c r="G90" s="84"/>
      <c r="H90" s="85"/>
      <c r="I90" s="86" t="str">
        <f t="shared" si="5"/>
        <v/>
      </c>
    </row>
    <row r="91" spans="1:9">
      <c r="A91" s="118"/>
      <c r="B91" s="119"/>
      <c r="C91" s="86" t="str">
        <f t="shared" si="3"/>
        <v/>
      </c>
      <c r="D91" s="84"/>
      <c r="E91" s="85"/>
      <c r="F91" s="86" t="str">
        <f t="shared" si="4"/>
        <v/>
      </c>
      <c r="G91" s="84"/>
      <c r="H91" s="85"/>
      <c r="I91" s="86" t="str">
        <f t="shared" si="5"/>
        <v/>
      </c>
    </row>
    <row r="92" spans="1:9">
      <c r="A92" s="118"/>
      <c r="B92" s="119"/>
      <c r="C92" s="86" t="str">
        <f t="shared" si="3"/>
        <v/>
      </c>
      <c r="D92" s="84"/>
      <c r="E92" s="85"/>
      <c r="F92" s="86" t="str">
        <f t="shared" si="4"/>
        <v/>
      </c>
      <c r="G92" s="84"/>
      <c r="H92" s="85"/>
      <c r="I92" s="86" t="str">
        <f t="shared" si="5"/>
        <v/>
      </c>
    </row>
    <row r="93" spans="1:9">
      <c r="A93" s="118"/>
      <c r="B93" s="119"/>
      <c r="C93" s="86" t="str">
        <f t="shared" si="3"/>
        <v/>
      </c>
      <c r="D93" s="84"/>
      <c r="E93" s="85"/>
      <c r="F93" s="86" t="str">
        <f t="shared" si="4"/>
        <v/>
      </c>
      <c r="G93" s="84"/>
      <c r="H93" s="85"/>
      <c r="I93" s="86" t="str">
        <f t="shared" si="5"/>
        <v/>
      </c>
    </row>
    <row r="94" spans="1:9">
      <c r="A94" s="118"/>
      <c r="B94" s="119"/>
      <c r="C94" s="86" t="str">
        <f t="shared" si="3"/>
        <v/>
      </c>
      <c r="D94" s="84"/>
      <c r="E94" s="85"/>
      <c r="F94" s="86" t="str">
        <f t="shared" si="4"/>
        <v/>
      </c>
      <c r="G94" s="84"/>
      <c r="H94" s="85"/>
      <c r="I94" s="86" t="str">
        <f t="shared" si="5"/>
        <v/>
      </c>
    </row>
    <row r="95" spans="1:9">
      <c r="A95" s="118"/>
      <c r="B95" s="119"/>
      <c r="C95" s="86" t="str">
        <f t="shared" si="3"/>
        <v/>
      </c>
      <c r="D95" s="84"/>
      <c r="E95" s="85"/>
      <c r="F95" s="86" t="str">
        <f t="shared" si="4"/>
        <v/>
      </c>
      <c r="G95" s="84"/>
      <c r="H95" s="85"/>
      <c r="I95" s="86" t="str">
        <f t="shared" si="5"/>
        <v/>
      </c>
    </row>
    <row r="96" spans="1:9">
      <c r="A96" s="118"/>
      <c r="B96" s="119"/>
      <c r="C96" s="86" t="str">
        <f t="shared" si="3"/>
        <v/>
      </c>
      <c r="D96" s="84"/>
      <c r="E96" s="85"/>
      <c r="F96" s="86" t="str">
        <f t="shared" si="4"/>
        <v/>
      </c>
      <c r="G96" s="84"/>
      <c r="H96" s="85"/>
      <c r="I96" s="86" t="str">
        <f t="shared" si="5"/>
        <v/>
      </c>
    </row>
    <row r="97" spans="1:9">
      <c r="A97" s="118"/>
      <c r="B97" s="119"/>
      <c r="C97" s="86" t="str">
        <f t="shared" si="3"/>
        <v/>
      </c>
      <c r="D97" s="84"/>
      <c r="E97" s="85"/>
      <c r="F97" s="86" t="str">
        <f t="shared" si="4"/>
        <v/>
      </c>
      <c r="G97" s="84"/>
      <c r="H97" s="85"/>
      <c r="I97" s="86" t="str">
        <f t="shared" si="5"/>
        <v/>
      </c>
    </row>
    <row r="98" spans="1:9">
      <c r="A98" s="118"/>
      <c r="B98" s="119"/>
      <c r="C98" s="86" t="str">
        <f t="shared" si="3"/>
        <v/>
      </c>
      <c r="D98" s="84"/>
      <c r="E98" s="85"/>
      <c r="F98" s="86" t="str">
        <f t="shared" si="4"/>
        <v/>
      </c>
      <c r="G98" s="84"/>
      <c r="H98" s="85"/>
      <c r="I98" s="86" t="str">
        <f t="shared" si="5"/>
        <v/>
      </c>
    </row>
    <row r="99" spans="1:9">
      <c r="A99" s="118"/>
      <c r="B99" s="119"/>
      <c r="C99" s="86" t="str">
        <f t="shared" si="3"/>
        <v/>
      </c>
      <c r="D99" s="84"/>
      <c r="E99" s="85"/>
      <c r="F99" s="86" t="str">
        <f t="shared" si="4"/>
        <v/>
      </c>
      <c r="G99" s="84"/>
      <c r="H99" s="85"/>
      <c r="I99" s="86" t="str">
        <f t="shared" si="5"/>
        <v/>
      </c>
    </row>
    <row r="100" spans="1:9">
      <c r="A100" s="118"/>
      <c r="B100" s="119"/>
      <c r="C100" s="86" t="str">
        <f t="shared" si="3"/>
        <v/>
      </c>
      <c r="D100" s="84"/>
      <c r="E100" s="85"/>
      <c r="F100" s="86" t="str">
        <f t="shared" si="4"/>
        <v/>
      </c>
      <c r="G100" s="84"/>
      <c r="H100" s="85"/>
      <c r="I100" s="86" t="str">
        <f t="shared" si="5"/>
        <v/>
      </c>
    </row>
    <row r="101" spans="1:9">
      <c r="A101" s="118"/>
      <c r="B101" s="119"/>
      <c r="C101" s="86" t="str">
        <f t="shared" si="3"/>
        <v/>
      </c>
      <c r="D101" s="84"/>
      <c r="E101" s="85"/>
      <c r="F101" s="86" t="str">
        <f t="shared" si="4"/>
        <v/>
      </c>
      <c r="G101" s="84"/>
      <c r="H101" s="85"/>
      <c r="I101" s="86" t="str">
        <f t="shared" si="5"/>
        <v/>
      </c>
    </row>
    <row r="102" spans="1:9">
      <c r="A102" s="118"/>
      <c r="B102" s="119"/>
      <c r="C102" s="86" t="str">
        <f t="shared" si="3"/>
        <v/>
      </c>
      <c r="D102" s="84"/>
      <c r="E102" s="85"/>
      <c r="F102" s="86" t="str">
        <f t="shared" si="4"/>
        <v/>
      </c>
      <c r="G102" s="84"/>
      <c r="H102" s="85"/>
      <c r="I102" s="86" t="str">
        <f t="shared" si="5"/>
        <v/>
      </c>
    </row>
    <row r="103" spans="1:9">
      <c r="A103" s="118"/>
      <c r="B103" s="119"/>
      <c r="C103" s="86" t="str">
        <f t="shared" si="3"/>
        <v/>
      </c>
      <c r="D103" s="84"/>
      <c r="E103" s="85"/>
      <c r="F103" s="86" t="str">
        <f t="shared" si="4"/>
        <v/>
      </c>
      <c r="G103" s="84"/>
      <c r="H103" s="85"/>
      <c r="I103" s="86" t="str">
        <f t="shared" si="5"/>
        <v/>
      </c>
    </row>
    <row r="104" spans="1:9">
      <c r="A104" s="118"/>
      <c r="B104" s="119"/>
      <c r="C104" s="86" t="str">
        <f t="shared" si="3"/>
        <v/>
      </c>
      <c r="D104" s="84"/>
      <c r="E104" s="85"/>
      <c r="F104" s="86" t="str">
        <f t="shared" si="4"/>
        <v/>
      </c>
      <c r="G104" s="84"/>
      <c r="H104" s="85"/>
      <c r="I104" s="86" t="str">
        <f t="shared" si="5"/>
        <v/>
      </c>
    </row>
    <row r="105" spans="1:9">
      <c r="A105" s="118"/>
      <c r="B105" s="119"/>
      <c r="C105" s="86" t="str">
        <f t="shared" si="3"/>
        <v/>
      </c>
      <c r="D105" s="84"/>
      <c r="E105" s="85"/>
      <c r="F105" s="86" t="str">
        <f t="shared" si="4"/>
        <v/>
      </c>
      <c r="G105" s="84"/>
      <c r="H105" s="85"/>
      <c r="I105" s="86" t="str">
        <f t="shared" si="5"/>
        <v/>
      </c>
    </row>
    <row r="106" spans="1:9">
      <c r="A106" s="118"/>
      <c r="B106" s="119"/>
      <c r="C106" s="86" t="str">
        <f t="shared" si="3"/>
        <v/>
      </c>
      <c r="D106" s="84"/>
      <c r="E106" s="85"/>
      <c r="F106" s="86" t="str">
        <f t="shared" si="4"/>
        <v/>
      </c>
      <c r="G106" s="84"/>
      <c r="H106" s="85"/>
      <c r="I106" s="86" t="str">
        <f t="shared" si="5"/>
        <v/>
      </c>
    </row>
    <row r="107" spans="1:9">
      <c r="A107" s="118"/>
      <c r="B107" s="119"/>
      <c r="C107" s="86" t="str">
        <f t="shared" si="3"/>
        <v/>
      </c>
      <c r="D107" s="84"/>
      <c r="E107" s="85"/>
      <c r="F107" s="86" t="str">
        <f t="shared" si="4"/>
        <v/>
      </c>
      <c r="G107" s="84"/>
      <c r="H107" s="85"/>
      <c r="I107" s="86" t="str">
        <f t="shared" si="5"/>
        <v/>
      </c>
    </row>
    <row r="108" spans="1:9">
      <c r="A108" s="118"/>
      <c r="B108" s="119"/>
      <c r="C108" s="86" t="str">
        <f t="shared" si="3"/>
        <v/>
      </c>
      <c r="D108" s="84"/>
      <c r="E108" s="85"/>
      <c r="F108" s="86" t="str">
        <f t="shared" si="4"/>
        <v/>
      </c>
      <c r="G108" s="84"/>
      <c r="H108" s="85"/>
      <c r="I108" s="86" t="str">
        <f t="shared" si="5"/>
        <v/>
      </c>
    </row>
    <row r="109" spans="1:9">
      <c r="A109" s="118"/>
      <c r="B109" s="120"/>
      <c r="C109" s="86" t="str">
        <f t="shared" si="3"/>
        <v/>
      </c>
      <c r="D109" s="84"/>
      <c r="E109" s="85"/>
      <c r="F109" s="86" t="str">
        <f t="shared" si="4"/>
        <v/>
      </c>
      <c r="G109" s="84"/>
      <c r="H109" s="85"/>
      <c r="I109" s="86" t="str">
        <f t="shared" si="5"/>
        <v/>
      </c>
    </row>
    <row r="110" spans="1:9">
      <c r="A110" s="118"/>
      <c r="B110" s="119"/>
      <c r="C110" s="86" t="str">
        <f t="shared" si="3"/>
        <v/>
      </c>
      <c r="D110" s="84"/>
      <c r="E110" s="85"/>
      <c r="F110" s="86" t="str">
        <f t="shared" si="4"/>
        <v/>
      </c>
      <c r="G110" s="84"/>
      <c r="H110" s="85"/>
      <c r="I110" s="86" t="str">
        <f t="shared" si="5"/>
        <v/>
      </c>
    </row>
    <row r="111" spans="1:9">
      <c r="A111" s="118"/>
      <c r="B111" s="119"/>
      <c r="C111" s="86" t="str">
        <f t="shared" si="3"/>
        <v/>
      </c>
      <c r="D111" s="84"/>
      <c r="E111" s="85"/>
      <c r="F111" s="86" t="str">
        <f t="shared" si="4"/>
        <v/>
      </c>
      <c r="G111" s="84"/>
      <c r="H111" s="85"/>
      <c r="I111" s="86" t="str">
        <f t="shared" si="5"/>
        <v/>
      </c>
    </row>
    <row r="112" spans="1:9">
      <c r="A112" s="118"/>
      <c r="B112" s="119"/>
      <c r="C112" s="86" t="str">
        <f t="shared" si="3"/>
        <v/>
      </c>
      <c r="D112" s="84"/>
      <c r="E112" s="85"/>
      <c r="F112" s="86" t="str">
        <f t="shared" si="4"/>
        <v/>
      </c>
      <c r="G112" s="84"/>
      <c r="H112" s="85"/>
      <c r="I112" s="86" t="str">
        <f t="shared" si="5"/>
        <v/>
      </c>
    </row>
    <row r="113" spans="1:9">
      <c r="A113" s="118"/>
      <c r="B113" s="119"/>
      <c r="C113" s="86" t="str">
        <f t="shared" si="3"/>
        <v/>
      </c>
      <c r="D113" s="84"/>
      <c r="E113" s="85"/>
      <c r="F113" s="86" t="str">
        <f t="shared" si="4"/>
        <v/>
      </c>
      <c r="G113" s="84"/>
      <c r="H113" s="85"/>
      <c r="I113" s="86" t="str">
        <f t="shared" si="5"/>
        <v/>
      </c>
    </row>
    <row r="114" spans="1:9">
      <c r="A114" s="118"/>
      <c r="B114" s="119"/>
      <c r="C114" s="86" t="str">
        <f t="shared" si="3"/>
        <v/>
      </c>
      <c r="D114" s="84"/>
      <c r="E114" s="85"/>
      <c r="F114" s="86" t="str">
        <f t="shared" si="4"/>
        <v/>
      </c>
      <c r="G114" s="84"/>
      <c r="H114" s="85"/>
      <c r="I114" s="86" t="str">
        <f t="shared" si="5"/>
        <v/>
      </c>
    </row>
    <row r="115" spans="1:9">
      <c r="A115" s="118"/>
      <c r="B115" s="119"/>
      <c r="C115" s="86" t="str">
        <f t="shared" si="3"/>
        <v/>
      </c>
      <c r="D115" s="84"/>
      <c r="E115" s="85"/>
      <c r="F115" s="86" t="str">
        <f t="shared" si="4"/>
        <v/>
      </c>
      <c r="G115" s="84"/>
      <c r="H115" s="85"/>
      <c r="I115" s="86" t="str">
        <f t="shared" si="5"/>
        <v/>
      </c>
    </row>
    <row r="116" spans="1:9">
      <c r="A116" s="118"/>
      <c r="B116" s="119"/>
      <c r="C116" s="86" t="str">
        <f t="shared" si="3"/>
        <v/>
      </c>
      <c r="D116" s="84"/>
      <c r="E116" s="85"/>
      <c r="F116" s="86" t="str">
        <f t="shared" si="4"/>
        <v/>
      </c>
      <c r="G116" s="84"/>
      <c r="H116" s="85"/>
      <c r="I116" s="86" t="str">
        <f t="shared" si="5"/>
        <v/>
      </c>
    </row>
    <row r="117" spans="1:9">
      <c r="A117" s="118"/>
      <c r="B117" s="119"/>
      <c r="C117" s="86" t="str">
        <f t="shared" si="3"/>
        <v/>
      </c>
      <c r="D117" s="84"/>
      <c r="E117" s="85"/>
      <c r="F117" s="86" t="str">
        <f t="shared" si="4"/>
        <v/>
      </c>
      <c r="G117" s="84"/>
      <c r="H117" s="85"/>
      <c r="I117" s="86" t="str">
        <f t="shared" si="5"/>
        <v/>
      </c>
    </row>
    <row r="118" spans="1:9">
      <c r="A118" s="118"/>
      <c r="B118" s="119"/>
      <c r="C118" s="86" t="str">
        <f t="shared" si="3"/>
        <v/>
      </c>
      <c r="D118" s="84"/>
      <c r="E118" s="85"/>
      <c r="F118" s="86" t="str">
        <f t="shared" si="4"/>
        <v/>
      </c>
      <c r="G118" s="84"/>
      <c r="H118" s="85"/>
      <c r="I118" s="86" t="str">
        <f t="shared" si="5"/>
        <v/>
      </c>
    </row>
    <row r="119" spans="1:9">
      <c r="A119" s="118"/>
      <c r="B119" s="119"/>
      <c r="C119" s="86" t="str">
        <f t="shared" ref="C119:C182" si="6">IF(B119&gt;0,TEXT(B119,"(aaa)"),"")</f>
        <v/>
      </c>
      <c r="D119" s="84"/>
      <c r="E119" s="85"/>
      <c r="F119" s="86" t="str">
        <f t="shared" ref="F119:F182" si="7">IF(E119&gt;0,TEXT(E119,"(aaa)"),"")</f>
        <v/>
      </c>
      <c r="G119" s="84"/>
      <c r="H119" s="85"/>
      <c r="I119" s="86" t="str">
        <f t="shared" ref="I119:I182" si="8">IF(H119&gt;0,TEXT(H119,"(aaa)"),"")</f>
        <v/>
      </c>
    </row>
    <row r="120" spans="1:9">
      <c r="A120" s="118"/>
      <c r="B120" s="119"/>
      <c r="C120" s="86" t="str">
        <f t="shared" si="6"/>
        <v/>
      </c>
      <c r="D120" s="84"/>
      <c r="E120" s="85"/>
      <c r="F120" s="86" t="str">
        <f t="shared" si="7"/>
        <v/>
      </c>
      <c r="G120" s="84"/>
      <c r="H120" s="85"/>
      <c r="I120" s="86" t="str">
        <f t="shared" si="8"/>
        <v/>
      </c>
    </row>
    <row r="121" spans="1:9">
      <c r="A121" s="118"/>
      <c r="B121" s="119"/>
      <c r="C121" s="86" t="str">
        <f t="shared" si="6"/>
        <v/>
      </c>
      <c r="D121" s="84"/>
      <c r="E121" s="85"/>
      <c r="F121" s="86" t="str">
        <f t="shared" si="7"/>
        <v/>
      </c>
      <c r="G121" s="84"/>
      <c r="H121" s="85"/>
      <c r="I121" s="86" t="str">
        <f t="shared" si="8"/>
        <v/>
      </c>
    </row>
    <row r="122" spans="1:9">
      <c r="A122" s="118"/>
      <c r="B122" s="119"/>
      <c r="C122" s="86" t="str">
        <f t="shared" si="6"/>
        <v/>
      </c>
      <c r="D122" s="84"/>
      <c r="E122" s="85"/>
      <c r="F122" s="86" t="str">
        <f t="shared" si="7"/>
        <v/>
      </c>
      <c r="G122" s="84"/>
      <c r="H122" s="85"/>
      <c r="I122" s="86" t="str">
        <f t="shared" si="8"/>
        <v/>
      </c>
    </row>
    <row r="123" spans="1:9">
      <c r="A123" s="118"/>
      <c r="B123" s="119"/>
      <c r="C123" s="86" t="str">
        <f t="shared" si="6"/>
        <v/>
      </c>
      <c r="D123" s="84"/>
      <c r="E123" s="85"/>
      <c r="F123" s="86" t="str">
        <f t="shared" si="7"/>
        <v/>
      </c>
      <c r="G123" s="84"/>
      <c r="H123" s="85"/>
      <c r="I123" s="86" t="str">
        <f t="shared" si="8"/>
        <v/>
      </c>
    </row>
    <row r="124" spans="1:9">
      <c r="A124" s="118"/>
      <c r="B124" s="119"/>
      <c r="C124" s="86" t="str">
        <f t="shared" si="6"/>
        <v/>
      </c>
      <c r="D124" s="84"/>
      <c r="E124" s="85"/>
      <c r="F124" s="86" t="str">
        <f t="shared" si="7"/>
        <v/>
      </c>
      <c r="G124" s="84"/>
      <c r="H124" s="85"/>
      <c r="I124" s="86" t="str">
        <f t="shared" si="8"/>
        <v/>
      </c>
    </row>
    <row r="125" spans="1:9">
      <c r="A125" s="118"/>
      <c r="B125" s="119"/>
      <c r="C125" s="86" t="str">
        <f t="shared" si="6"/>
        <v/>
      </c>
      <c r="D125" s="84"/>
      <c r="E125" s="85"/>
      <c r="F125" s="86" t="str">
        <f t="shared" si="7"/>
        <v/>
      </c>
      <c r="G125" s="84"/>
      <c r="H125" s="85"/>
      <c r="I125" s="86" t="str">
        <f t="shared" si="8"/>
        <v/>
      </c>
    </row>
    <row r="126" spans="1:9">
      <c r="A126" s="118"/>
      <c r="B126" s="119"/>
      <c r="C126" s="86" t="str">
        <f t="shared" si="6"/>
        <v/>
      </c>
      <c r="D126" s="84"/>
      <c r="E126" s="85"/>
      <c r="F126" s="86" t="str">
        <f t="shared" si="7"/>
        <v/>
      </c>
      <c r="G126" s="84"/>
      <c r="H126" s="85"/>
      <c r="I126" s="86" t="str">
        <f t="shared" si="8"/>
        <v/>
      </c>
    </row>
    <row r="127" spans="1:9">
      <c r="A127" s="118"/>
      <c r="B127" s="119"/>
      <c r="C127" s="86" t="str">
        <f t="shared" si="6"/>
        <v/>
      </c>
      <c r="D127" s="84"/>
      <c r="E127" s="85"/>
      <c r="F127" s="86" t="str">
        <f t="shared" si="7"/>
        <v/>
      </c>
      <c r="G127" s="84"/>
      <c r="H127" s="85"/>
      <c r="I127" s="86" t="str">
        <f t="shared" si="8"/>
        <v/>
      </c>
    </row>
    <row r="128" spans="1:9">
      <c r="A128" s="118"/>
      <c r="B128" s="119"/>
      <c r="C128" s="86" t="str">
        <f t="shared" si="6"/>
        <v/>
      </c>
      <c r="D128" s="84"/>
      <c r="E128" s="85"/>
      <c r="F128" s="86" t="str">
        <f t="shared" si="7"/>
        <v/>
      </c>
      <c r="G128" s="84"/>
      <c r="H128" s="85"/>
      <c r="I128" s="86" t="str">
        <f t="shared" si="8"/>
        <v/>
      </c>
    </row>
    <row r="129" spans="1:9">
      <c r="A129" s="118"/>
      <c r="B129" s="119"/>
      <c r="C129" s="86" t="str">
        <f t="shared" si="6"/>
        <v/>
      </c>
      <c r="D129" s="84"/>
      <c r="E129" s="85"/>
      <c r="F129" s="86" t="str">
        <f t="shared" si="7"/>
        <v/>
      </c>
      <c r="G129" s="84"/>
      <c r="H129" s="85"/>
      <c r="I129" s="86" t="str">
        <f t="shared" si="8"/>
        <v/>
      </c>
    </row>
    <row r="130" spans="1:9">
      <c r="A130" s="118"/>
      <c r="B130" s="119"/>
      <c r="C130" s="86" t="str">
        <f t="shared" si="6"/>
        <v/>
      </c>
      <c r="D130" s="84"/>
      <c r="E130" s="85"/>
      <c r="F130" s="86" t="str">
        <f t="shared" si="7"/>
        <v/>
      </c>
      <c r="G130" s="84"/>
      <c r="H130" s="85"/>
      <c r="I130" s="86" t="str">
        <f t="shared" si="8"/>
        <v/>
      </c>
    </row>
    <row r="131" spans="1:9">
      <c r="A131" s="118"/>
      <c r="B131" s="119"/>
      <c r="C131" s="86" t="str">
        <f t="shared" si="6"/>
        <v/>
      </c>
      <c r="D131" s="84"/>
      <c r="E131" s="85"/>
      <c r="F131" s="86" t="str">
        <f t="shared" si="7"/>
        <v/>
      </c>
      <c r="G131" s="84"/>
      <c r="H131" s="85"/>
      <c r="I131" s="86" t="str">
        <f t="shared" si="8"/>
        <v/>
      </c>
    </row>
    <row r="132" spans="1:9">
      <c r="A132" s="118"/>
      <c r="B132" s="119"/>
      <c r="C132" s="86" t="str">
        <f t="shared" si="6"/>
        <v/>
      </c>
      <c r="D132" s="84"/>
      <c r="E132" s="85"/>
      <c r="F132" s="86" t="str">
        <f t="shared" si="7"/>
        <v/>
      </c>
      <c r="G132" s="84"/>
      <c r="H132" s="85"/>
      <c r="I132" s="86" t="str">
        <f t="shared" si="8"/>
        <v/>
      </c>
    </row>
    <row r="133" spans="1:9">
      <c r="A133" s="118"/>
      <c r="B133" s="119"/>
      <c r="C133" s="86" t="str">
        <f t="shared" si="6"/>
        <v/>
      </c>
      <c r="D133" s="84"/>
      <c r="E133" s="85"/>
      <c r="F133" s="86" t="str">
        <f t="shared" si="7"/>
        <v/>
      </c>
      <c r="G133" s="84"/>
      <c r="H133" s="85"/>
      <c r="I133" s="86" t="str">
        <f t="shared" si="8"/>
        <v/>
      </c>
    </row>
    <row r="134" spans="1:9">
      <c r="A134" s="118"/>
      <c r="B134" s="119"/>
      <c r="C134" s="86" t="str">
        <f t="shared" si="6"/>
        <v/>
      </c>
      <c r="D134" s="84"/>
      <c r="E134" s="85"/>
      <c r="F134" s="86" t="str">
        <f t="shared" si="7"/>
        <v/>
      </c>
      <c r="G134" s="84"/>
      <c r="H134" s="85"/>
      <c r="I134" s="86" t="str">
        <f t="shared" si="8"/>
        <v/>
      </c>
    </row>
    <row r="135" spans="1:9">
      <c r="A135" s="118"/>
      <c r="B135" s="119"/>
      <c r="C135" s="86" t="str">
        <f t="shared" si="6"/>
        <v/>
      </c>
      <c r="D135" s="84"/>
      <c r="E135" s="85"/>
      <c r="F135" s="86" t="str">
        <f t="shared" si="7"/>
        <v/>
      </c>
      <c r="G135" s="84"/>
      <c r="H135" s="85"/>
      <c r="I135" s="86" t="str">
        <f t="shared" si="8"/>
        <v/>
      </c>
    </row>
    <row r="136" spans="1:9">
      <c r="A136" s="118"/>
      <c r="B136" s="119"/>
      <c r="C136" s="86" t="str">
        <f t="shared" si="6"/>
        <v/>
      </c>
      <c r="D136" s="84"/>
      <c r="E136" s="85"/>
      <c r="F136" s="86" t="str">
        <f t="shared" si="7"/>
        <v/>
      </c>
      <c r="G136" s="84"/>
      <c r="H136" s="85"/>
      <c r="I136" s="86" t="str">
        <f t="shared" si="8"/>
        <v/>
      </c>
    </row>
    <row r="137" spans="1:9">
      <c r="A137" s="118"/>
      <c r="B137" s="119"/>
      <c r="C137" s="86" t="str">
        <f t="shared" si="6"/>
        <v/>
      </c>
      <c r="D137" s="84"/>
      <c r="E137" s="85"/>
      <c r="F137" s="86" t="str">
        <f t="shared" si="7"/>
        <v/>
      </c>
      <c r="G137" s="84"/>
      <c r="H137" s="85"/>
      <c r="I137" s="86" t="str">
        <f t="shared" si="8"/>
        <v/>
      </c>
    </row>
    <row r="138" spans="1:9">
      <c r="A138" s="118"/>
      <c r="B138" s="119"/>
      <c r="C138" s="86" t="str">
        <f t="shared" si="6"/>
        <v/>
      </c>
      <c r="D138" s="84"/>
      <c r="E138" s="85"/>
      <c r="F138" s="86" t="str">
        <f t="shared" si="7"/>
        <v/>
      </c>
      <c r="G138" s="84"/>
      <c r="H138" s="85"/>
      <c r="I138" s="86" t="str">
        <f t="shared" si="8"/>
        <v/>
      </c>
    </row>
    <row r="139" spans="1:9">
      <c r="A139" s="118"/>
      <c r="B139" s="119"/>
      <c r="C139" s="86" t="str">
        <f t="shared" si="6"/>
        <v/>
      </c>
      <c r="D139" s="84"/>
      <c r="E139" s="85"/>
      <c r="F139" s="86" t="str">
        <f t="shared" si="7"/>
        <v/>
      </c>
      <c r="G139" s="84"/>
      <c r="H139" s="85"/>
      <c r="I139" s="86" t="str">
        <f t="shared" si="8"/>
        <v/>
      </c>
    </row>
    <row r="140" spans="1:9">
      <c r="A140" s="118"/>
      <c r="B140" s="119"/>
      <c r="C140" s="86" t="str">
        <f t="shared" si="6"/>
        <v/>
      </c>
      <c r="D140" s="84"/>
      <c r="E140" s="85"/>
      <c r="F140" s="86" t="str">
        <f t="shared" si="7"/>
        <v/>
      </c>
      <c r="G140" s="84"/>
      <c r="H140" s="85"/>
      <c r="I140" s="86" t="str">
        <f t="shared" si="8"/>
        <v/>
      </c>
    </row>
    <row r="141" spans="1:9">
      <c r="A141" s="118"/>
      <c r="B141" s="119"/>
      <c r="C141" s="86" t="str">
        <f t="shared" si="6"/>
        <v/>
      </c>
      <c r="D141" s="84"/>
      <c r="E141" s="85"/>
      <c r="F141" s="86" t="str">
        <f t="shared" si="7"/>
        <v/>
      </c>
      <c r="G141" s="84"/>
      <c r="H141" s="85"/>
      <c r="I141" s="86" t="str">
        <f t="shared" si="8"/>
        <v/>
      </c>
    </row>
    <row r="142" spans="1:9">
      <c r="A142" s="118"/>
      <c r="B142" s="119"/>
      <c r="C142" s="86" t="str">
        <f t="shared" si="6"/>
        <v/>
      </c>
      <c r="D142" s="84"/>
      <c r="E142" s="85"/>
      <c r="F142" s="86" t="str">
        <f t="shared" si="7"/>
        <v/>
      </c>
      <c r="G142" s="84"/>
      <c r="H142" s="85"/>
      <c r="I142" s="86" t="str">
        <f t="shared" si="8"/>
        <v/>
      </c>
    </row>
    <row r="143" spans="1:9">
      <c r="A143" s="118"/>
      <c r="B143" s="119"/>
      <c r="C143" s="86" t="str">
        <f t="shared" si="6"/>
        <v/>
      </c>
      <c r="D143" s="84"/>
      <c r="E143" s="85"/>
      <c r="F143" s="86" t="str">
        <f t="shared" si="7"/>
        <v/>
      </c>
      <c r="G143" s="84"/>
      <c r="H143" s="85"/>
      <c r="I143" s="86" t="str">
        <f t="shared" si="8"/>
        <v/>
      </c>
    </row>
    <row r="144" spans="1:9">
      <c r="A144" s="118"/>
      <c r="B144" s="119"/>
      <c r="C144" s="86" t="str">
        <f t="shared" si="6"/>
        <v/>
      </c>
      <c r="D144" s="84"/>
      <c r="E144" s="85"/>
      <c r="F144" s="86" t="str">
        <f t="shared" si="7"/>
        <v/>
      </c>
      <c r="G144" s="84"/>
      <c r="H144" s="85"/>
      <c r="I144" s="86" t="str">
        <f t="shared" si="8"/>
        <v/>
      </c>
    </row>
    <row r="145" spans="1:9">
      <c r="A145" s="118"/>
      <c r="B145" s="119"/>
      <c r="C145" s="86" t="str">
        <f t="shared" si="6"/>
        <v/>
      </c>
      <c r="D145" s="84"/>
      <c r="E145" s="85"/>
      <c r="F145" s="86" t="str">
        <f t="shared" si="7"/>
        <v/>
      </c>
      <c r="G145" s="84"/>
      <c r="H145" s="85"/>
      <c r="I145" s="86" t="str">
        <f t="shared" si="8"/>
        <v/>
      </c>
    </row>
    <row r="146" spans="1:9">
      <c r="A146" s="118"/>
      <c r="B146" s="119"/>
      <c r="C146" s="86" t="str">
        <f t="shared" si="6"/>
        <v/>
      </c>
      <c r="D146" s="84"/>
      <c r="E146" s="85"/>
      <c r="F146" s="86" t="str">
        <f t="shared" si="7"/>
        <v/>
      </c>
      <c r="G146" s="84"/>
      <c r="H146" s="85"/>
      <c r="I146" s="86" t="str">
        <f t="shared" si="8"/>
        <v/>
      </c>
    </row>
    <row r="147" spans="1:9">
      <c r="A147" s="118"/>
      <c r="B147" s="119"/>
      <c r="C147" s="86" t="str">
        <f t="shared" si="6"/>
        <v/>
      </c>
      <c r="D147" s="84"/>
      <c r="E147" s="85"/>
      <c r="F147" s="86" t="str">
        <f t="shared" si="7"/>
        <v/>
      </c>
      <c r="G147" s="84"/>
      <c r="H147" s="85"/>
      <c r="I147" s="86" t="str">
        <f t="shared" si="8"/>
        <v/>
      </c>
    </row>
    <row r="148" spans="1:9">
      <c r="A148" s="118"/>
      <c r="B148" s="119"/>
      <c r="C148" s="86" t="str">
        <f t="shared" si="6"/>
        <v/>
      </c>
      <c r="D148" s="84"/>
      <c r="E148" s="85"/>
      <c r="F148" s="86" t="str">
        <f t="shared" si="7"/>
        <v/>
      </c>
      <c r="G148" s="84"/>
      <c r="H148" s="85"/>
      <c r="I148" s="86" t="str">
        <f t="shared" si="8"/>
        <v/>
      </c>
    </row>
    <row r="149" spans="1:9">
      <c r="A149" s="118"/>
      <c r="B149" s="119"/>
      <c r="C149" s="86" t="str">
        <f t="shared" si="6"/>
        <v/>
      </c>
      <c r="D149" s="84"/>
      <c r="E149" s="85"/>
      <c r="F149" s="86" t="str">
        <f t="shared" si="7"/>
        <v/>
      </c>
      <c r="G149" s="84"/>
      <c r="H149" s="85"/>
      <c r="I149" s="86" t="str">
        <f t="shared" si="8"/>
        <v/>
      </c>
    </row>
    <row r="150" spans="1:9">
      <c r="A150" s="118"/>
      <c r="B150" s="119"/>
      <c r="C150" s="86" t="str">
        <f t="shared" si="6"/>
        <v/>
      </c>
      <c r="D150" s="84"/>
      <c r="E150" s="85"/>
      <c r="F150" s="86" t="str">
        <f t="shared" si="7"/>
        <v/>
      </c>
      <c r="G150" s="84"/>
      <c r="H150" s="85"/>
      <c r="I150" s="86" t="str">
        <f t="shared" si="8"/>
        <v/>
      </c>
    </row>
    <row r="151" spans="1:9">
      <c r="A151" s="118"/>
      <c r="B151" s="119"/>
      <c r="C151" s="86" t="str">
        <f t="shared" si="6"/>
        <v/>
      </c>
      <c r="D151" s="84"/>
      <c r="E151" s="85"/>
      <c r="F151" s="86" t="str">
        <f t="shared" si="7"/>
        <v/>
      </c>
      <c r="G151" s="84"/>
      <c r="H151" s="85"/>
      <c r="I151" s="86" t="str">
        <f t="shared" si="8"/>
        <v/>
      </c>
    </row>
    <row r="152" spans="1:9">
      <c r="A152" s="118"/>
      <c r="B152" s="119"/>
      <c r="C152" s="86" t="str">
        <f t="shared" si="6"/>
        <v/>
      </c>
      <c r="D152" s="84"/>
      <c r="E152" s="85"/>
      <c r="F152" s="86" t="str">
        <f t="shared" si="7"/>
        <v/>
      </c>
      <c r="G152" s="84"/>
      <c r="H152" s="85"/>
      <c r="I152" s="86" t="str">
        <f t="shared" si="8"/>
        <v/>
      </c>
    </row>
    <row r="153" spans="1:9">
      <c r="A153" s="118"/>
      <c r="B153" s="119"/>
      <c r="C153" s="86" t="str">
        <f t="shared" si="6"/>
        <v/>
      </c>
      <c r="D153" s="84"/>
      <c r="E153" s="85"/>
      <c r="F153" s="86" t="str">
        <f t="shared" si="7"/>
        <v/>
      </c>
      <c r="G153" s="84"/>
      <c r="H153" s="85"/>
      <c r="I153" s="86" t="str">
        <f t="shared" si="8"/>
        <v/>
      </c>
    </row>
    <row r="154" spans="1:9">
      <c r="A154" s="118"/>
      <c r="B154" s="119"/>
      <c r="C154" s="86" t="str">
        <f t="shared" si="6"/>
        <v/>
      </c>
      <c r="D154" s="84"/>
      <c r="E154" s="85"/>
      <c r="F154" s="86" t="str">
        <f t="shared" si="7"/>
        <v/>
      </c>
      <c r="G154" s="84"/>
      <c r="H154" s="85"/>
      <c r="I154" s="86" t="str">
        <f t="shared" si="8"/>
        <v/>
      </c>
    </row>
    <row r="155" spans="1:9">
      <c r="A155" s="118"/>
      <c r="B155" s="119"/>
      <c r="C155" s="86" t="str">
        <f t="shared" si="6"/>
        <v/>
      </c>
      <c r="D155" s="84"/>
      <c r="E155" s="85"/>
      <c r="F155" s="86" t="str">
        <f t="shared" si="7"/>
        <v/>
      </c>
      <c r="G155" s="84"/>
      <c r="H155" s="85"/>
      <c r="I155" s="86" t="str">
        <f t="shared" si="8"/>
        <v/>
      </c>
    </row>
    <row r="156" spans="1:9">
      <c r="A156" s="118"/>
      <c r="B156" s="119"/>
      <c r="C156" s="86" t="str">
        <f t="shared" si="6"/>
        <v/>
      </c>
      <c r="D156" s="84"/>
      <c r="E156" s="85"/>
      <c r="F156" s="86" t="str">
        <f t="shared" si="7"/>
        <v/>
      </c>
      <c r="G156" s="84"/>
      <c r="H156" s="85"/>
      <c r="I156" s="86" t="str">
        <f t="shared" si="8"/>
        <v/>
      </c>
    </row>
    <row r="157" spans="1:9">
      <c r="A157" s="118"/>
      <c r="B157" s="119"/>
      <c r="C157" s="86" t="str">
        <f t="shared" si="6"/>
        <v/>
      </c>
      <c r="D157" s="84"/>
      <c r="E157" s="85"/>
      <c r="F157" s="86" t="str">
        <f t="shared" si="7"/>
        <v/>
      </c>
      <c r="G157" s="84"/>
      <c r="H157" s="85"/>
      <c r="I157" s="86" t="str">
        <f t="shared" si="8"/>
        <v/>
      </c>
    </row>
    <row r="158" spans="1:9">
      <c r="A158" s="118"/>
      <c r="B158" s="119"/>
      <c r="C158" s="86" t="str">
        <f t="shared" si="6"/>
        <v/>
      </c>
      <c r="D158" s="84"/>
      <c r="E158" s="85"/>
      <c r="F158" s="86" t="str">
        <f t="shared" si="7"/>
        <v/>
      </c>
      <c r="G158" s="84"/>
      <c r="H158" s="85"/>
      <c r="I158" s="86" t="str">
        <f t="shared" si="8"/>
        <v/>
      </c>
    </row>
    <row r="159" spans="1:9">
      <c r="A159" s="118"/>
      <c r="B159" s="119"/>
      <c r="C159" s="86" t="str">
        <f t="shared" si="6"/>
        <v/>
      </c>
      <c r="D159" s="84"/>
      <c r="E159" s="85"/>
      <c r="F159" s="86" t="str">
        <f t="shared" si="7"/>
        <v/>
      </c>
      <c r="G159" s="84"/>
      <c r="H159" s="85"/>
      <c r="I159" s="86" t="str">
        <f t="shared" si="8"/>
        <v/>
      </c>
    </row>
    <row r="160" spans="1:9">
      <c r="A160" s="118"/>
      <c r="B160" s="119"/>
      <c r="C160" s="86" t="str">
        <f t="shared" si="6"/>
        <v/>
      </c>
      <c r="D160" s="84"/>
      <c r="E160" s="85"/>
      <c r="F160" s="86" t="str">
        <f t="shared" si="7"/>
        <v/>
      </c>
      <c r="G160" s="84"/>
      <c r="H160" s="85"/>
      <c r="I160" s="86" t="str">
        <f t="shared" si="8"/>
        <v/>
      </c>
    </row>
    <row r="161" spans="1:9">
      <c r="A161" s="118"/>
      <c r="B161" s="119"/>
      <c r="C161" s="86" t="str">
        <f t="shared" si="6"/>
        <v/>
      </c>
      <c r="D161" s="84"/>
      <c r="E161" s="85"/>
      <c r="F161" s="86" t="str">
        <f t="shared" si="7"/>
        <v/>
      </c>
      <c r="G161" s="84"/>
      <c r="H161" s="85"/>
      <c r="I161" s="86" t="str">
        <f t="shared" si="8"/>
        <v/>
      </c>
    </row>
    <row r="162" spans="1:9">
      <c r="A162" s="118"/>
      <c r="B162" s="119"/>
      <c r="C162" s="86" t="str">
        <f t="shared" si="6"/>
        <v/>
      </c>
      <c r="D162" s="84"/>
      <c r="E162" s="85"/>
      <c r="F162" s="86" t="str">
        <f t="shared" si="7"/>
        <v/>
      </c>
      <c r="G162" s="84"/>
      <c r="H162" s="85"/>
      <c r="I162" s="86" t="str">
        <f t="shared" si="8"/>
        <v/>
      </c>
    </row>
    <row r="163" spans="1:9">
      <c r="A163" s="118"/>
      <c r="B163" s="119"/>
      <c r="C163" s="86" t="str">
        <f t="shared" si="6"/>
        <v/>
      </c>
      <c r="D163" s="84"/>
      <c r="E163" s="85"/>
      <c r="F163" s="86" t="str">
        <f t="shared" si="7"/>
        <v/>
      </c>
      <c r="G163" s="84"/>
      <c r="H163" s="85"/>
      <c r="I163" s="86" t="str">
        <f t="shared" si="8"/>
        <v/>
      </c>
    </row>
    <row r="164" spans="1:9">
      <c r="A164" s="118"/>
      <c r="B164" s="119"/>
      <c r="C164" s="86" t="str">
        <f t="shared" si="6"/>
        <v/>
      </c>
      <c r="D164" s="84"/>
      <c r="E164" s="85"/>
      <c r="F164" s="86" t="str">
        <f t="shared" si="7"/>
        <v/>
      </c>
      <c r="G164" s="84"/>
      <c r="H164" s="85"/>
      <c r="I164" s="86" t="str">
        <f t="shared" si="8"/>
        <v/>
      </c>
    </row>
    <row r="165" spans="1:9">
      <c r="A165" s="118"/>
      <c r="B165" s="119"/>
      <c r="C165" s="86" t="str">
        <f t="shared" si="6"/>
        <v/>
      </c>
      <c r="D165" s="84"/>
      <c r="E165" s="85"/>
      <c r="F165" s="86" t="str">
        <f t="shared" si="7"/>
        <v/>
      </c>
      <c r="G165" s="84"/>
      <c r="H165" s="85"/>
      <c r="I165" s="86" t="str">
        <f t="shared" si="8"/>
        <v/>
      </c>
    </row>
    <row r="166" spans="1:9">
      <c r="A166" s="118"/>
      <c r="B166" s="119"/>
      <c r="C166" s="86" t="str">
        <f t="shared" si="6"/>
        <v/>
      </c>
      <c r="D166" s="84"/>
      <c r="E166" s="85"/>
      <c r="F166" s="86" t="str">
        <f t="shared" si="7"/>
        <v/>
      </c>
      <c r="G166" s="84"/>
      <c r="H166" s="85"/>
      <c r="I166" s="86" t="str">
        <f t="shared" si="8"/>
        <v/>
      </c>
    </row>
    <row r="167" spans="1:9">
      <c r="A167" s="118"/>
      <c r="B167" s="119"/>
      <c r="C167" s="86" t="str">
        <f t="shared" si="6"/>
        <v/>
      </c>
      <c r="D167" s="84"/>
      <c r="E167" s="85"/>
      <c r="F167" s="86" t="str">
        <f t="shared" si="7"/>
        <v/>
      </c>
      <c r="G167" s="84"/>
      <c r="H167" s="85"/>
      <c r="I167" s="86" t="str">
        <f t="shared" si="8"/>
        <v/>
      </c>
    </row>
    <row r="168" spans="1:9">
      <c r="A168" s="118"/>
      <c r="B168" s="119"/>
      <c r="C168" s="86" t="str">
        <f t="shared" si="6"/>
        <v/>
      </c>
      <c r="D168" s="84"/>
      <c r="E168" s="85"/>
      <c r="F168" s="86" t="str">
        <f t="shared" si="7"/>
        <v/>
      </c>
      <c r="G168" s="84"/>
      <c r="H168" s="85"/>
      <c r="I168" s="86" t="str">
        <f t="shared" si="8"/>
        <v/>
      </c>
    </row>
    <row r="169" spans="1:9">
      <c r="A169" s="118"/>
      <c r="B169" s="119"/>
      <c r="C169" s="86" t="str">
        <f t="shared" si="6"/>
        <v/>
      </c>
      <c r="D169" s="84"/>
      <c r="E169" s="85"/>
      <c r="F169" s="86" t="str">
        <f t="shared" si="7"/>
        <v/>
      </c>
      <c r="G169" s="84"/>
      <c r="H169" s="85"/>
      <c r="I169" s="86" t="str">
        <f t="shared" si="8"/>
        <v/>
      </c>
    </row>
    <row r="170" spans="1:9">
      <c r="A170" s="118"/>
      <c r="B170" s="119"/>
      <c r="C170" s="86" t="str">
        <f t="shared" si="6"/>
        <v/>
      </c>
      <c r="D170" s="84"/>
      <c r="E170" s="85"/>
      <c r="F170" s="86" t="str">
        <f t="shared" si="7"/>
        <v/>
      </c>
      <c r="G170" s="84"/>
      <c r="H170" s="85"/>
      <c r="I170" s="86" t="str">
        <f t="shared" si="8"/>
        <v/>
      </c>
    </row>
    <row r="171" spans="1:9">
      <c r="A171" s="118"/>
      <c r="B171" s="119"/>
      <c r="C171" s="86" t="str">
        <f t="shared" si="6"/>
        <v/>
      </c>
      <c r="D171" s="84"/>
      <c r="E171" s="85"/>
      <c r="F171" s="86" t="str">
        <f t="shared" si="7"/>
        <v/>
      </c>
      <c r="G171" s="84"/>
      <c r="H171" s="85"/>
      <c r="I171" s="86" t="str">
        <f t="shared" si="8"/>
        <v/>
      </c>
    </row>
    <row r="172" spans="1:9">
      <c r="A172" s="118"/>
      <c r="B172" s="119"/>
      <c r="C172" s="86" t="str">
        <f t="shared" si="6"/>
        <v/>
      </c>
      <c r="D172" s="84"/>
      <c r="E172" s="85"/>
      <c r="F172" s="86" t="str">
        <f t="shared" si="7"/>
        <v/>
      </c>
      <c r="G172" s="84"/>
      <c r="H172" s="85"/>
      <c r="I172" s="86" t="str">
        <f t="shared" si="8"/>
        <v/>
      </c>
    </row>
    <row r="173" spans="1:9">
      <c r="A173" s="118"/>
      <c r="B173" s="119"/>
      <c r="C173" s="86" t="str">
        <f t="shared" si="6"/>
        <v/>
      </c>
      <c r="D173" s="84"/>
      <c r="E173" s="85"/>
      <c r="F173" s="86" t="str">
        <f t="shared" si="7"/>
        <v/>
      </c>
      <c r="G173" s="84"/>
      <c r="H173" s="85"/>
      <c r="I173" s="86" t="str">
        <f t="shared" si="8"/>
        <v/>
      </c>
    </row>
    <row r="174" spans="1:9">
      <c r="A174" s="118"/>
      <c r="B174" s="119"/>
      <c r="C174" s="86" t="str">
        <f t="shared" si="6"/>
        <v/>
      </c>
      <c r="D174" s="84"/>
      <c r="E174" s="85"/>
      <c r="F174" s="86" t="str">
        <f t="shared" si="7"/>
        <v/>
      </c>
      <c r="G174" s="84"/>
      <c r="H174" s="85"/>
      <c r="I174" s="86" t="str">
        <f t="shared" si="8"/>
        <v/>
      </c>
    </row>
    <row r="175" spans="1:9">
      <c r="A175" s="118"/>
      <c r="B175" s="119"/>
      <c r="C175" s="86" t="str">
        <f t="shared" si="6"/>
        <v/>
      </c>
      <c r="D175" s="84"/>
      <c r="E175" s="85"/>
      <c r="F175" s="86" t="str">
        <f t="shared" si="7"/>
        <v/>
      </c>
      <c r="G175" s="84"/>
      <c r="H175" s="85"/>
      <c r="I175" s="86" t="str">
        <f t="shared" si="8"/>
        <v/>
      </c>
    </row>
    <row r="176" spans="1:9">
      <c r="A176" s="118"/>
      <c r="B176" s="119"/>
      <c r="C176" s="86" t="str">
        <f t="shared" si="6"/>
        <v/>
      </c>
      <c r="D176" s="84"/>
      <c r="E176" s="85"/>
      <c r="F176" s="86" t="str">
        <f t="shared" si="7"/>
        <v/>
      </c>
      <c r="G176" s="84"/>
      <c r="H176" s="85"/>
      <c r="I176" s="86" t="str">
        <f t="shared" si="8"/>
        <v/>
      </c>
    </row>
    <row r="177" spans="1:9">
      <c r="A177" s="118"/>
      <c r="B177" s="119"/>
      <c r="C177" s="86" t="str">
        <f t="shared" si="6"/>
        <v/>
      </c>
      <c r="D177" s="84"/>
      <c r="E177" s="85"/>
      <c r="F177" s="86" t="str">
        <f t="shared" si="7"/>
        <v/>
      </c>
      <c r="G177" s="84"/>
      <c r="H177" s="85"/>
      <c r="I177" s="86" t="str">
        <f t="shared" si="8"/>
        <v/>
      </c>
    </row>
    <row r="178" spans="1:9">
      <c r="A178" s="118"/>
      <c r="B178" s="119"/>
      <c r="C178" s="86" t="str">
        <f t="shared" si="6"/>
        <v/>
      </c>
      <c r="D178" s="84"/>
      <c r="E178" s="85"/>
      <c r="F178" s="86" t="str">
        <f t="shared" si="7"/>
        <v/>
      </c>
      <c r="G178" s="84"/>
      <c r="H178" s="85"/>
      <c r="I178" s="86" t="str">
        <f t="shared" si="8"/>
        <v/>
      </c>
    </row>
    <row r="179" spans="1:9">
      <c r="A179" s="118"/>
      <c r="B179" s="119"/>
      <c r="C179" s="86" t="str">
        <f t="shared" si="6"/>
        <v/>
      </c>
      <c r="D179" s="84"/>
      <c r="E179" s="85"/>
      <c r="F179" s="86" t="str">
        <f t="shared" si="7"/>
        <v/>
      </c>
      <c r="G179" s="84"/>
      <c r="H179" s="85"/>
      <c r="I179" s="86" t="str">
        <f t="shared" si="8"/>
        <v/>
      </c>
    </row>
    <row r="180" spans="1:9">
      <c r="A180" s="118"/>
      <c r="B180" s="119"/>
      <c r="C180" s="86" t="str">
        <f t="shared" si="6"/>
        <v/>
      </c>
      <c r="D180" s="84"/>
      <c r="E180" s="85"/>
      <c r="F180" s="86" t="str">
        <f t="shared" si="7"/>
        <v/>
      </c>
      <c r="G180" s="84"/>
      <c r="H180" s="85"/>
      <c r="I180" s="86" t="str">
        <f t="shared" si="8"/>
        <v/>
      </c>
    </row>
    <row r="181" spans="1:9">
      <c r="A181" s="118"/>
      <c r="B181" s="119"/>
      <c r="C181" s="86" t="str">
        <f t="shared" si="6"/>
        <v/>
      </c>
      <c r="D181" s="84"/>
      <c r="E181" s="85"/>
      <c r="F181" s="86" t="str">
        <f t="shared" si="7"/>
        <v/>
      </c>
      <c r="G181" s="84"/>
      <c r="H181" s="85"/>
      <c r="I181" s="86" t="str">
        <f t="shared" si="8"/>
        <v/>
      </c>
    </row>
    <row r="182" spans="1:9">
      <c r="A182" s="118"/>
      <c r="B182" s="119"/>
      <c r="C182" s="86" t="str">
        <f t="shared" si="6"/>
        <v/>
      </c>
      <c r="D182" s="84"/>
      <c r="E182" s="85"/>
      <c r="F182" s="86" t="str">
        <f t="shared" si="7"/>
        <v/>
      </c>
      <c r="G182" s="84"/>
      <c r="H182" s="85"/>
      <c r="I182" s="86" t="str">
        <f t="shared" si="8"/>
        <v/>
      </c>
    </row>
    <row r="183" spans="1:9">
      <c r="A183" s="118"/>
      <c r="B183" s="119"/>
      <c r="C183" s="86" t="str">
        <f t="shared" ref="C183:C246" si="9">IF(B183&gt;0,TEXT(B183,"(aaa)"),"")</f>
        <v/>
      </c>
      <c r="D183" s="84"/>
      <c r="E183" s="85"/>
      <c r="F183" s="86" t="str">
        <f t="shared" ref="F183:F246" si="10">IF(E183&gt;0,TEXT(E183,"(aaa)"),"")</f>
        <v/>
      </c>
      <c r="G183" s="84"/>
      <c r="H183" s="85"/>
      <c r="I183" s="86" t="str">
        <f t="shared" ref="I183:I246" si="11">IF(H183&gt;0,TEXT(H183,"(aaa)"),"")</f>
        <v/>
      </c>
    </row>
    <row r="184" spans="1:9">
      <c r="A184" s="118"/>
      <c r="B184" s="119"/>
      <c r="C184" s="86" t="str">
        <f t="shared" si="9"/>
        <v/>
      </c>
      <c r="D184" s="84"/>
      <c r="E184" s="85"/>
      <c r="F184" s="86" t="str">
        <f t="shared" si="10"/>
        <v/>
      </c>
      <c r="G184" s="84"/>
      <c r="H184" s="85"/>
      <c r="I184" s="86" t="str">
        <f t="shared" si="11"/>
        <v/>
      </c>
    </row>
    <row r="185" spans="1:9">
      <c r="A185" s="118"/>
      <c r="B185" s="119"/>
      <c r="C185" s="86" t="str">
        <f t="shared" si="9"/>
        <v/>
      </c>
      <c r="D185" s="84"/>
      <c r="E185" s="85"/>
      <c r="F185" s="86" t="str">
        <f t="shared" si="10"/>
        <v/>
      </c>
      <c r="G185" s="84"/>
      <c r="H185" s="85"/>
      <c r="I185" s="86" t="str">
        <f t="shared" si="11"/>
        <v/>
      </c>
    </row>
    <row r="186" spans="1:9">
      <c r="A186" s="118"/>
      <c r="B186" s="119"/>
      <c r="C186" s="86" t="str">
        <f t="shared" si="9"/>
        <v/>
      </c>
      <c r="D186" s="84"/>
      <c r="E186" s="85"/>
      <c r="F186" s="86" t="str">
        <f t="shared" si="10"/>
        <v/>
      </c>
      <c r="G186" s="84"/>
      <c r="H186" s="85"/>
      <c r="I186" s="86" t="str">
        <f t="shared" si="11"/>
        <v/>
      </c>
    </row>
    <row r="187" spans="1:9">
      <c r="A187" s="118"/>
      <c r="B187" s="119"/>
      <c r="C187" s="86" t="str">
        <f t="shared" si="9"/>
        <v/>
      </c>
      <c r="D187" s="84"/>
      <c r="E187" s="85"/>
      <c r="F187" s="86" t="str">
        <f t="shared" si="10"/>
        <v/>
      </c>
      <c r="G187" s="84"/>
      <c r="H187" s="85"/>
      <c r="I187" s="86" t="str">
        <f t="shared" si="11"/>
        <v/>
      </c>
    </row>
    <row r="188" spans="1:9">
      <c r="A188" s="118"/>
      <c r="B188" s="119"/>
      <c r="C188" s="86" t="str">
        <f t="shared" si="9"/>
        <v/>
      </c>
      <c r="D188" s="84"/>
      <c r="E188" s="85"/>
      <c r="F188" s="86" t="str">
        <f t="shared" si="10"/>
        <v/>
      </c>
      <c r="G188" s="84"/>
      <c r="H188" s="85"/>
      <c r="I188" s="86" t="str">
        <f t="shared" si="11"/>
        <v/>
      </c>
    </row>
    <row r="189" spans="1:9">
      <c r="A189" s="118"/>
      <c r="B189" s="119"/>
      <c r="C189" s="86" t="str">
        <f t="shared" si="9"/>
        <v/>
      </c>
      <c r="D189" s="84"/>
      <c r="E189" s="85"/>
      <c r="F189" s="86" t="str">
        <f t="shared" si="10"/>
        <v/>
      </c>
      <c r="G189" s="84"/>
      <c r="H189" s="85"/>
      <c r="I189" s="86" t="str">
        <f t="shared" si="11"/>
        <v/>
      </c>
    </row>
    <row r="190" spans="1:9">
      <c r="A190" s="118"/>
      <c r="B190" s="119"/>
      <c r="C190" s="86" t="str">
        <f t="shared" si="9"/>
        <v/>
      </c>
      <c r="D190" s="84"/>
      <c r="E190" s="85"/>
      <c r="F190" s="86" t="str">
        <f t="shared" si="10"/>
        <v/>
      </c>
      <c r="G190" s="84"/>
      <c r="H190" s="85"/>
      <c r="I190" s="86" t="str">
        <f t="shared" si="11"/>
        <v/>
      </c>
    </row>
    <row r="191" spans="1:9">
      <c r="A191" s="118"/>
      <c r="B191" s="119"/>
      <c r="C191" s="86" t="str">
        <f t="shared" si="9"/>
        <v/>
      </c>
      <c r="D191" s="84"/>
      <c r="E191" s="85"/>
      <c r="F191" s="86" t="str">
        <f t="shared" si="10"/>
        <v/>
      </c>
      <c r="G191" s="84"/>
      <c r="H191" s="85"/>
      <c r="I191" s="86" t="str">
        <f t="shared" si="11"/>
        <v/>
      </c>
    </row>
    <row r="192" spans="1:9">
      <c r="A192" s="118"/>
      <c r="B192" s="119"/>
      <c r="C192" s="86" t="str">
        <f t="shared" si="9"/>
        <v/>
      </c>
      <c r="D192" s="84"/>
      <c r="E192" s="85"/>
      <c r="F192" s="86" t="str">
        <f t="shared" si="10"/>
        <v/>
      </c>
      <c r="G192" s="84"/>
      <c r="H192" s="85"/>
      <c r="I192" s="86" t="str">
        <f t="shared" si="11"/>
        <v/>
      </c>
    </row>
    <row r="193" spans="1:9">
      <c r="A193" s="118"/>
      <c r="B193" s="119"/>
      <c r="C193" s="86" t="str">
        <f t="shared" si="9"/>
        <v/>
      </c>
      <c r="D193" s="84"/>
      <c r="E193" s="85"/>
      <c r="F193" s="86" t="str">
        <f t="shared" si="10"/>
        <v/>
      </c>
      <c r="G193" s="84"/>
      <c r="H193" s="85"/>
      <c r="I193" s="86" t="str">
        <f t="shared" si="11"/>
        <v/>
      </c>
    </row>
    <row r="194" spans="1:9">
      <c r="A194" s="118"/>
      <c r="B194" s="119"/>
      <c r="C194" s="86" t="str">
        <f t="shared" si="9"/>
        <v/>
      </c>
      <c r="D194" s="84"/>
      <c r="E194" s="85"/>
      <c r="F194" s="86" t="str">
        <f t="shared" si="10"/>
        <v/>
      </c>
      <c r="G194" s="84"/>
      <c r="H194" s="85"/>
      <c r="I194" s="86" t="str">
        <f t="shared" si="11"/>
        <v/>
      </c>
    </row>
    <row r="195" spans="1:9">
      <c r="A195" s="118"/>
      <c r="B195" s="119"/>
      <c r="C195" s="86" t="str">
        <f t="shared" si="9"/>
        <v/>
      </c>
      <c r="D195" s="84"/>
      <c r="E195" s="85"/>
      <c r="F195" s="86" t="str">
        <f t="shared" si="10"/>
        <v/>
      </c>
      <c r="G195" s="84"/>
      <c r="H195" s="85"/>
      <c r="I195" s="86" t="str">
        <f t="shared" si="11"/>
        <v/>
      </c>
    </row>
    <row r="196" spans="1:9">
      <c r="A196" s="118"/>
      <c r="B196" s="119"/>
      <c r="C196" s="86" t="str">
        <f t="shared" si="9"/>
        <v/>
      </c>
      <c r="D196" s="84"/>
      <c r="E196" s="85"/>
      <c r="F196" s="86" t="str">
        <f t="shared" si="10"/>
        <v/>
      </c>
      <c r="G196" s="84"/>
      <c r="H196" s="85"/>
      <c r="I196" s="86" t="str">
        <f t="shared" si="11"/>
        <v/>
      </c>
    </row>
    <row r="197" spans="1:9">
      <c r="A197" s="118"/>
      <c r="B197" s="119"/>
      <c r="C197" s="86" t="str">
        <f t="shared" si="9"/>
        <v/>
      </c>
      <c r="D197" s="84"/>
      <c r="E197" s="85"/>
      <c r="F197" s="86" t="str">
        <f t="shared" si="10"/>
        <v/>
      </c>
      <c r="G197" s="84"/>
      <c r="H197" s="85"/>
      <c r="I197" s="86" t="str">
        <f t="shared" si="11"/>
        <v/>
      </c>
    </row>
    <row r="198" spans="1:9">
      <c r="A198" s="118"/>
      <c r="B198" s="119"/>
      <c r="C198" s="86" t="str">
        <f t="shared" si="9"/>
        <v/>
      </c>
      <c r="D198" s="84"/>
      <c r="E198" s="85"/>
      <c r="F198" s="86" t="str">
        <f t="shared" si="10"/>
        <v/>
      </c>
      <c r="G198" s="84"/>
      <c r="H198" s="85"/>
      <c r="I198" s="86" t="str">
        <f t="shared" si="11"/>
        <v/>
      </c>
    </row>
    <row r="199" spans="1:9">
      <c r="A199" s="118"/>
      <c r="B199" s="119"/>
      <c r="C199" s="86" t="str">
        <f t="shared" si="9"/>
        <v/>
      </c>
      <c r="D199" s="84"/>
      <c r="E199" s="85"/>
      <c r="F199" s="86" t="str">
        <f t="shared" si="10"/>
        <v/>
      </c>
      <c r="G199" s="84"/>
      <c r="H199" s="85"/>
      <c r="I199" s="86" t="str">
        <f t="shared" si="11"/>
        <v/>
      </c>
    </row>
    <row r="200" spans="1:9">
      <c r="A200" s="118"/>
      <c r="B200" s="119"/>
      <c r="C200" s="86" t="str">
        <f t="shared" si="9"/>
        <v/>
      </c>
      <c r="D200" s="84"/>
      <c r="E200" s="85"/>
      <c r="F200" s="86" t="str">
        <f t="shared" si="10"/>
        <v/>
      </c>
      <c r="G200" s="84"/>
      <c r="H200" s="85"/>
      <c r="I200" s="86" t="str">
        <f t="shared" si="11"/>
        <v/>
      </c>
    </row>
    <row r="201" spans="1:9">
      <c r="A201" s="118"/>
      <c r="B201" s="119"/>
      <c r="C201" s="86" t="str">
        <f t="shared" si="9"/>
        <v/>
      </c>
      <c r="D201" s="84"/>
      <c r="E201" s="85"/>
      <c r="F201" s="86" t="str">
        <f t="shared" si="10"/>
        <v/>
      </c>
      <c r="G201" s="84"/>
      <c r="H201" s="85"/>
      <c r="I201" s="86" t="str">
        <f t="shared" si="11"/>
        <v/>
      </c>
    </row>
    <row r="202" spans="1:9">
      <c r="A202" s="118"/>
      <c r="B202" s="119"/>
      <c r="C202" s="86" t="str">
        <f t="shared" si="9"/>
        <v/>
      </c>
      <c r="D202" s="84"/>
      <c r="E202" s="85"/>
      <c r="F202" s="86" t="str">
        <f t="shared" si="10"/>
        <v/>
      </c>
      <c r="G202" s="84"/>
      <c r="H202" s="85"/>
      <c r="I202" s="86" t="str">
        <f t="shared" si="11"/>
        <v/>
      </c>
    </row>
    <row r="203" spans="1:9">
      <c r="A203" s="118"/>
      <c r="B203" s="119"/>
      <c r="C203" s="86" t="str">
        <f t="shared" si="9"/>
        <v/>
      </c>
      <c r="D203" s="84"/>
      <c r="E203" s="85"/>
      <c r="F203" s="86" t="str">
        <f t="shared" si="10"/>
        <v/>
      </c>
      <c r="G203" s="84"/>
      <c r="H203" s="85"/>
      <c r="I203" s="86" t="str">
        <f t="shared" si="11"/>
        <v/>
      </c>
    </row>
    <row r="204" spans="1:9">
      <c r="A204" s="118"/>
      <c r="B204" s="119"/>
      <c r="C204" s="86" t="str">
        <f t="shared" si="9"/>
        <v/>
      </c>
      <c r="D204" s="84"/>
      <c r="E204" s="85"/>
      <c r="F204" s="86" t="str">
        <f t="shared" si="10"/>
        <v/>
      </c>
      <c r="G204" s="84"/>
      <c r="H204" s="85"/>
      <c r="I204" s="86" t="str">
        <f t="shared" si="11"/>
        <v/>
      </c>
    </row>
    <row r="205" spans="1:9">
      <c r="A205" s="118"/>
      <c r="B205" s="119"/>
      <c r="C205" s="86" t="str">
        <f t="shared" si="9"/>
        <v/>
      </c>
      <c r="D205" s="84"/>
      <c r="E205" s="85"/>
      <c r="F205" s="86" t="str">
        <f t="shared" si="10"/>
        <v/>
      </c>
      <c r="G205" s="84"/>
      <c r="H205" s="85"/>
      <c r="I205" s="86" t="str">
        <f t="shared" si="11"/>
        <v/>
      </c>
    </row>
    <row r="206" spans="1:9">
      <c r="A206" s="118"/>
      <c r="B206" s="119"/>
      <c r="C206" s="86" t="str">
        <f t="shared" si="9"/>
        <v/>
      </c>
      <c r="D206" s="84"/>
      <c r="E206" s="85"/>
      <c r="F206" s="86" t="str">
        <f t="shared" si="10"/>
        <v/>
      </c>
      <c r="G206" s="84"/>
      <c r="H206" s="85"/>
      <c r="I206" s="86" t="str">
        <f t="shared" si="11"/>
        <v/>
      </c>
    </row>
    <row r="207" spans="1:9">
      <c r="A207" s="118"/>
      <c r="B207" s="119"/>
      <c r="C207" s="86" t="str">
        <f t="shared" si="9"/>
        <v/>
      </c>
      <c r="D207" s="84"/>
      <c r="E207" s="85"/>
      <c r="F207" s="86" t="str">
        <f t="shared" si="10"/>
        <v/>
      </c>
      <c r="G207" s="84"/>
      <c r="H207" s="85"/>
      <c r="I207" s="86" t="str">
        <f t="shared" si="11"/>
        <v/>
      </c>
    </row>
    <row r="208" spans="1:9">
      <c r="A208" s="118"/>
      <c r="B208" s="119"/>
      <c r="C208" s="86" t="str">
        <f t="shared" si="9"/>
        <v/>
      </c>
      <c r="D208" s="84"/>
      <c r="E208" s="85"/>
      <c r="F208" s="86" t="str">
        <f t="shared" si="10"/>
        <v/>
      </c>
      <c r="G208" s="84"/>
      <c r="H208" s="85"/>
      <c r="I208" s="86" t="str">
        <f t="shared" si="11"/>
        <v/>
      </c>
    </row>
    <row r="209" spans="1:9">
      <c r="A209" s="118"/>
      <c r="B209" s="119"/>
      <c r="C209" s="86" t="str">
        <f t="shared" si="9"/>
        <v/>
      </c>
      <c r="D209" s="84"/>
      <c r="E209" s="85"/>
      <c r="F209" s="86" t="str">
        <f t="shared" si="10"/>
        <v/>
      </c>
      <c r="G209" s="84"/>
      <c r="H209" s="85"/>
      <c r="I209" s="86" t="str">
        <f t="shared" si="11"/>
        <v/>
      </c>
    </row>
    <row r="210" spans="1:9">
      <c r="A210" s="118"/>
      <c r="B210" s="119"/>
      <c r="C210" s="86" t="str">
        <f t="shared" si="9"/>
        <v/>
      </c>
      <c r="D210" s="84"/>
      <c r="E210" s="85"/>
      <c r="F210" s="86" t="str">
        <f t="shared" si="10"/>
        <v/>
      </c>
      <c r="G210" s="84"/>
      <c r="H210" s="85"/>
      <c r="I210" s="86" t="str">
        <f t="shared" si="11"/>
        <v/>
      </c>
    </row>
    <row r="211" spans="1:9">
      <c r="A211" s="118"/>
      <c r="B211" s="119"/>
      <c r="C211" s="86" t="str">
        <f t="shared" si="9"/>
        <v/>
      </c>
      <c r="D211" s="84"/>
      <c r="E211" s="85"/>
      <c r="F211" s="86" t="str">
        <f t="shared" si="10"/>
        <v/>
      </c>
      <c r="G211" s="84"/>
      <c r="H211" s="85"/>
      <c r="I211" s="86" t="str">
        <f t="shared" si="11"/>
        <v/>
      </c>
    </row>
    <row r="212" spans="1:9">
      <c r="A212" s="118"/>
      <c r="B212" s="119"/>
      <c r="C212" s="86" t="str">
        <f t="shared" si="9"/>
        <v/>
      </c>
      <c r="D212" s="84"/>
      <c r="E212" s="85"/>
      <c r="F212" s="86" t="str">
        <f t="shared" si="10"/>
        <v/>
      </c>
      <c r="G212" s="84"/>
      <c r="H212" s="85"/>
      <c r="I212" s="86" t="str">
        <f t="shared" si="11"/>
        <v/>
      </c>
    </row>
    <row r="213" spans="1:9">
      <c r="A213" s="118"/>
      <c r="B213" s="119"/>
      <c r="C213" s="86" t="str">
        <f t="shared" si="9"/>
        <v/>
      </c>
      <c r="D213" s="84"/>
      <c r="E213" s="85"/>
      <c r="F213" s="86" t="str">
        <f t="shared" si="10"/>
        <v/>
      </c>
      <c r="G213" s="84"/>
      <c r="H213" s="85"/>
      <c r="I213" s="86" t="str">
        <f t="shared" si="11"/>
        <v/>
      </c>
    </row>
    <row r="214" spans="1:9">
      <c r="A214" s="118"/>
      <c r="B214" s="119"/>
      <c r="C214" s="86" t="str">
        <f t="shared" si="9"/>
        <v/>
      </c>
      <c r="D214" s="84"/>
      <c r="E214" s="85"/>
      <c r="F214" s="86" t="str">
        <f t="shared" si="10"/>
        <v/>
      </c>
      <c r="G214" s="84"/>
      <c r="H214" s="85"/>
      <c r="I214" s="86" t="str">
        <f t="shared" si="11"/>
        <v/>
      </c>
    </row>
    <row r="215" spans="1:9">
      <c r="A215" s="118"/>
      <c r="B215" s="119"/>
      <c r="C215" s="86" t="str">
        <f t="shared" si="9"/>
        <v/>
      </c>
      <c r="D215" s="84"/>
      <c r="E215" s="85"/>
      <c r="F215" s="86" t="str">
        <f t="shared" si="10"/>
        <v/>
      </c>
      <c r="G215" s="84"/>
      <c r="H215" s="85"/>
      <c r="I215" s="86" t="str">
        <f t="shared" si="11"/>
        <v/>
      </c>
    </row>
    <row r="216" spans="1:9">
      <c r="A216" s="118"/>
      <c r="B216" s="119"/>
      <c r="C216" s="86" t="str">
        <f t="shared" si="9"/>
        <v/>
      </c>
      <c r="D216" s="84"/>
      <c r="E216" s="85"/>
      <c r="F216" s="86" t="str">
        <f t="shared" si="10"/>
        <v/>
      </c>
      <c r="G216" s="84"/>
      <c r="H216" s="85"/>
      <c r="I216" s="86" t="str">
        <f t="shared" si="11"/>
        <v/>
      </c>
    </row>
    <row r="217" spans="1:9">
      <c r="A217" s="118"/>
      <c r="B217" s="119"/>
      <c r="C217" s="86" t="str">
        <f t="shared" si="9"/>
        <v/>
      </c>
      <c r="D217" s="84"/>
      <c r="E217" s="85"/>
      <c r="F217" s="86" t="str">
        <f t="shared" si="10"/>
        <v/>
      </c>
      <c r="G217" s="84"/>
      <c r="H217" s="85"/>
      <c r="I217" s="86" t="str">
        <f t="shared" si="11"/>
        <v/>
      </c>
    </row>
    <row r="218" spans="1:9">
      <c r="A218" s="118"/>
      <c r="B218" s="119"/>
      <c r="C218" s="86" t="str">
        <f t="shared" si="9"/>
        <v/>
      </c>
      <c r="D218" s="84"/>
      <c r="E218" s="85"/>
      <c r="F218" s="86" t="str">
        <f t="shared" si="10"/>
        <v/>
      </c>
      <c r="G218" s="84"/>
      <c r="H218" s="85"/>
      <c r="I218" s="86" t="str">
        <f t="shared" si="11"/>
        <v/>
      </c>
    </row>
    <row r="219" spans="1:9">
      <c r="A219" s="118"/>
      <c r="B219" s="119"/>
      <c r="C219" s="86" t="str">
        <f t="shared" si="9"/>
        <v/>
      </c>
      <c r="D219" s="84"/>
      <c r="E219" s="85"/>
      <c r="F219" s="86" t="str">
        <f t="shared" si="10"/>
        <v/>
      </c>
      <c r="G219" s="84"/>
      <c r="H219" s="85"/>
      <c r="I219" s="86" t="str">
        <f t="shared" si="11"/>
        <v/>
      </c>
    </row>
    <row r="220" spans="1:9">
      <c r="A220" s="118"/>
      <c r="B220" s="119"/>
      <c r="C220" s="86" t="str">
        <f t="shared" si="9"/>
        <v/>
      </c>
      <c r="D220" s="84"/>
      <c r="E220" s="85"/>
      <c r="F220" s="86" t="str">
        <f t="shared" si="10"/>
        <v/>
      </c>
      <c r="G220" s="84"/>
      <c r="H220" s="85"/>
      <c r="I220" s="86" t="str">
        <f t="shared" si="11"/>
        <v/>
      </c>
    </row>
    <row r="221" spans="1:9">
      <c r="A221" s="118"/>
      <c r="B221" s="119"/>
      <c r="C221" s="86" t="str">
        <f t="shared" si="9"/>
        <v/>
      </c>
      <c r="D221" s="84"/>
      <c r="E221" s="85"/>
      <c r="F221" s="86" t="str">
        <f t="shared" si="10"/>
        <v/>
      </c>
      <c r="G221" s="84"/>
      <c r="H221" s="85"/>
      <c r="I221" s="86" t="str">
        <f t="shared" si="11"/>
        <v/>
      </c>
    </row>
    <row r="222" spans="1:9">
      <c r="A222" s="118"/>
      <c r="B222" s="119"/>
      <c r="C222" s="86" t="str">
        <f t="shared" si="9"/>
        <v/>
      </c>
      <c r="D222" s="84"/>
      <c r="E222" s="85"/>
      <c r="F222" s="86" t="str">
        <f t="shared" si="10"/>
        <v/>
      </c>
      <c r="G222" s="84"/>
      <c r="H222" s="85"/>
      <c r="I222" s="86" t="str">
        <f t="shared" si="11"/>
        <v/>
      </c>
    </row>
    <row r="223" spans="1:9">
      <c r="A223" s="118"/>
      <c r="B223" s="119"/>
      <c r="C223" s="86" t="str">
        <f t="shared" si="9"/>
        <v/>
      </c>
      <c r="D223" s="84"/>
      <c r="E223" s="85"/>
      <c r="F223" s="86" t="str">
        <f t="shared" si="10"/>
        <v/>
      </c>
      <c r="G223" s="84"/>
      <c r="H223" s="85"/>
      <c r="I223" s="86" t="str">
        <f t="shared" si="11"/>
        <v/>
      </c>
    </row>
    <row r="224" spans="1:9">
      <c r="A224" s="118"/>
      <c r="B224" s="119"/>
      <c r="C224" s="86" t="str">
        <f t="shared" si="9"/>
        <v/>
      </c>
      <c r="D224" s="84"/>
      <c r="E224" s="85"/>
      <c r="F224" s="86" t="str">
        <f t="shared" si="10"/>
        <v/>
      </c>
      <c r="G224" s="84"/>
      <c r="H224" s="85"/>
      <c r="I224" s="86" t="str">
        <f t="shared" si="11"/>
        <v/>
      </c>
    </row>
    <row r="225" spans="1:9">
      <c r="A225" s="118"/>
      <c r="B225" s="119"/>
      <c r="C225" s="86" t="str">
        <f t="shared" si="9"/>
        <v/>
      </c>
      <c r="D225" s="84"/>
      <c r="E225" s="85"/>
      <c r="F225" s="86" t="str">
        <f t="shared" si="10"/>
        <v/>
      </c>
      <c r="G225" s="84"/>
      <c r="H225" s="85"/>
      <c r="I225" s="86" t="str">
        <f t="shared" si="11"/>
        <v/>
      </c>
    </row>
    <row r="226" spans="1:9">
      <c r="A226" s="118"/>
      <c r="B226" s="119"/>
      <c r="C226" s="86" t="str">
        <f t="shared" si="9"/>
        <v/>
      </c>
      <c r="D226" s="84"/>
      <c r="E226" s="85"/>
      <c r="F226" s="86" t="str">
        <f t="shared" si="10"/>
        <v/>
      </c>
      <c r="G226" s="84"/>
      <c r="H226" s="85"/>
      <c r="I226" s="86" t="str">
        <f t="shared" si="11"/>
        <v/>
      </c>
    </row>
    <row r="227" spans="1:9">
      <c r="A227" s="118"/>
      <c r="B227" s="119"/>
      <c r="C227" s="86" t="str">
        <f t="shared" si="9"/>
        <v/>
      </c>
      <c r="D227" s="84"/>
      <c r="E227" s="85"/>
      <c r="F227" s="86" t="str">
        <f t="shared" si="10"/>
        <v/>
      </c>
      <c r="G227" s="84"/>
      <c r="H227" s="85"/>
      <c r="I227" s="86" t="str">
        <f t="shared" si="11"/>
        <v/>
      </c>
    </row>
    <row r="228" spans="1:9">
      <c r="A228" s="84"/>
      <c r="B228" s="85"/>
      <c r="C228" s="86" t="str">
        <f t="shared" si="9"/>
        <v/>
      </c>
      <c r="D228" s="84"/>
      <c r="E228" s="85"/>
      <c r="F228" s="86" t="str">
        <f t="shared" si="10"/>
        <v/>
      </c>
      <c r="G228" s="84"/>
      <c r="H228" s="85"/>
      <c r="I228" s="86" t="str">
        <f t="shared" si="11"/>
        <v/>
      </c>
    </row>
    <row r="229" spans="1:9">
      <c r="A229" s="84"/>
      <c r="B229" s="85"/>
      <c r="C229" s="86" t="str">
        <f t="shared" si="9"/>
        <v/>
      </c>
      <c r="D229" s="84"/>
      <c r="E229" s="85"/>
      <c r="F229" s="86" t="str">
        <f t="shared" si="10"/>
        <v/>
      </c>
      <c r="G229" s="84"/>
      <c r="H229" s="85"/>
      <c r="I229" s="86" t="str">
        <f t="shared" si="11"/>
        <v/>
      </c>
    </row>
    <row r="230" spans="1:9">
      <c r="A230" s="84"/>
      <c r="B230" s="85"/>
      <c r="C230" s="86" t="str">
        <f t="shared" si="9"/>
        <v/>
      </c>
      <c r="D230" s="84"/>
      <c r="E230" s="85"/>
      <c r="F230" s="86" t="str">
        <f t="shared" si="10"/>
        <v/>
      </c>
      <c r="G230" s="84"/>
      <c r="H230" s="85"/>
      <c r="I230" s="86" t="str">
        <f t="shared" si="11"/>
        <v/>
      </c>
    </row>
    <row r="231" spans="1:9">
      <c r="A231" s="84"/>
      <c r="B231" s="85"/>
      <c r="C231" s="86" t="str">
        <f t="shared" si="9"/>
        <v/>
      </c>
      <c r="D231" s="84"/>
      <c r="E231" s="85"/>
      <c r="F231" s="86" t="str">
        <f t="shared" si="10"/>
        <v/>
      </c>
      <c r="G231" s="84"/>
      <c r="H231" s="85"/>
      <c r="I231" s="86" t="str">
        <f t="shared" si="11"/>
        <v/>
      </c>
    </row>
    <row r="232" spans="1:9">
      <c r="A232" s="84"/>
      <c r="B232" s="85"/>
      <c r="C232" s="86" t="str">
        <f t="shared" si="9"/>
        <v/>
      </c>
      <c r="D232" s="84"/>
      <c r="E232" s="85"/>
      <c r="F232" s="86" t="str">
        <f t="shared" si="10"/>
        <v/>
      </c>
      <c r="G232" s="84"/>
      <c r="H232" s="85"/>
      <c r="I232" s="86" t="str">
        <f t="shared" si="11"/>
        <v/>
      </c>
    </row>
    <row r="233" spans="1:9">
      <c r="A233" s="84"/>
      <c r="B233" s="85"/>
      <c r="C233" s="86" t="str">
        <f t="shared" si="9"/>
        <v/>
      </c>
      <c r="D233" s="84"/>
      <c r="E233" s="85"/>
      <c r="F233" s="86" t="str">
        <f t="shared" si="10"/>
        <v/>
      </c>
      <c r="G233" s="84"/>
      <c r="H233" s="85"/>
      <c r="I233" s="86" t="str">
        <f t="shared" si="11"/>
        <v/>
      </c>
    </row>
    <row r="234" spans="1:9">
      <c r="A234" s="84"/>
      <c r="B234" s="85"/>
      <c r="C234" s="86" t="str">
        <f t="shared" si="9"/>
        <v/>
      </c>
      <c r="D234" s="84"/>
      <c r="E234" s="85"/>
      <c r="F234" s="86" t="str">
        <f t="shared" si="10"/>
        <v/>
      </c>
      <c r="G234" s="84"/>
      <c r="H234" s="85"/>
      <c r="I234" s="86" t="str">
        <f t="shared" si="11"/>
        <v/>
      </c>
    </row>
    <row r="235" spans="1:9">
      <c r="A235" s="84"/>
      <c r="B235" s="85"/>
      <c r="C235" s="86" t="str">
        <f t="shared" si="9"/>
        <v/>
      </c>
      <c r="D235" s="84"/>
      <c r="E235" s="85"/>
      <c r="F235" s="86" t="str">
        <f t="shared" si="10"/>
        <v/>
      </c>
      <c r="G235" s="84"/>
      <c r="H235" s="85"/>
      <c r="I235" s="86" t="str">
        <f t="shared" si="11"/>
        <v/>
      </c>
    </row>
    <row r="236" spans="1:9">
      <c r="A236" s="84"/>
      <c r="B236" s="85"/>
      <c r="C236" s="86" t="str">
        <f t="shared" si="9"/>
        <v/>
      </c>
      <c r="D236" s="84"/>
      <c r="E236" s="85"/>
      <c r="F236" s="86" t="str">
        <f t="shared" si="10"/>
        <v/>
      </c>
      <c r="G236" s="84"/>
      <c r="H236" s="85"/>
      <c r="I236" s="86" t="str">
        <f t="shared" si="11"/>
        <v/>
      </c>
    </row>
    <row r="237" spans="1:9">
      <c r="A237" s="84"/>
      <c r="B237" s="85"/>
      <c r="C237" s="86" t="str">
        <f t="shared" si="9"/>
        <v/>
      </c>
      <c r="D237" s="84"/>
      <c r="E237" s="85"/>
      <c r="F237" s="86" t="str">
        <f t="shared" si="10"/>
        <v/>
      </c>
      <c r="G237" s="84"/>
      <c r="H237" s="85"/>
      <c r="I237" s="86" t="str">
        <f t="shared" si="11"/>
        <v/>
      </c>
    </row>
    <row r="238" spans="1:9">
      <c r="A238" s="84"/>
      <c r="B238" s="85"/>
      <c r="C238" s="86" t="str">
        <f t="shared" si="9"/>
        <v/>
      </c>
      <c r="D238" s="84"/>
      <c r="E238" s="85"/>
      <c r="F238" s="86" t="str">
        <f t="shared" si="10"/>
        <v/>
      </c>
      <c r="G238" s="84"/>
      <c r="H238" s="85"/>
      <c r="I238" s="86" t="str">
        <f t="shared" si="11"/>
        <v/>
      </c>
    </row>
    <row r="239" spans="1:9">
      <c r="A239" s="84"/>
      <c r="B239" s="85"/>
      <c r="C239" s="86" t="str">
        <f t="shared" si="9"/>
        <v/>
      </c>
      <c r="D239" s="84"/>
      <c r="E239" s="85"/>
      <c r="F239" s="86" t="str">
        <f t="shared" si="10"/>
        <v/>
      </c>
      <c r="G239" s="84"/>
      <c r="H239" s="85"/>
      <c r="I239" s="86" t="str">
        <f t="shared" si="11"/>
        <v/>
      </c>
    </row>
    <row r="240" spans="1:9">
      <c r="A240" s="84"/>
      <c r="B240" s="85"/>
      <c r="C240" s="86" t="str">
        <f t="shared" si="9"/>
        <v/>
      </c>
      <c r="D240" s="84"/>
      <c r="E240" s="85"/>
      <c r="F240" s="86" t="str">
        <f t="shared" si="10"/>
        <v/>
      </c>
      <c r="G240" s="84"/>
      <c r="H240" s="85"/>
      <c r="I240" s="86" t="str">
        <f t="shared" si="11"/>
        <v/>
      </c>
    </row>
    <row r="241" spans="1:9">
      <c r="A241" s="84"/>
      <c r="B241" s="85"/>
      <c r="C241" s="86" t="str">
        <f t="shared" si="9"/>
        <v/>
      </c>
      <c r="D241" s="84"/>
      <c r="E241" s="85"/>
      <c r="F241" s="86" t="str">
        <f t="shared" si="10"/>
        <v/>
      </c>
      <c r="G241" s="84"/>
      <c r="H241" s="85"/>
      <c r="I241" s="86" t="str">
        <f t="shared" si="11"/>
        <v/>
      </c>
    </row>
    <row r="242" spans="1:9">
      <c r="A242" s="84"/>
      <c r="B242" s="85"/>
      <c r="C242" s="86" t="str">
        <f t="shared" si="9"/>
        <v/>
      </c>
      <c r="D242" s="84"/>
      <c r="E242" s="85"/>
      <c r="F242" s="86" t="str">
        <f t="shared" si="10"/>
        <v/>
      </c>
      <c r="G242" s="84"/>
      <c r="H242" s="85"/>
      <c r="I242" s="86" t="str">
        <f t="shared" si="11"/>
        <v/>
      </c>
    </row>
    <row r="243" spans="1:9">
      <c r="A243" s="84"/>
      <c r="B243" s="85"/>
      <c r="C243" s="86" t="str">
        <f t="shared" si="9"/>
        <v/>
      </c>
      <c r="D243" s="84"/>
      <c r="E243" s="85"/>
      <c r="F243" s="86" t="str">
        <f t="shared" si="10"/>
        <v/>
      </c>
      <c r="G243" s="84"/>
      <c r="H243" s="85"/>
      <c r="I243" s="86" t="str">
        <f t="shared" si="11"/>
        <v/>
      </c>
    </row>
    <row r="244" spans="1:9">
      <c r="A244" s="84"/>
      <c r="B244" s="85"/>
      <c r="C244" s="86" t="str">
        <f t="shared" si="9"/>
        <v/>
      </c>
      <c r="D244" s="84"/>
      <c r="E244" s="85"/>
      <c r="F244" s="86" t="str">
        <f t="shared" si="10"/>
        <v/>
      </c>
      <c r="G244" s="84"/>
      <c r="H244" s="85"/>
      <c r="I244" s="86" t="str">
        <f t="shared" si="11"/>
        <v/>
      </c>
    </row>
    <row r="245" spans="1:9">
      <c r="A245" s="84"/>
      <c r="B245" s="85"/>
      <c r="C245" s="86" t="str">
        <f t="shared" si="9"/>
        <v/>
      </c>
      <c r="D245" s="84"/>
      <c r="E245" s="85"/>
      <c r="F245" s="86" t="str">
        <f t="shared" si="10"/>
        <v/>
      </c>
      <c r="G245" s="84"/>
      <c r="H245" s="85"/>
      <c r="I245" s="86" t="str">
        <f t="shared" si="11"/>
        <v/>
      </c>
    </row>
    <row r="246" spans="1:9">
      <c r="A246" s="84"/>
      <c r="B246" s="85"/>
      <c r="C246" s="86" t="str">
        <f t="shared" si="9"/>
        <v/>
      </c>
      <c r="D246" s="84"/>
      <c r="E246" s="85"/>
      <c r="F246" s="86" t="str">
        <f t="shared" si="10"/>
        <v/>
      </c>
      <c r="G246" s="84"/>
      <c r="H246" s="85"/>
      <c r="I246" s="86" t="str">
        <f t="shared" si="11"/>
        <v/>
      </c>
    </row>
    <row r="247" spans="1:9">
      <c r="A247" s="84"/>
      <c r="B247" s="85"/>
      <c r="C247" s="86" t="str">
        <f t="shared" ref="C247:C290" si="12">IF(B247&gt;0,TEXT(B247,"(aaa)"),"")</f>
        <v/>
      </c>
      <c r="D247" s="84"/>
      <c r="E247" s="85"/>
      <c r="F247" s="86" t="str">
        <f t="shared" ref="F247:F290" si="13">IF(E247&gt;0,TEXT(E247,"(aaa)"),"")</f>
        <v/>
      </c>
      <c r="G247" s="84"/>
      <c r="H247" s="85"/>
      <c r="I247" s="86" t="str">
        <f t="shared" ref="I247:I290" si="14">IF(H247&gt;0,TEXT(H247,"(aaa)"),"")</f>
        <v/>
      </c>
    </row>
    <row r="248" spans="1:9">
      <c r="A248" s="84"/>
      <c r="B248" s="85"/>
      <c r="C248" s="86" t="str">
        <f t="shared" si="12"/>
        <v/>
      </c>
      <c r="D248" s="84"/>
      <c r="E248" s="85"/>
      <c r="F248" s="86" t="str">
        <f t="shared" si="13"/>
        <v/>
      </c>
      <c r="G248" s="84"/>
      <c r="H248" s="85"/>
      <c r="I248" s="86" t="str">
        <f t="shared" si="14"/>
        <v/>
      </c>
    </row>
    <row r="249" spans="1:9">
      <c r="A249" s="84"/>
      <c r="B249" s="85"/>
      <c r="C249" s="86" t="str">
        <f t="shared" si="12"/>
        <v/>
      </c>
      <c r="D249" s="84"/>
      <c r="E249" s="85"/>
      <c r="F249" s="86" t="str">
        <f t="shared" si="13"/>
        <v/>
      </c>
      <c r="G249" s="84"/>
      <c r="H249" s="85"/>
      <c r="I249" s="86" t="str">
        <f t="shared" si="14"/>
        <v/>
      </c>
    </row>
    <row r="250" spans="1:9">
      <c r="A250" s="84"/>
      <c r="B250" s="85"/>
      <c r="C250" s="86" t="str">
        <f t="shared" si="12"/>
        <v/>
      </c>
      <c r="D250" s="84"/>
      <c r="E250" s="85"/>
      <c r="F250" s="86" t="str">
        <f t="shared" si="13"/>
        <v/>
      </c>
      <c r="G250" s="84"/>
      <c r="H250" s="85"/>
      <c r="I250" s="86" t="str">
        <f t="shared" si="14"/>
        <v/>
      </c>
    </row>
    <row r="251" spans="1:9">
      <c r="A251" s="84"/>
      <c r="B251" s="85"/>
      <c r="C251" s="86" t="str">
        <f t="shared" si="12"/>
        <v/>
      </c>
      <c r="D251" s="84"/>
      <c r="E251" s="85"/>
      <c r="F251" s="86" t="str">
        <f t="shared" si="13"/>
        <v/>
      </c>
      <c r="G251" s="84"/>
      <c r="H251" s="85"/>
      <c r="I251" s="86" t="str">
        <f t="shared" si="14"/>
        <v/>
      </c>
    </row>
    <row r="252" spans="1:9">
      <c r="A252" s="84"/>
      <c r="B252" s="85"/>
      <c r="C252" s="86" t="str">
        <f t="shared" si="12"/>
        <v/>
      </c>
      <c r="D252" s="84"/>
      <c r="E252" s="85"/>
      <c r="F252" s="86" t="str">
        <f t="shared" si="13"/>
        <v/>
      </c>
      <c r="G252" s="84"/>
      <c r="H252" s="85"/>
      <c r="I252" s="86" t="str">
        <f t="shared" si="14"/>
        <v/>
      </c>
    </row>
    <row r="253" spans="1:9">
      <c r="A253" s="84"/>
      <c r="B253" s="85"/>
      <c r="C253" s="86" t="str">
        <f t="shared" si="12"/>
        <v/>
      </c>
      <c r="D253" s="84"/>
      <c r="E253" s="85"/>
      <c r="F253" s="86" t="str">
        <f t="shared" si="13"/>
        <v/>
      </c>
      <c r="G253" s="84"/>
      <c r="H253" s="85"/>
      <c r="I253" s="86" t="str">
        <f t="shared" si="14"/>
        <v/>
      </c>
    </row>
    <row r="254" spans="1:9">
      <c r="A254" s="84"/>
      <c r="B254" s="85"/>
      <c r="C254" s="86" t="str">
        <f t="shared" si="12"/>
        <v/>
      </c>
      <c r="D254" s="84"/>
      <c r="E254" s="85"/>
      <c r="F254" s="86" t="str">
        <f t="shared" si="13"/>
        <v/>
      </c>
      <c r="G254" s="84"/>
      <c r="H254" s="85"/>
      <c r="I254" s="86" t="str">
        <f t="shared" si="14"/>
        <v/>
      </c>
    </row>
    <row r="255" spans="1:9">
      <c r="A255" s="84"/>
      <c r="B255" s="85"/>
      <c r="C255" s="86" t="str">
        <f t="shared" si="12"/>
        <v/>
      </c>
      <c r="D255" s="84"/>
      <c r="E255" s="85"/>
      <c r="F255" s="86" t="str">
        <f t="shared" si="13"/>
        <v/>
      </c>
      <c r="G255" s="84"/>
      <c r="H255" s="85"/>
      <c r="I255" s="86" t="str">
        <f t="shared" si="14"/>
        <v/>
      </c>
    </row>
    <row r="256" spans="1:9">
      <c r="A256" s="84"/>
      <c r="B256" s="85"/>
      <c r="C256" s="86" t="str">
        <f t="shared" si="12"/>
        <v/>
      </c>
      <c r="D256" s="84"/>
      <c r="E256" s="85"/>
      <c r="F256" s="86" t="str">
        <f t="shared" si="13"/>
        <v/>
      </c>
      <c r="G256" s="84"/>
      <c r="H256" s="85"/>
      <c r="I256" s="86" t="str">
        <f t="shared" si="14"/>
        <v/>
      </c>
    </row>
    <row r="257" spans="1:9">
      <c r="A257" s="84"/>
      <c r="B257" s="85"/>
      <c r="C257" s="86" t="str">
        <f t="shared" si="12"/>
        <v/>
      </c>
      <c r="D257" s="84"/>
      <c r="E257" s="85"/>
      <c r="F257" s="86" t="str">
        <f t="shared" si="13"/>
        <v/>
      </c>
      <c r="G257" s="84"/>
      <c r="H257" s="85"/>
      <c r="I257" s="86" t="str">
        <f t="shared" si="14"/>
        <v/>
      </c>
    </row>
    <row r="258" spans="1:9">
      <c r="A258" s="84"/>
      <c r="B258" s="85"/>
      <c r="C258" s="86" t="str">
        <f t="shared" si="12"/>
        <v/>
      </c>
      <c r="D258" s="84"/>
      <c r="E258" s="85"/>
      <c r="F258" s="86" t="str">
        <f t="shared" si="13"/>
        <v/>
      </c>
      <c r="G258" s="84"/>
      <c r="H258" s="85"/>
      <c r="I258" s="86" t="str">
        <f t="shared" si="14"/>
        <v/>
      </c>
    </row>
    <row r="259" spans="1:9">
      <c r="A259" s="84"/>
      <c r="B259" s="85"/>
      <c r="C259" s="86" t="str">
        <f t="shared" si="12"/>
        <v/>
      </c>
      <c r="D259" s="84"/>
      <c r="E259" s="85"/>
      <c r="F259" s="86" t="str">
        <f t="shared" si="13"/>
        <v/>
      </c>
      <c r="G259" s="84"/>
      <c r="H259" s="85"/>
      <c r="I259" s="86" t="str">
        <f t="shared" si="14"/>
        <v/>
      </c>
    </row>
    <row r="260" spans="1:9">
      <c r="A260" s="84"/>
      <c r="B260" s="85"/>
      <c r="C260" s="86" t="str">
        <f t="shared" si="12"/>
        <v/>
      </c>
      <c r="D260" s="84"/>
      <c r="E260" s="85"/>
      <c r="F260" s="86" t="str">
        <f t="shared" si="13"/>
        <v/>
      </c>
      <c r="G260" s="84"/>
      <c r="H260" s="85"/>
      <c r="I260" s="86" t="str">
        <f t="shared" si="14"/>
        <v/>
      </c>
    </row>
    <row r="261" spans="1:9">
      <c r="A261" s="84"/>
      <c r="B261" s="85"/>
      <c r="C261" s="86" t="str">
        <f t="shared" si="12"/>
        <v/>
      </c>
      <c r="D261" s="84"/>
      <c r="E261" s="85"/>
      <c r="F261" s="86" t="str">
        <f t="shared" si="13"/>
        <v/>
      </c>
      <c r="G261" s="84"/>
      <c r="H261" s="85"/>
      <c r="I261" s="86" t="str">
        <f t="shared" si="14"/>
        <v/>
      </c>
    </row>
    <row r="262" spans="1:9">
      <c r="A262" s="84"/>
      <c r="B262" s="85"/>
      <c r="C262" s="86" t="str">
        <f t="shared" si="12"/>
        <v/>
      </c>
      <c r="D262" s="84"/>
      <c r="E262" s="85"/>
      <c r="F262" s="86" t="str">
        <f t="shared" si="13"/>
        <v/>
      </c>
      <c r="G262" s="84"/>
      <c r="H262" s="85"/>
      <c r="I262" s="86" t="str">
        <f t="shared" si="14"/>
        <v/>
      </c>
    </row>
    <row r="263" spans="1:9">
      <c r="A263" s="84"/>
      <c r="B263" s="85"/>
      <c r="C263" s="86" t="str">
        <f t="shared" si="12"/>
        <v/>
      </c>
      <c r="D263" s="84"/>
      <c r="E263" s="85"/>
      <c r="F263" s="86" t="str">
        <f t="shared" si="13"/>
        <v/>
      </c>
      <c r="G263" s="84"/>
      <c r="H263" s="85"/>
      <c r="I263" s="86" t="str">
        <f t="shared" si="14"/>
        <v/>
      </c>
    </row>
    <row r="264" spans="1:9">
      <c r="A264" s="84"/>
      <c r="B264" s="85"/>
      <c r="C264" s="86" t="str">
        <f t="shared" si="12"/>
        <v/>
      </c>
      <c r="D264" s="84"/>
      <c r="E264" s="85"/>
      <c r="F264" s="86" t="str">
        <f t="shared" si="13"/>
        <v/>
      </c>
      <c r="G264" s="84"/>
      <c r="H264" s="85"/>
      <c r="I264" s="86" t="str">
        <f t="shared" si="14"/>
        <v/>
      </c>
    </row>
    <row r="265" spans="1:9">
      <c r="A265" s="84"/>
      <c r="B265" s="85"/>
      <c r="C265" s="86" t="str">
        <f t="shared" si="12"/>
        <v/>
      </c>
      <c r="D265" s="84"/>
      <c r="E265" s="85"/>
      <c r="F265" s="86" t="str">
        <f t="shared" si="13"/>
        <v/>
      </c>
      <c r="G265" s="84"/>
      <c r="H265" s="85"/>
      <c r="I265" s="86" t="str">
        <f t="shared" si="14"/>
        <v/>
      </c>
    </row>
    <row r="266" spans="1:9">
      <c r="A266" s="84"/>
      <c r="B266" s="85"/>
      <c r="C266" s="86" t="str">
        <f t="shared" si="12"/>
        <v/>
      </c>
      <c r="D266" s="84"/>
      <c r="E266" s="85"/>
      <c r="F266" s="86" t="str">
        <f t="shared" si="13"/>
        <v/>
      </c>
      <c r="G266" s="84"/>
      <c r="H266" s="85"/>
      <c r="I266" s="86" t="str">
        <f t="shared" si="14"/>
        <v/>
      </c>
    </row>
    <row r="267" spans="1:9">
      <c r="A267" s="84"/>
      <c r="B267" s="85"/>
      <c r="C267" s="86" t="str">
        <f t="shared" si="12"/>
        <v/>
      </c>
      <c r="D267" s="84"/>
      <c r="E267" s="85"/>
      <c r="F267" s="86" t="str">
        <f t="shared" si="13"/>
        <v/>
      </c>
      <c r="G267" s="84"/>
      <c r="H267" s="85"/>
      <c r="I267" s="86" t="str">
        <f t="shared" si="14"/>
        <v/>
      </c>
    </row>
    <row r="268" spans="1:9">
      <c r="A268" s="84"/>
      <c r="B268" s="85"/>
      <c r="C268" s="86" t="str">
        <f t="shared" si="12"/>
        <v/>
      </c>
      <c r="D268" s="84"/>
      <c r="E268" s="85"/>
      <c r="F268" s="86" t="str">
        <f t="shared" si="13"/>
        <v/>
      </c>
      <c r="G268" s="84"/>
      <c r="H268" s="85"/>
      <c r="I268" s="86" t="str">
        <f t="shared" si="14"/>
        <v/>
      </c>
    </row>
    <row r="269" spans="1:9">
      <c r="A269" s="84"/>
      <c r="B269" s="85"/>
      <c r="C269" s="86" t="str">
        <f t="shared" si="12"/>
        <v/>
      </c>
      <c r="D269" s="84"/>
      <c r="E269" s="85"/>
      <c r="F269" s="86" t="str">
        <f t="shared" si="13"/>
        <v/>
      </c>
      <c r="G269" s="84"/>
      <c r="H269" s="85"/>
      <c r="I269" s="86" t="str">
        <f t="shared" si="14"/>
        <v/>
      </c>
    </row>
    <row r="270" spans="1:9">
      <c r="A270" s="84"/>
      <c r="B270" s="85"/>
      <c r="C270" s="86" t="str">
        <f t="shared" si="12"/>
        <v/>
      </c>
      <c r="D270" s="84"/>
      <c r="E270" s="85"/>
      <c r="F270" s="86" t="str">
        <f t="shared" si="13"/>
        <v/>
      </c>
      <c r="G270" s="84"/>
      <c r="H270" s="85"/>
      <c r="I270" s="86" t="str">
        <f t="shared" si="14"/>
        <v/>
      </c>
    </row>
    <row r="271" spans="1:9">
      <c r="A271" s="84"/>
      <c r="B271" s="85"/>
      <c r="C271" s="86" t="str">
        <f t="shared" si="12"/>
        <v/>
      </c>
      <c r="D271" s="84"/>
      <c r="E271" s="85"/>
      <c r="F271" s="86" t="str">
        <f t="shared" si="13"/>
        <v/>
      </c>
      <c r="G271" s="84"/>
      <c r="H271" s="85"/>
      <c r="I271" s="86" t="str">
        <f t="shared" si="14"/>
        <v/>
      </c>
    </row>
    <row r="272" spans="1:9">
      <c r="A272" s="84"/>
      <c r="B272" s="85"/>
      <c r="C272" s="86" t="str">
        <f t="shared" si="12"/>
        <v/>
      </c>
      <c r="D272" s="84"/>
      <c r="E272" s="85"/>
      <c r="F272" s="86" t="str">
        <f t="shared" si="13"/>
        <v/>
      </c>
      <c r="G272" s="84"/>
      <c r="H272" s="85"/>
      <c r="I272" s="86" t="str">
        <f t="shared" si="14"/>
        <v/>
      </c>
    </row>
    <row r="273" spans="1:9">
      <c r="A273" s="84"/>
      <c r="B273" s="85"/>
      <c r="C273" s="86" t="str">
        <f t="shared" si="12"/>
        <v/>
      </c>
      <c r="D273" s="84"/>
      <c r="E273" s="85"/>
      <c r="F273" s="86" t="str">
        <f t="shared" si="13"/>
        <v/>
      </c>
      <c r="G273" s="84"/>
      <c r="H273" s="85"/>
      <c r="I273" s="86" t="str">
        <f t="shared" si="14"/>
        <v/>
      </c>
    </row>
    <row r="274" spans="1:9">
      <c r="A274" s="84"/>
      <c r="B274" s="85"/>
      <c r="C274" s="86" t="str">
        <f t="shared" si="12"/>
        <v/>
      </c>
      <c r="D274" s="84"/>
      <c r="E274" s="85"/>
      <c r="F274" s="86" t="str">
        <f t="shared" si="13"/>
        <v/>
      </c>
      <c r="G274" s="84"/>
      <c r="H274" s="85"/>
      <c r="I274" s="86" t="str">
        <f t="shared" si="14"/>
        <v/>
      </c>
    </row>
    <row r="275" spans="1:9">
      <c r="A275" s="84"/>
      <c r="B275" s="85"/>
      <c r="C275" s="86" t="str">
        <f t="shared" si="12"/>
        <v/>
      </c>
      <c r="D275" s="84"/>
      <c r="E275" s="85"/>
      <c r="F275" s="86" t="str">
        <f t="shared" si="13"/>
        <v/>
      </c>
      <c r="G275" s="84"/>
      <c r="H275" s="85"/>
      <c r="I275" s="86" t="str">
        <f t="shared" si="14"/>
        <v/>
      </c>
    </row>
    <row r="276" spans="1:9">
      <c r="A276" s="84"/>
      <c r="B276" s="85"/>
      <c r="C276" s="86" t="str">
        <f t="shared" si="12"/>
        <v/>
      </c>
      <c r="D276" s="84"/>
      <c r="E276" s="85"/>
      <c r="F276" s="86" t="str">
        <f t="shared" si="13"/>
        <v/>
      </c>
      <c r="G276" s="84"/>
      <c r="H276" s="85"/>
      <c r="I276" s="86" t="str">
        <f t="shared" si="14"/>
        <v/>
      </c>
    </row>
    <row r="277" spans="1:9">
      <c r="A277" s="84"/>
      <c r="B277" s="85"/>
      <c r="C277" s="86" t="str">
        <f t="shared" si="12"/>
        <v/>
      </c>
      <c r="D277" s="84"/>
      <c r="E277" s="85"/>
      <c r="F277" s="86" t="str">
        <f t="shared" si="13"/>
        <v/>
      </c>
      <c r="G277" s="84"/>
      <c r="H277" s="85"/>
      <c r="I277" s="86" t="str">
        <f t="shared" si="14"/>
        <v/>
      </c>
    </row>
    <row r="278" spans="1:9">
      <c r="A278" s="84"/>
      <c r="B278" s="85"/>
      <c r="C278" s="86" t="str">
        <f t="shared" si="12"/>
        <v/>
      </c>
      <c r="D278" s="84"/>
      <c r="E278" s="85"/>
      <c r="F278" s="86" t="str">
        <f t="shared" si="13"/>
        <v/>
      </c>
      <c r="G278" s="84"/>
      <c r="H278" s="85"/>
      <c r="I278" s="86" t="str">
        <f t="shared" si="14"/>
        <v/>
      </c>
    </row>
    <row r="279" spans="1:9">
      <c r="A279" s="84"/>
      <c r="B279" s="85"/>
      <c r="C279" s="86" t="str">
        <f t="shared" si="12"/>
        <v/>
      </c>
      <c r="D279" s="84"/>
      <c r="E279" s="85"/>
      <c r="F279" s="86" t="str">
        <f t="shared" si="13"/>
        <v/>
      </c>
      <c r="G279" s="84"/>
      <c r="H279" s="85"/>
      <c r="I279" s="86" t="str">
        <f t="shared" si="14"/>
        <v/>
      </c>
    </row>
    <row r="280" spans="1:9">
      <c r="A280" s="84"/>
      <c r="B280" s="85"/>
      <c r="C280" s="86" t="str">
        <f t="shared" si="12"/>
        <v/>
      </c>
      <c r="D280" s="84"/>
      <c r="E280" s="85"/>
      <c r="F280" s="86" t="str">
        <f t="shared" si="13"/>
        <v/>
      </c>
      <c r="G280" s="84"/>
      <c r="H280" s="85"/>
      <c r="I280" s="86" t="str">
        <f t="shared" si="14"/>
        <v/>
      </c>
    </row>
    <row r="281" spans="1:9">
      <c r="A281" s="84"/>
      <c r="B281" s="85"/>
      <c r="C281" s="86" t="str">
        <f t="shared" si="12"/>
        <v/>
      </c>
      <c r="D281" s="84"/>
      <c r="E281" s="85"/>
      <c r="F281" s="86" t="str">
        <f t="shared" si="13"/>
        <v/>
      </c>
      <c r="G281" s="84"/>
      <c r="H281" s="85"/>
      <c r="I281" s="86" t="str">
        <f t="shared" si="14"/>
        <v/>
      </c>
    </row>
    <row r="282" spans="1:9">
      <c r="A282" s="84"/>
      <c r="B282" s="85"/>
      <c r="C282" s="86" t="str">
        <f t="shared" si="12"/>
        <v/>
      </c>
      <c r="D282" s="84"/>
      <c r="E282" s="85"/>
      <c r="F282" s="86" t="str">
        <f t="shared" si="13"/>
        <v/>
      </c>
      <c r="G282" s="84"/>
      <c r="H282" s="85"/>
      <c r="I282" s="86" t="str">
        <f t="shared" si="14"/>
        <v/>
      </c>
    </row>
    <row r="283" spans="1:9">
      <c r="A283" s="84"/>
      <c r="B283" s="85"/>
      <c r="C283" s="86" t="str">
        <f t="shared" si="12"/>
        <v/>
      </c>
      <c r="D283" s="84"/>
      <c r="E283" s="85"/>
      <c r="F283" s="86" t="str">
        <f t="shared" si="13"/>
        <v/>
      </c>
      <c r="G283" s="84"/>
      <c r="H283" s="85"/>
      <c r="I283" s="86" t="str">
        <f t="shared" si="14"/>
        <v/>
      </c>
    </row>
    <row r="284" spans="1:9">
      <c r="A284" s="84"/>
      <c r="B284" s="85"/>
      <c r="C284" s="86" t="str">
        <f t="shared" si="12"/>
        <v/>
      </c>
      <c r="D284" s="84"/>
      <c r="E284" s="85"/>
      <c r="F284" s="86" t="str">
        <f t="shared" si="13"/>
        <v/>
      </c>
      <c r="G284" s="84"/>
      <c r="H284" s="85"/>
      <c r="I284" s="86" t="str">
        <f t="shared" si="14"/>
        <v/>
      </c>
    </row>
    <row r="285" spans="1:9">
      <c r="A285" s="84"/>
      <c r="B285" s="85"/>
      <c r="C285" s="86" t="str">
        <f t="shared" si="12"/>
        <v/>
      </c>
      <c r="D285" s="84"/>
      <c r="E285" s="85"/>
      <c r="F285" s="86" t="str">
        <f t="shared" si="13"/>
        <v/>
      </c>
      <c r="G285" s="84"/>
      <c r="H285" s="85"/>
      <c r="I285" s="86" t="str">
        <f t="shared" si="14"/>
        <v/>
      </c>
    </row>
    <row r="286" spans="1:9">
      <c r="A286" s="84"/>
      <c r="B286" s="85"/>
      <c r="C286" s="86" t="str">
        <f t="shared" si="12"/>
        <v/>
      </c>
      <c r="D286" s="84"/>
      <c r="E286" s="85"/>
      <c r="F286" s="86" t="str">
        <f t="shared" si="13"/>
        <v/>
      </c>
      <c r="G286" s="84"/>
      <c r="H286" s="85"/>
      <c r="I286" s="86" t="str">
        <f t="shared" si="14"/>
        <v/>
      </c>
    </row>
    <row r="287" spans="1:9">
      <c r="A287" s="84"/>
      <c r="B287" s="85"/>
      <c r="C287" s="86" t="str">
        <f t="shared" si="12"/>
        <v/>
      </c>
      <c r="D287" s="84"/>
      <c r="E287" s="85"/>
      <c r="F287" s="86" t="str">
        <f t="shared" si="13"/>
        <v/>
      </c>
      <c r="G287" s="84"/>
      <c r="H287" s="85"/>
      <c r="I287" s="86" t="str">
        <f t="shared" si="14"/>
        <v/>
      </c>
    </row>
    <row r="288" spans="1:9">
      <c r="A288" s="84"/>
      <c r="B288" s="88"/>
      <c r="C288" s="86" t="str">
        <f t="shared" si="12"/>
        <v/>
      </c>
      <c r="D288" s="84"/>
      <c r="E288" s="88"/>
      <c r="F288" s="86" t="str">
        <f t="shared" si="13"/>
        <v/>
      </c>
      <c r="G288" s="84"/>
      <c r="H288" s="88"/>
      <c r="I288" s="86" t="str">
        <f t="shared" si="14"/>
        <v/>
      </c>
    </row>
    <row r="289" spans="1:9">
      <c r="A289" s="84"/>
      <c r="B289" s="88"/>
      <c r="C289" s="86" t="str">
        <f t="shared" si="12"/>
        <v/>
      </c>
      <c r="D289" s="84"/>
      <c r="E289" s="88"/>
      <c r="F289" s="86" t="str">
        <f t="shared" si="13"/>
        <v/>
      </c>
      <c r="G289" s="84"/>
      <c r="H289" s="88"/>
      <c r="I289" s="86" t="str">
        <f t="shared" si="14"/>
        <v/>
      </c>
    </row>
    <row r="290" spans="1:9">
      <c r="A290" s="84"/>
      <c r="B290" s="88"/>
      <c r="C290" s="86" t="str">
        <f t="shared" si="12"/>
        <v/>
      </c>
      <c r="D290" s="84"/>
      <c r="E290" s="88"/>
      <c r="F290" s="86" t="str">
        <f t="shared" si="13"/>
        <v/>
      </c>
      <c r="G290" s="84"/>
      <c r="H290" s="88"/>
      <c r="I290" s="86" t="str">
        <f t="shared" si="14"/>
        <v/>
      </c>
    </row>
    <row r="291" spans="1:9">
      <c r="A291" s="86" t="s">
        <v>1013</v>
      </c>
      <c r="D291" s="86" t="s">
        <v>1013</v>
      </c>
      <c r="G291" s="86" t="s">
        <v>1013</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C22"/>
  <sheetViews>
    <sheetView workbookViewId="0">
      <selection activeCell="C4" sqref="C4"/>
    </sheetView>
  </sheetViews>
  <sheetFormatPr defaultRowHeight="16.5"/>
  <cols>
    <col min="1" max="1" width="1.5" customWidth="1"/>
  </cols>
  <sheetData>
    <row r="3" spans="2:3">
      <c r="C3" t="s">
        <v>1280</v>
      </c>
    </row>
    <row r="4" spans="2:3">
      <c r="B4" s="257" t="s">
        <v>1137</v>
      </c>
      <c r="C4" t="s">
        <v>1128</v>
      </c>
    </row>
    <row r="5" spans="2:3">
      <c r="B5" s="257"/>
      <c r="C5" t="s">
        <v>1130</v>
      </c>
    </row>
    <row r="6" spans="2:3">
      <c r="B6" s="257"/>
      <c r="C6" t="s">
        <v>1132</v>
      </c>
    </row>
    <row r="7" spans="2:3">
      <c r="B7" s="257"/>
      <c r="C7" t="s">
        <v>1134</v>
      </c>
    </row>
    <row r="8" spans="2:3">
      <c r="B8" s="257"/>
      <c r="C8" t="s">
        <v>1135</v>
      </c>
    </row>
    <row r="9" spans="2:3">
      <c r="B9" s="257"/>
      <c r="C9" t="s">
        <v>1211</v>
      </c>
    </row>
    <row r="10" spans="2:3">
      <c r="B10" s="257"/>
      <c r="C10" t="s">
        <v>1136</v>
      </c>
    </row>
    <row r="11" spans="2:3">
      <c r="B11" s="257" t="s">
        <v>1143</v>
      </c>
      <c r="C11" t="s">
        <v>1138</v>
      </c>
    </row>
    <row r="12" spans="2:3">
      <c r="B12" s="257"/>
      <c r="C12" t="s">
        <v>1139</v>
      </c>
    </row>
    <row r="13" spans="2:3">
      <c r="B13" s="257"/>
      <c r="C13" t="s">
        <v>1140</v>
      </c>
    </row>
    <row r="14" spans="2:3">
      <c r="B14" s="257"/>
      <c r="C14" t="s">
        <v>1141</v>
      </c>
    </row>
    <row r="15" spans="2:3">
      <c r="B15" s="257"/>
      <c r="C15" t="s">
        <v>1142</v>
      </c>
    </row>
    <row r="16" spans="2:3">
      <c r="B16" s="257"/>
    </row>
    <row r="17" spans="2:3">
      <c r="B17" t="s">
        <v>1212</v>
      </c>
      <c r="C17" t="s">
        <v>1213</v>
      </c>
    </row>
    <row r="18" spans="2:3">
      <c r="C18" t="s">
        <v>1214</v>
      </c>
    </row>
    <row r="19" spans="2:3">
      <c r="C19" t="s">
        <v>1215</v>
      </c>
    </row>
    <row r="20" spans="2:3">
      <c r="C20" t="s">
        <v>1216</v>
      </c>
    </row>
    <row r="21" spans="2:3">
      <c r="C21" t="s">
        <v>1217</v>
      </c>
    </row>
    <row r="22" spans="2:3">
      <c r="C22" t="s">
        <v>1218</v>
      </c>
    </row>
  </sheetData>
  <mergeCells count="2">
    <mergeCell ref="B4:B10"/>
    <mergeCell ref="B11:B16"/>
  </mergeCells>
  <phoneticPr fontId="2" type="noConversion"/>
  <pageMargins left="0.7" right="0.7" top="0.75" bottom="0.75" header="0.3" footer="0.3"/>
  <pageSetup paperSize="9" orientation="portrait" horizontalDpi="300" verticalDpi="300" r:id="rId1"/>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 Project Scheduler " insertAfterMso="View">
        <!--tab idMso="TabHome" -->
        <group id="scheduling" label="Scheduling">
          <button id="cbtnCalcWBSbyArray" getLabel="xlgantt_ribbon_getlabel" size="large" onAction="calcWBSbyArrayFromRibbon" imageMso="TableDrawTable"/>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separator id="MySeparator2"/>
          <button id="cbtnCallMakeReportWorkloadWeeklyFromRibbon" getLabel="xlgantt_ribbon_getlabel" size="normal" onAction="callMakeReportWorkloadWeeklyFromRibbon" imageMso="W"/>
          <button id="cbtnCallMakeReportWorkloadMonthlyFromRibbon" getLabel="xlgantt_ribbon_getlabel" size="normal" onAction="callMakeReportWorkloadMonthlyFromRibbon" imageMso="M"/>
          <button id="cbtnCallMakeReportWorkloadByResourceFromRibbon" getLabel="xlgantt_ribbon_getlabel" size="normal" onAction="callMakeReportWorkloadByResourceFromRibbon" imageMso="R"/>
          <button id="cbtnCallMakeReportProgressFromRibbon" getLabel="xlgantt_ribbon_getlabel" size="normal" onAction="callMakeReportProgressFromRibbon" imageMso="P"/>
        </group>
        <group id="settings" getLabel="xlgantt_ribbon_getlabel">
          <button id="cbtnCallSettingBasicInfoFromRibbon" getLabel="xlgantt_ribbon_getlabel" size="large" onAction="callSettingBasicInfoFromRibbon" imageMso="PageMenu"/>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CacheListData"/>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6</vt:i4>
      </vt:variant>
      <vt:variant>
        <vt:lpstr>이름이 지정된 범위</vt:lpstr>
      </vt:variant>
      <vt:variant>
        <vt:i4>33</vt:i4>
      </vt:variant>
    </vt:vector>
  </HeadingPairs>
  <TitlesOfParts>
    <vt:vector size="39" baseType="lpstr">
      <vt:lpstr>TranslatedLanguages</vt:lpstr>
      <vt:lpstr>Schedule</vt:lpstr>
      <vt:lpstr>Progress</vt:lpstr>
      <vt:lpstr>AnalysisReport</vt:lpstr>
      <vt:lpstr>Calendar</vt:lpstr>
      <vt:lpstr>Team Members</vt:lpstr>
      <vt:lpstr>ACTUAL_RATE</vt:lpstr>
      <vt:lpstr>ACTUAL_WORKLOAD</vt:lpstr>
      <vt:lpstr>ACTUAL_WORKLOAD2</vt:lpstr>
      <vt:lpstr>English_Name</vt:lpstr>
      <vt:lpstr>PLANNED_RATE</vt:lpstr>
      <vt:lpstr>PLANNED_WORKLOAD</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사용자</dc:creator>
  <cp:lastModifiedBy>john</cp:lastModifiedBy>
  <dcterms:created xsi:type="dcterms:W3CDTF">2018-02-18T09:45:14Z</dcterms:created>
  <dcterms:modified xsi:type="dcterms:W3CDTF">2019-07-21T08:35:56Z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7215c6e1-2d2a-4afe-b3d2-38c2ea1c60b5</vt:lpwstr>
  </property>
</Properties>
</file>