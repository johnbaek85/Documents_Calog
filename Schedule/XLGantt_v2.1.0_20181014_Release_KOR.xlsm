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john\Downloads\"/>
    </mc:Choice>
  </mc:AlternateContent>
  <bookViews>
    <workbookView xWindow="0" yWindow="0" windowWidth="25128" windowHeight="13716" tabRatio="535" firstSheet="3" activeTab="3"/>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functionGroups builtInGroupCount="18"/>
  <externalReferences>
    <externalReference r:id="rId8"/>
  </externalReferences>
  <definedNames>
    <definedName name="_xlnm._FilterDatabase" localSheetId="3" hidden="1">Schedule!$M$3:$AB$56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5" i="2" l="1"/>
  <c r="AY5" i="2"/>
  <c r="AF6" i="2"/>
  <c r="AC7" i="2"/>
  <c r="AF8" i="2"/>
  <c r="AD9" i="2"/>
  <c r="AF10" i="2"/>
  <c r="AF11" i="2"/>
  <c r="AT11" i="2"/>
  <c r="AF12" i="2"/>
  <c r="AK13" i="2"/>
  <c r="AP14" i="2"/>
  <c r="AT14" i="2"/>
  <c r="AF15" i="2"/>
  <c r="AU17" i="2"/>
  <c r="AY17" i="2"/>
  <c r="AU18" i="2"/>
  <c r="AV19" i="2"/>
  <c r="AY19" i="2"/>
  <c r="AX20" i="2"/>
  <c r="AX21" i="2"/>
  <c r="AE22" i="2"/>
  <c r="AU22" i="2"/>
  <c r="AE23" i="2"/>
  <c r="AE24" i="2"/>
  <c r="AE25" i="2"/>
  <c r="AE26" i="2"/>
  <c r="AE27" i="2"/>
  <c r="AG28" i="2"/>
  <c r="AL28" i="2"/>
  <c r="AG29" i="2"/>
  <c r="AG30" i="2"/>
  <c r="AK30" i="2"/>
  <c r="AG31" i="2"/>
  <c r="AH32" i="2"/>
  <c r="AH33" i="2"/>
  <c r="AK34" i="2"/>
  <c r="AK35" i="2"/>
  <c r="AU35" i="2"/>
  <c r="AK36" i="2"/>
  <c r="AT36" i="2"/>
  <c r="AK37" i="2"/>
  <c r="AK38" i="2"/>
  <c r="AT38" i="2"/>
  <c r="AK39" i="2"/>
  <c r="AK40" i="2"/>
  <c r="AL41" i="2"/>
  <c r="AL42" i="2"/>
  <c r="AK43" i="2"/>
  <c r="AT43" i="2"/>
  <c r="AK44" i="2"/>
  <c r="AT44" i="2"/>
  <c r="AM45" i="2"/>
  <c r="AT45" i="2"/>
  <c r="AQ46" i="2"/>
  <c r="AU46" i="2"/>
  <c r="AQ47" i="2"/>
  <c r="AT48" i="2"/>
  <c r="AT49" i="2"/>
  <c r="AT50" i="2"/>
  <c r="AT51" i="2"/>
  <c r="AU52" i="2"/>
  <c r="AU53" i="2"/>
  <c r="AU54" i="2"/>
  <c r="AU55" i="2"/>
  <c r="AU56" i="2"/>
  <c r="D29" i="4" l="1"/>
  <c r="E7" i="4"/>
  <c r="F7" i="4" s="1"/>
  <c r="H121" i="8"/>
  <c r="E8" i="4" l="1"/>
  <c r="F8" i="4" s="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9" i="4" l="1"/>
  <c r="E10" i="4" s="1"/>
  <c r="B24" i="3"/>
  <c r="AB1" i="2"/>
  <c r="D1" i="2"/>
  <c r="AB2" i="2"/>
  <c r="F9" i="4" l="1"/>
  <c r="E11" i="4"/>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<sst xmlns="http://schemas.openxmlformats.org/spreadsheetml/2006/main" count="1625" uniqueCount="1191">
  <si>
    <t>프로젝트 착수</t>
  </si>
  <si>
    <t>Man/Day</t>
    <phoneticPr fontId="8" type="noConversion"/>
  </si>
  <si>
    <t>Man-Day</t>
  </si>
  <si>
    <t>Man-Month</t>
  </si>
  <si>
    <t>Total</t>
  </si>
  <si>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</si>
  <si>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</si>
  <si>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</si>
  <si>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</si>
  <si>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</si>
  <si>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</si>
  <si>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</si>
  <si>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</si>
  <si>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</si>
  <si>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AUTHOR_EMAIL</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</si>
  <si>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</si>
  <si>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</si>
  <si>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</si>
  <si>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</si>
  <si>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</si>
  <si>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</si>
  <si>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DO NOT UPDATE</t>
    <phoneticPr fontId="8" type="noConversion"/>
  </si>
  <si>
    <t>RELEASE_DATE</t>
    <phoneticPr fontId="8" type="noConversion"/>
  </si>
  <si>
    <t>LICENSE</t>
    <phoneticPr fontId="8" type="noConversion"/>
  </si>
  <si>
    <t>Freeware</t>
    <phoneticPr fontId="8" type="noConversion"/>
  </si>
  <si>
    <t>Name:projectName</t>
  </si>
  <si>
    <t>Name:isConfirmedProjectBasicInfo</t>
  </si>
  <si>
    <t>Name:projectStartDate</t>
  </si>
  <si>
    <t>Name:projectEndDate</t>
  </si>
  <si>
    <t>Name:optScheduleChangeMgt</t>
  </si>
  <si>
    <t>Name:optPlanRateCriteriaDate</t>
  </si>
  <si>
    <t>Name:chkDeliverablesMgt</t>
    <phoneticPr fontId="8" type="noConversion"/>
  </si>
  <si>
    <t>Name:savePathType</t>
    <phoneticPr fontId="8" type="noConversion"/>
  </si>
  <si>
    <t>Name:txtDefinedPath</t>
    <phoneticPr fontId="8" type="noConversion"/>
  </si>
  <si>
    <t>Name:txtAutoDefinedBasePath</t>
    <phoneticPr fontId="8" type="noConversion"/>
  </si>
  <si>
    <t>Name:txtPgmName1</t>
    <phoneticPr fontId="8" type="noConversion"/>
  </si>
  <si>
    <t>Name:txtFileExt1</t>
  </si>
  <si>
    <t>Name:txtPgmPath1</t>
    <phoneticPr fontId="8" type="noConversion"/>
  </si>
  <si>
    <t>Name:chkInclude2SelectList1</t>
    <phoneticPr fontId="8" type="noConversion"/>
  </si>
  <si>
    <t>Name:txtPgmName2</t>
    <phoneticPr fontId="8" type="noConversion"/>
  </si>
  <si>
    <t>Name:txtFileExt2</t>
    <phoneticPr fontId="8" type="noConversion"/>
  </si>
  <si>
    <t>Name:txtPgmPath2</t>
    <phoneticPr fontId="8" type="noConversion"/>
  </si>
  <si>
    <t>Name:chkInclude2SelectList2</t>
    <phoneticPr fontId="8" type="noConversion"/>
  </si>
  <si>
    <t>Name:txtPgmName3</t>
    <phoneticPr fontId="8" type="noConversion"/>
  </si>
  <si>
    <t>Name:txtFileExt3</t>
    <phoneticPr fontId="8" type="noConversion"/>
  </si>
  <si>
    <t>Name:txtPgmPath3</t>
    <phoneticPr fontId="8" type="noConversion"/>
  </si>
  <si>
    <t>Name:chkInclude2SelectList3</t>
    <phoneticPr fontId="8" type="noConversion"/>
  </si>
  <si>
    <t>Name:txtPgmName4</t>
    <phoneticPr fontId="8" type="noConversion"/>
  </si>
  <si>
    <t>Name:txtFileExt4</t>
    <phoneticPr fontId="8" type="noConversion"/>
  </si>
  <si>
    <t>Name:txtPgmPath4</t>
    <phoneticPr fontId="8" type="noConversion"/>
  </si>
  <si>
    <t>Name:chkInclude2SelectList4</t>
    <phoneticPr fontId="8" type="noConversion"/>
  </si>
  <si>
    <t>Name:txtPgmName5</t>
    <phoneticPr fontId="8" type="noConversion"/>
  </si>
  <si>
    <t>Name:txtFileExt5</t>
    <phoneticPr fontId="8" type="noConversion"/>
  </si>
  <si>
    <t>Name:txtPgmPath5</t>
    <phoneticPr fontId="8" type="noConversion"/>
  </si>
  <si>
    <t>Name:chkInclude2SelectList5</t>
    <phoneticPr fontId="8"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</si>
  <si>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</si>
  <si>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</si>
  <si>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</si>
  <si>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</si>
  <si>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</si>
  <si>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</si>
  <si>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</si>
  <si>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</si>
  <si>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</si>
  <si>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</si>
  <si>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</si>
  <si>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</si>
  <si>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</si>
  <si>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</si>
  <si>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</si>
  <si>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</si>
  <si>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</si>
  <si>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</si>
  <si>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</si>
  <si>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</si>
  <si>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</si>
  <si>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</si>
  <si>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</si>
  <si>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</si>
  <si>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</si>
  <si>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</si>
  <si>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</si>
  <si>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</si>
  <si>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"Planned Progress" button to update the contents.</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</si>
  <si>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</si>
  <si>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</si>
  <si>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</si>
  <si>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</si>
  <si>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</si>
  <si>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</si>
  <si>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</si>
  <si>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</si>
  <si>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</si>
  <si>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</si>
  <si>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</si>
  <si>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</si>
  <si>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</si>
  <si>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</si>
  <si>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</si>
  <si>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</si>
  <si>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</si>
  <si>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</si>
  <si>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</si>
  <si>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</si>
  <si>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</si>
  <si>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</si>
  <si>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</si>
  <si>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</si>
  <si>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</si>
  <si>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</si>
  <si>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</si>
  <si>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</si>
  <si>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</si>
  <si>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</si>
  <si>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</si>
  <si>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</si>
  <si>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</si>
  <si>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</si>
  <si>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</si>
  <si>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</si>
  <si>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</si>
  <si>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</si>
  <si>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</si>
  <si>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</si>
  <si>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</si>
  <si>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</si>
  <si>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</si>
  <si>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</si>
  <si>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</si>
  <si>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</si>
  <si>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</si>
  <si>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</si>
  <si>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</si>
  <si>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</si>
  <si>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</si>
  <si>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</si>
  <si>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</si>
  <si>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</si>
  <si>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</si>
  <si>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</si>
  <si>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</si>
  <si>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</si>
  <si>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</si>
  <si>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</si>
  <si>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</si>
  <si>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</si>
  <si>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</si>
  <si>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</si>
  <si>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</si>
  <si>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</si>
  <si>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</si>
  <si>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</si>
  <si>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</si>
  <si>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</si>
  <si>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</si>
  <si>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</si>
  <si>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</si>
  <si>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</si>
  <si>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</si>
  <si>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</si>
  <si>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</si>
  <si>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</si>
  <si>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</si>
  <si>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</si>
  <si>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</si>
  <si>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</si>
  <si>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</si>
  <si>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</si>
  <si>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</si>
  <si>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</si>
  <si>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</si>
  <si>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</si>
  <si>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</si>
  <si>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</si>
  <si>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</si>
  <si>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</si>
  <si>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</si>
  <si>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</si>
  <si>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</si>
  <si>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</si>
  <si>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</si>
  <si>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</si>
  <si>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</si>
  <si>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</si>
  <si>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</si>
  <si>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</si>
  <si>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</si>
  <si>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</si>
  <si>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</si>
  <si>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</si>
  <si>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</si>
  <si>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</si>
  <si>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</si>
  <si>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</si>
  <si>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</si>
  <si>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</si>
  <si>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</si>
  <si>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</si>
  <si>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</si>
  <si>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</si>
  <si>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</si>
  <si>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</si>
  <si>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</si>
  <si>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</si>
  <si>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</si>
  <si>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</si>
  <si>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</si>
  <si>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Performed Work(C)\nMan-day</t>
  </si>
  <si>
    <t>Performed workload on planned schedule</t>
  </si>
  <si>
    <t>Performed workload on planned schedule when managing schedule changes(Total Duration x %Work Complete)</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</si>
  <si>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</si>
  <si>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</si>
  <si>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</si>
  <si>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</si>
  <si>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</si>
  <si>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</si>
  <si>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</si>
  <si>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</si>
  <si>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</si>
  <si>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</si>
  <si>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</si>
  <si>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</si>
  <si>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</si>
  <si>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</si>
  <si>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</si>
  <si>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</si>
  <si>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</si>
  <si>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</si>
  <si>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</si>
  <si>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</si>
  <si>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</si>
  <si>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</si>
  <si>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</si>
  <si>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</si>
  <si>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</si>
  <si>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</si>
  <si>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</si>
  <si>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</si>
  <si>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</si>
  <si>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</si>
  <si>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</si>
  <si>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</si>
  <si>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</si>
  <si>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</si>
  <si>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</si>
  <si>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</si>
  <si>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</si>
  <si>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</si>
  <si>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</si>
  <si>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</si>
  <si>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</si>
  <si>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</si>
  <si>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</si>
  <si>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</si>
  <si>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</si>
  <si>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</si>
  <si>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</si>
  <si>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</si>
  <si>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</si>
  <si>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</si>
  <si>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</si>
  <si>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</si>
  <si>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</si>
  <si>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</si>
  <si>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</si>
  <si>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</si>
  <si>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</si>
  <si>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</si>
  <si>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</si>
  <si>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</si>
  <si>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</si>
  <si>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</si>
  <si>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</si>
  <si>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</si>
  <si>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</si>
  <si>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</si>
  <si>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</si>
  <si>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</si>
  <si>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</si>
  <si>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</si>
  <si>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</si>
  <si>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</si>
  <si>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</si>
  <si>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</si>
  <si>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</si>
  <si>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</si>
  <si>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</si>
  <si>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</si>
  <si>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</si>
  <si>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</si>
  <si>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</si>
  <si>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</si>
  <si>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</si>
  <si>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</si>
  <si>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</si>
  <si>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</si>
  <si>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</si>
  <si>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</si>
  <si>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</si>
  <si>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</si>
  <si>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</si>
  <si>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</si>
  <si>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</si>
  <si>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</si>
  <si>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</si>
  <si>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</si>
  <si>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</si>
  <si>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</si>
  <si>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</si>
  <si>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</si>
  <si>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</si>
  <si>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</si>
  <si>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</si>
  <si>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</si>
  <si>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number of task columns is not 7. Please retry after changing the sheet to its previous state.</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</si>
  <si>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</si>
  <si>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</si>
  <si>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</si>
  <si>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</si>
  <si>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</si>
  <si>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</si>
  <si>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</si>
  <si>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</si>
  <si>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</si>
  <si>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</si>
  <si>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</si>
  <si>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</si>
  <si>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</si>
  <si>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</si>
  <si>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</si>
  <si>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</si>
  <si>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</si>
  <si>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</si>
  <si>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</si>
  <si>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</si>
  <si>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</si>
  <si>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</si>
  <si>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</si>
  <si>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</si>
  <si>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</si>
  <si>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</si>
  <si>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</si>
  <si>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</si>
  <si>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</si>
  <si>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</si>
  <si>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</si>
  <si>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</si>
  <si>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</si>
  <si>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</si>
  <si>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</si>
  <si>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</si>
  <si>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</si>
  <si>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</si>
  <si>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</si>
  <si>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</si>
  <si>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</si>
  <si>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</si>
  <si>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</si>
  <si>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</si>
  <si>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</si>
  <si>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</si>
  <si>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</si>
  <si>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</si>
  <si>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</si>
  <si>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</si>
  <si>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</si>
  <si>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</si>
  <si>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</si>
  <si>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</si>
  <si>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</si>
  <si>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</si>
  <si>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</si>
  <si>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</si>
  <si>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</si>
  <si>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</si>
  <si>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</si>
  <si>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</si>
  <si>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</si>
  <si>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</si>
  <si>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</si>
  <si>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</si>
  <si>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</si>
  <si>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</si>
  <si>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</si>
  <si>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</si>
  <si>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</si>
  <si>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</si>
  <si>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</si>
  <si>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</si>
  <si>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</si>
  <si>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</si>
  <si>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</si>
  <si>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</si>
  <si>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</si>
  <si>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</si>
  <si>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</si>
  <si>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timebucket_start</t>
  </si>
  <si>
    <t>timebucket_finish</t>
  </si>
  <si>
    <t>workload</t>
  </si>
  <si>
    <t>AUTHOR_NAME</t>
    <phoneticPr fontId="8" type="noConversion"/>
  </si>
  <si>
    <t>admin@xlworks.net</t>
    <phoneticPr fontId="8"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</si>
  <si>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</si>
  <si>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</si>
  <si>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</si>
  <si>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</si>
  <si>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</si>
  <si>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</si>
  <si>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</si>
  <si>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</si>
  <si>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</si>
  <si>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</si>
  <si>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</si>
  <si>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</si>
  <si>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</si>
  <si>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</si>
  <si>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</si>
  <si>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</si>
  <si>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</si>
  <si>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</si>
  <si>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</si>
  <si>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</si>
  <si>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</si>
  <si>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</si>
  <si>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</si>
  <si>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</si>
  <si>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</si>
  <si>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</si>
  <si>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프로젝트 계획 수립</t>
  </si>
  <si>
    <t>Name:resourceDisp</t>
  </si>
  <si>
    <t>Name:taskDisp</t>
  </si>
  <si>
    <t>Name:optNonWorkingDays</t>
  </si>
  <si>
    <t>1.2.1</t>
  </si>
  <si>
    <t>1.2.2</t>
  </si>
  <si>
    <t>1.2.3</t>
  </si>
  <si>
    <t>1.2.4</t>
  </si>
  <si>
    <t>1.3.1</t>
  </si>
  <si>
    <t>1.3.2</t>
  </si>
  <si>
    <t>1.3.3</t>
  </si>
  <si>
    <t>착수보고(Kick off)</t>
  </si>
  <si>
    <t>월간보고1</t>
  </si>
  <si>
    <t>월간보고2</t>
  </si>
  <si>
    <t>월간보고3</t>
  </si>
  <si>
    <t>종료계획수립</t>
  </si>
  <si>
    <t>시스템 인수인계</t>
  </si>
  <si>
    <t>종료보고</t>
  </si>
  <si>
    <t>검수 및 종료</t>
  </si>
  <si>
    <t>요구사항정의</t>
  </si>
  <si>
    <t>프로세스모델링</t>
  </si>
  <si>
    <t>데이터모델링</t>
  </si>
  <si>
    <t>1.1.2.1</t>
  </si>
  <si>
    <t>1.1.2.2</t>
  </si>
  <si>
    <t>1.3.4</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</si>
  <si>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</si>
  <si>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</si>
  <si>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</si>
  <si>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</si>
  <si>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</si>
  <si>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</si>
  <si>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</si>
  <si>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This sheet shows you planned project progresses by weeks.</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</si>
  <si>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</si>
  <si>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</si>
  <si>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</si>
  <si>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</si>
  <si>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</si>
  <si>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</si>
  <si>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</si>
  <si>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</si>
  <si>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</si>
  <si>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</si>
  <si>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</si>
  <si>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</si>
  <si>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</si>
  <si>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</si>
  <si>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</si>
  <si>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</si>
  <si>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</si>
  <si>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</si>
  <si>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</si>
  <si>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</si>
  <si>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</si>
  <si>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</si>
  <si>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</si>
  <si>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</si>
  <si>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</si>
  <si>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</si>
  <si>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</si>
  <si>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</si>
  <si>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</si>
  <si>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</si>
  <si>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</si>
  <si>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</si>
  <si>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</si>
  <si>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</si>
  <si>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</si>
  <si>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Gantt Chart Zoom Ratio</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</si>
  <si>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</si>
  <si>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</si>
  <si>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</si>
  <si>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</si>
  <si>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</si>
  <si>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</si>
  <si>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</si>
  <si>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</si>
  <si>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</si>
  <si>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</si>
  <si>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</si>
  <si>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</si>
  <si>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Planned Project Progresses by Weeks</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</si>
  <si>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</si>
  <si>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</si>
  <si>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</si>
  <si>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</si>
  <si>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</si>
  <si>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</si>
  <si>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</si>
  <si>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</si>
  <si>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</si>
  <si>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</si>
  <si>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</si>
  <si>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</si>
  <si>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</si>
  <si>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</si>
  <si>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</si>
  <si>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</si>
  <si>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</si>
  <si>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</si>
  <si>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</si>
  <si>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</si>
  <si>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</si>
  <si>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</si>
  <si>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</si>
  <si>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8"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</si>
  <si>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</si>
  <si>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</si>
  <si>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</si>
  <si>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</si>
  <si>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</si>
  <si>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프로젝트 관리</t>
  </si>
  <si>
    <r>
      <rPr>
        <sz val="9"/>
        <color theme="1"/>
        <rFont val="돋움"/>
        <family val="3"/>
        <charset val="129"/>
      </rPr>
      <t>실적</t>
    </r>
  </si>
  <si>
    <r>
      <rPr>
        <sz val="9"/>
        <color theme="1"/>
        <rFont val="돋움"/>
        <family val="3"/>
        <charset val="129"/>
      </rPr>
      <t>계획</t>
    </r>
  </si>
  <si>
    <r>
      <rPr>
        <sz val="9"/>
        <color theme="1"/>
        <rFont val="맑은 고딕"/>
        <family val="2"/>
      </rPr>
      <t>실적진척율</t>
    </r>
  </si>
  <si>
    <r>
      <rPr>
        <sz val="9"/>
        <color theme="1"/>
        <rFont val="맑은 고딕"/>
        <family val="2"/>
      </rPr>
      <t>실적</t>
    </r>
  </si>
  <si>
    <r>
      <t xml:space="preserve">&lt;&lt; </t>
    </r>
    <r>
      <rPr>
        <sz val="9"/>
        <color theme="1"/>
        <rFont val="맑은 고딕"/>
        <family val="2"/>
      </rPr>
      <t>제거</t>
    </r>
  </si>
  <si>
    <r>
      <t>&lt;&lt; Mapping</t>
    </r>
    <r>
      <rPr>
        <sz val="9"/>
        <color theme="1"/>
        <rFont val="맑은 고딕"/>
        <family val="2"/>
      </rPr>
      <t>취소</t>
    </r>
  </si>
  <si>
    <r>
      <rPr>
        <sz val="9"/>
        <color theme="1"/>
        <rFont val="맑은 고딕"/>
        <family val="2"/>
      </rPr>
      <t>실제완료일</t>
    </r>
  </si>
  <si>
    <r>
      <rPr>
        <sz val="9"/>
        <color theme="1"/>
        <rFont val="맑은 고딕"/>
        <family val="2"/>
      </rPr>
      <t>실제완료일자</t>
    </r>
  </si>
  <si>
    <r>
      <rPr>
        <sz val="9"/>
        <color theme="1"/>
        <rFont val="맑은 고딕"/>
        <family val="2"/>
      </rPr>
      <t>실제시작일</t>
    </r>
  </si>
  <si>
    <r>
      <rPr>
        <sz val="9"/>
        <color theme="1"/>
        <rFont val="맑은 고딕"/>
        <family val="2"/>
      </rPr>
      <t>실제시작일자</t>
    </r>
  </si>
  <si>
    <r>
      <rPr>
        <sz val="9"/>
        <color theme="1"/>
        <rFont val="맑은 고딕"/>
        <family val="2"/>
      </rPr>
      <t>분석</t>
    </r>
  </si>
  <si>
    <r>
      <rPr>
        <sz val="9"/>
        <color theme="1"/>
        <rFont val="맑은 고딕"/>
        <family val="2"/>
      </rPr>
      <t>자동지정</t>
    </r>
  </si>
  <si>
    <r>
      <rPr>
        <sz val="9"/>
        <color theme="1"/>
        <rFont val="맑은 고딕"/>
        <family val="2"/>
      </rPr>
      <t>완료율</t>
    </r>
  </si>
  <si>
    <r>
      <rPr>
        <sz val="9"/>
        <color theme="1"/>
        <rFont val="맑은 고딕"/>
        <family val="2"/>
      </rPr>
      <t>기간</t>
    </r>
  </si>
  <si>
    <r>
      <rPr>
        <sz val="9"/>
        <color theme="1"/>
        <rFont val="맑은 고딕"/>
        <family val="2"/>
      </rPr>
      <t>취소</t>
    </r>
  </si>
  <si>
    <r>
      <rPr>
        <sz val="9"/>
        <color theme="1"/>
        <rFont val="맑은 고딕"/>
        <family val="2"/>
      </rPr>
      <t>차트</t>
    </r>
  </si>
  <si>
    <r>
      <rPr>
        <sz val="9"/>
        <color theme="1"/>
        <rFont val="맑은 고딕"/>
        <family val="2"/>
      </rPr>
      <t>최신버전확인</t>
    </r>
  </si>
  <si>
    <r>
      <rPr>
        <sz val="9"/>
        <color theme="1"/>
        <rFont val="맑은 고딕"/>
        <family val="2"/>
      </rPr>
      <t>닫기</t>
    </r>
  </si>
  <si>
    <r>
      <rPr>
        <sz val="9"/>
        <color theme="1"/>
        <rFont val="맑은 고딕"/>
        <family val="2"/>
      </rPr>
      <t>완료</t>
    </r>
  </si>
  <si>
    <r>
      <rPr>
        <sz val="9"/>
        <color theme="1"/>
        <rFont val="맑은 고딕"/>
        <family val="2"/>
      </rPr>
      <t>포함</t>
    </r>
  </si>
  <si>
    <r>
      <rPr>
        <sz val="9"/>
        <color theme="1"/>
        <rFont val="맑은 고딕"/>
        <family val="2"/>
      </rPr>
      <t>일별</t>
    </r>
  </si>
  <si>
    <r>
      <rPr>
        <sz val="9"/>
        <color theme="1"/>
        <rFont val="맑은 고딕"/>
        <family val="2"/>
      </rPr>
      <t>일별보기</t>
    </r>
  </si>
  <si>
    <r>
      <rPr>
        <sz val="9"/>
        <color theme="1"/>
        <rFont val="맑은 고딕"/>
        <family val="2"/>
      </rPr>
      <t>산출물</t>
    </r>
  </si>
  <si>
    <r>
      <rPr>
        <sz val="9"/>
        <color theme="1"/>
        <rFont val="맑은 고딕"/>
        <family val="2"/>
      </rPr>
      <t>같음</t>
    </r>
  </si>
  <si>
    <r>
      <rPr>
        <sz val="9"/>
        <color theme="1"/>
        <rFont val="맑은 고딕"/>
        <family val="2"/>
      </rPr>
      <t>엑셀</t>
    </r>
  </si>
  <si>
    <r>
      <rPr>
        <sz val="9"/>
        <color theme="1"/>
        <rFont val="맑은 고딕"/>
        <family val="2"/>
      </rPr>
      <t>확장자명</t>
    </r>
  </si>
  <si>
    <r>
      <rPr>
        <sz val="9"/>
        <color theme="1"/>
        <rFont val="맑은 고딕"/>
        <family val="2"/>
      </rPr>
      <t>완료일</t>
    </r>
  </si>
  <si>
    <r>
      <rPr>
        <sz val="9"/>
        <color theme="1"/>
        <rFont val="맑은 고딕"/>
        <family val="2"/>
      </rPr>
      <t>완료일자</t>
    </r>
  </si>
  <si>
    <r>
      <rPr>
        <sz val="9"/>
        <color theme="1"/>
        <rFont val="맑은 고딕"/>
        <family val="2"/>
      </rPr>
      <t>금</t>
    </r>
  </si>
  <si>
    <r>
      <rPr>
        <sz val="9"/>
        <color theme="1"/>
        <rFont val="맑은 고딕"/>
        <family val="2"/>
      </rPr>
      <t>가져오기</t>
    </r>
  </si>
  <si>
    <r>
      <t xml:space="preserve">Chart </t>
    </r>
    <r>
      <rPr>
        <sz val="9"/>
        <color theme="1"/>
        <rFont val="맑은 고딕"/>
        <family val="2"/>
      </rPr>
      <t>내부</t>
    </r>
  </si>
  <si>
    <r>
      <rPr>
        <sz val="9"/>
        <color theme="1"/>
        <rFont val="맑은 고딕"/>
        <family val="2"/>
      </rPr>
      <t>작업결과</t>
    </r>
  </si>
  <si>
    <r>
      <rPr>
        <sz val="9"/>
        <color theme="1"/>
        <rFont val="맑은 고딕"/>
        <family val="2"/>
      </rPr>
      <t>홍길동</t>
    </r>
  </si>
  <si>
    <r>
      <t xml:space="preserve">Chart </t>
    </r>
    <r>
      <rPr>
        <sz val="9"/>
        <color theme="1"/>
        <rFont val="맑은 고딕"/>
        <family val="2"/>
      </rPr>
      <t>왼쪽</t>
    </r>
  </si>
  <si>
    <r>
      <rPr>
        <sz val="9"/>
        <color theme="1"/>
        <rFont val="맑은 고딕"/>
        <family val="2"/>
      </rPr>
      <t>라이선스</t>
    </r>
  </si>
  <si>
    <r>
      <rPr>
        <sz val="9"/>
        <color theme="1"/>
        <rFont val="맑은 고딕"/>
        <family val="2"/>
      </rPr>
      <t>월</t>
    </r>
  </si>
  <si>
    <r>
      <rPr>
        <sz val="9"/>
        <color theme="1"/>
        <rFont val="맑은 고딕"/>
        <family val="2"/>
      </rPr>
      <t>월별</t>
    </r>
  </si>
  <si>
    <r>
      <rPr>
        <sz val="9"/>
        <color theme="1"/>
        <rFont val="맑은 고딕"/>
        <family val="2"/>
      </rPr>
      <t>월별보기</t>
    </r>
  </si>
  <si>
    <r>
      <rPr>
        <sz val="9"/>
        <color theme="1"/>
        <rFont val="맑은 고딕"/>
        <family val="2"/>
      </rPr>
      <t>휴무일명</t>
    </r>
  </si>
  <si>
    <r>
      <rPr>
        <sz val="9"/>
        <color theme="1"/>
        <rFont val="맑은 고딕"/>
        <family val="2"/>
      </rPr>
      <t>휴무일자</t>
    </r>
  </si>
  <si>
    <r>
      <rPr>
        <sz val="9"/>
        <color theme="1"/>
        <rFont val="맑은 고딕"/>
        <family val="2"/>
      </rPr>
      <t>미완료</t>
    </r>
  </si>
  <si>
    <r>
      <rPr>
        <sz val="9"/>
        <color theme="1"/>
        <rFont val="맑은 고딕"/>
        <family val="2"/>
      </rPr>
      <t>비고</t>
    </r>
  </si>
  <si>
    <r>
      <rPr>
        <sz val="9"/>
        <color theme="1"/>
        <rFont val="맑은 고딕"/>
        <family val="2"/>
      </rPr>
      <t>옵션</t>
    </r>
  </si>
  <si>
    <r>
      <rPr>
        <sz val="9"/>
        <color theme="1"/>
        <rFont val="맑은 고딕"/>
        <family val="2"/>
      </rPr>
      <t>개요수준</t>
    </r>
  </si>
  <si>
    <r>
      <rPr>
        <sz val="9"/>
        <color theme="1"/>
        <rFont val="맑은 고딕"/>
        <family val="2"/>
      </rPr>
      <t>계획진척율</t>
    </r>
  </si>
  <si>
    <r>
      <rPr>
        <sz val="9"/>
        <color theme="1"/>
        <rFont val="맑은 고딕"/>
        <family val="2"/>
      </rPr>
      <t>계획</t>
    </r>
  </si>
  <si>
    <r>
      <rPr>
        <sz val="9"/>
        <color theme="1"/>
        <rFont val="맑은 고딕"/>
        <family val="2"/>
      </rPr>
      <t>파워포인트</t>
    </r>
  </si>
  <si>
    <r>
      <rPr>
        <sz val="9"/>
        <color theme="1"/>
        <rFont val="맑은 고딕"/>
        <family val="2"/>
      </rPr>
      <t>프로그램명</t>
    </r>
  </si>
  <si>
    <r>
      <rPr>
        <sz val="9"/>
        <color theme="1"/>
        <rFont val="맑은 고딕"/>
        <family val="2"/>
      </rPr>
      <t>진척율</t>
    </r>
  </si>
  <si>
    <r>
      <rPr>
        <sz val="9"/>
        <color theme="1"/>
        <rFont val="맑은 고딕"/>
        <family val="2"/>
      </rPr>
      <t>프로젝트수행계획서</t>
    </r>
  </si>
  <si>
    <r>
      <rPr>
        <sz val="9"/>
        <color theme="1"/>
        <rFont val="맑은 고딕"/>
        <family val="2"/>
      </rPr>
      <t>프로젝트명</t>
    </r>
  </si>
  <si>
    <r>
      <rPr>
        <sz val="9"/>
        <color theme="1"/>
        <rFont val="맑은 고딕"/>
        <family val="2"/>
      </rPr>
      <t>서식재설정</t>
    </r>
  </si>
  <si>
    <r>
      <t xml:space="preserve">Chart </t>
    </r>
    <r>
      <rPr>
        <sz val="9"/>
        <color theme="1"/>
        <rFont val="맑은 고딕"/>
        <family val="2"/>
      </rPr>
      <t>오른쪽</t>
    </r>
  </si>
  <si>
    <r>
      <rPr>
        <sz val="9"/>
        <color theme="1"/>
        <rFont val="맑은 고딕"/>
        <family val="2"/>
      </rPr>
      <t>토</t>
    </r>
  </si>
  <si>
    <r>
      <rPr>
        <sz val="9"/>
        <color theme="1"/>
        <rFont val="맑은 고딕"/>
        <family val="2"/>
      </rPr>
      <t>저장</t>
    </r>
  </si>
  <si>
    <r>
      <rPr>
        <sz val="9"/>
        <color theme="1"/>
        <rFont val="맑은 고딕"/>
        <family val="2"/>
      </rPr>
      <t>설정</t>
    </r>
  </si>
  <si>
    <r>
      <rPr>
        <sz val="9"/>
        <color theme="1"/>
        <rFont val="맑은 고딕"/>
        <family val="2"/>
      </rPr>
      <t>특정날짜</t>
    </r>
  </si>
  <si>
    <r>
      <rPr>
        <sz val="9"/>
        <color theme="1"/>
        <rFont val="맑은 고딕"/>
        <family val="2"/>
      </rPr>
      <t>표준캘린더</t>
    </r>
  </si>
  <si>
    <r>
      <rPr>
        <sz val="9"/>
        <color theme="1"/>
        <rFont val="맑은 고딕"/>
        <family val="2"/>
      </rPr>
      <t>시작일</t>
    </r>
  </si>
  <si>
    <r>
      <rPr>
        <sz val="9"/>
        <color theme="1"/>
        <rFont val="맑은 고딕"/>
        <family val="2"/>
      </rPr>
      <t>시작일자</t>
    </r>
  </si>
  <si>
    <r>
      <rPr>
        <sz val="9"/>
        <color theme="1"/>
        <rFont val="맑은 고딕"/>
        <family val="2"/>
      </rPr>
      <t>일</t>
    </r>
  </si>
  <si>
    <r>
      <rPr>
        <sz val="9"/>
        <color theme="1"/>
        <rFont val="맑은 고딕"/>
        <family val="2"/>
      </rPr>
      <t>작업명</t>
    </r>
  </si>
  <si>
    <r>
      <rPr>
        <sz val="9"/>
        <color theme="1"/>
        <rFont val="맑은 고딕"/>
        <family val="2"/>
      </rPr>
      <t>목</t>
    </r>
  </si>
  <si>
    <r>
      <rPr>
        <sz val="9"/>
        <color theme="1"/>
        <rFont val="맑은 고딕"/>
        <family val="2"/>
      </rPr>
      <t>오늘</t>
    </r>
  </si>
  <si>
    <r>
      <rPr>
        <sz val="9"/>
        <color theme="1"/>
        <rFont val="맑은 고딕"/>
        <family val="2"/>
      </rPr>
      <t>화</t>
    </r>
  </si>
  <si>
    <r>
      <rPr>
        <sz val="9"/>
        <color theme="1"/>
        <rFont val="맑은 고딕"/>
        <family val="2"/>
      </rPr>
      <t>화면설계</t>
    </r>
  </si>
  <si>
    <r>
      <rPr>
        <sz val="9"/>
        <color theme="1"/>
        <rFont val="맑은 고딕"/>
        <family val="2"/>
      </rPr>
      <t>스케줄업데이트</t>
    </r>
  </si>
  <si>
    <r>
      <rPr>
        <sz val="9"/>
        <color theme="1"/>
        <rFont val="맑은 고딕"/>
        <family val="2"/>
      </rPr>
      <t>수</t>
    </r>
  </si>
  <si>
    <r>
      <rPr>
        <sz val="9"/>
        <color theme="1"/>
        <rFont val="맑은 고딕"/>
        <family val="2"/>
      </rPr>
      <t>주별</t>
    </r>
  </si>
  <si>
    <r>
      <rPr>
        <sz val="9"/>
        <color theme="1"/>
        <rFont val="맑은 고딕"/>
        <family val="2"/>
      </rPr>
      <t>주별보기</t>
    </r>
  </si>
  <si>
    <r>
      <rPr>
        <sz val="9"/>
        <color theme="1"/>
        <rFont val="맑은 고딕"/>
        <family val="2"/>
      </rPr>
      <t>가중치</t>
    </r>
  </si>
  <si>
    <r>
      <rPr>
        <sz val="9"/>
        <color theme="1"/>
        <rFont val="맑은 고딕"/>
        <family val="2"/>
      </rPr>
      <t>워드</t>
    </r>
  </si>
  <si>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</si>
  <si>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</si>
  <si>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</si>
  <si>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</si>
  <si>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</si>
  <si>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</si>
  <si>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</si>
  <si>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</si>
  <si>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r>
      <t xml:space="preserve"> Mapping</t>
    </r>
    <r>
      <rPr>
        <sz val="9"/>
        <color theme="1"/>
        <rFont val="맑은 고딕"/>
        <family val="2"/>
      </rPr>
      <t>된</t>
    </r>
    <r>
      <rPr>
        <sz val="9"/>
        <color theme="1"/>
        <rFont val="Calibri"/>
        <family val="2"/>
      </rPr>
      <t xml:space="preserve"> </t>
    </r>
    <r>
      <rPr>
        <sz val="9"/>
        <color theme="1"/>
        <rFont val="맑은 고딕"/>
        <family val="2"/>
      </rPr>
      <t>상태</t>
    </r>
  </si>
  <si>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</si>
  <si>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</si>
  <si>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</si>
  <si>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</si>
  <si>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</si>
  <si>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r>
      <rPr>
        <sz val="9"/>
        <color theme="1"/>
        <rFont val="맑은 고딕"/>
        <family val="2"/>
      </rPr>
      <t>실적</t>
    </r>
    <r>
      <rPr>
        <sz val="9"/>
        <color theme="1"/>
        <rFont val="Calibri"/>
        <family val="2"/>
      </rPr>
      <t>(C/A)</t>
    </r>
  </si>
  <si>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</si>
  <si>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</si>
  <si>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</si>
  <si>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</si>
  <si>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</si>
  <si>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</si>
  <si>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</si>
  <si>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</si>
  <si>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</si>
  <si>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</si>
  <si>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</si>
  <si>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</si>
  <si>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r>
      <t>[</t>
    </r>
    <r>
      <rPr>
        <sz val="9"/>
        <color theme="1"/>
        <rFont val="맑은 고딕"/>
        <family val="2"/>
      </rPr>
      <t>담당자미지정</t>
    </r>
    <r>
      <rPr>
        <sz val="9"/>
        <color theme="1"/>
        <rFont val="Calibri"/>
        <family val="2"/>
      </rPr>
      <t>]</t>
    </r>
  </si>
  <si>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</si>
  <si>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</si>
  <si>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</si>
  <si>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r>
      <rPr>
        <sz val="9"/>
        <color theme="1"/>
        <rFont val="맑은 고딕"/>
        <family val="2"/>
      </rPr>
      <t>누적</t>
    </r>
    <r>
      <rPr>
        <sz val="9"/>
        <color theme="1"/>
        <rFont val="Calibri"/>
        <family val="2"/>
      </rPr>
      <t>\nMan-Day</t>
    </r>
  </si>
  <si>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</si>
  <si>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</si>
  <si>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</si>
  <si>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</si>
  <si>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</si>
  <si>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</si>
  <si>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</si>
  <si>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</si>
  <si>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</si>
  <si>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</si>
  <si>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r>
      <rPr>
        <sz val="9"/>
        <color theme="1"/>
        <rFont val="맑은 고딕"/>
        <family val="2"/>
      </rPr>
      <t>실제</t>
    </r>
    <r>
      <rPr>
        <sz val="9"/>
        <color theme="1"/>
        <rFont val="Calibri"/>
        <family val="2"/>
      </rPr>
      <t>\n</t>
    </r>
    <r>
      <rPr>
        <sz val="9"/>
        <color theme="1"/>
        <rFont val="맑은 고딕"/>
        <family val="2"/>
      </rPr>
      <t>총작업량</t>
    </r>
  </si>
  <si>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</si>
  <si>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</si>
  <si>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</si>
  <si>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추가</t>
    </r>
    <r>
      <rPr>
        <sz val="9"/>
        <color theme="1"/>
        <rFont val="Calibri"/>
        <family val="2"/>
      </rPr>
      <t xml:space="preserve"> &gt;&gt;</t>
    </r>
  </si>
  <si>
    <r>
      <rPr>
        <sz val="9"/>
        <color theme="1"/>
        <rFont val="맑은 고딕"/>
        <family val="2"/>
      </rPr>
      <t>언어</t>
    </r>
    <r>
      <rPr>
        <sz val="9"/>
        <color theme="1"/>
        <rFont val="Calibri"/>
        <family val="2"/>
      </rPr>
      <t xml:space="preserve"> </t>
    </r>
    <r>
      <rPr>
        <sz val="9"/>
        <color theme="1"/>
        <rFont val="맑은 고딕"/>
        <family val="2"/>
      </rPr>
      <t>추가</t>
    </r>
  </si>
  <si>
    <r>
      <t>MS Outlook</t>
    </r>
    <r>
      <rPr>
        <sz val="9"/>
        <color theme="1"/>
        <rFont val="맑은 고딕"/>
        <family val="2"/>
      </rPr>
      <t>일정</t>
    </r>
    <r>
      <rPr>
        <sz val="9"/>
        <color theme="1"/>
        <rFont val="Calibri"/>
        <family val="2"/>
      </rPr>
      <t xml:space="preserve"> </t>
    </r>
    <r>
      <rPr>
        <sz val="9"/>
        <color theme="1"/>
        <rFont val="맑은 고딕"/>
        <family val="2"/>
      </rPr>
      <t>등록</t>
    </r>
  </si>
  <si>
    <r>
      <t>MS Outlook</t>
    </r>
    <r>
      <rPr>
        <sz val="9"/>
        <color theme="1"/>
        <rFont val="맑은 고딕"/>
        <family val="2"/>
      </rPr>
      <t>작업</t>
    </r>
    <r>
      <rPr>
        <sz val="9"/>
        <color theme="1"/>
        <rFont val="Calibri"/>
        <family val="2"/>
      </rPr>
      <t xml:space="preserve"> </t>
    </r>
    <r>
      <rPr>
        <sz val="9"/>
        <color theme="1"/>
        <rFont val="맑은 고딕"/>
        <family val="2"/>
      </rPr>
      <t>등록</t>
    </r>
  </si>
  <si>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</si>
  <si>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</si>
  <si>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</si>
  <si>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</si>
  <si>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</si>
  <si>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</si>
  <si>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</si>
  <si>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</si>
  <si>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</si>
  <si>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</si>
  <si>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</si>
  <si>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</si>
  <si>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</si>
  <si>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</si>
  <si>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</si>
  <si>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</si>
  <si>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</si>
  <si>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언어를</t>
    </r>
    <r>
      <rPr>
        <sz val="9"/>
        <color theme="1"/>
        <rFont val="Calibri"/>
        <family val="2"/>
      </rPr>
      <t xml:space="preserve"> </t>
    </r>
    <r>
      <rPr>
        <sz val="9"/>
        <color theme="1"/>
        <rFont val="맑은 고딕"/>
        <family val="2"/>
      </rPr>
      <t>선택하세요</t>
    </r>
  </si>
  <si>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</si>
  <si>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</si>
  <si>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</si>
  <si>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</si>
  <si>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</si>
  <si>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</si>
  <si>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</si>
  <si>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</si>
  <si>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r>
      <rPr>
        <sz val="9"/>
        <color theme="1"/>
        <rFont val="맑은 고딕"/>
        <family val="2"/>
      </rPr>
      <t>실적진척율</t>
    </r>
    <r>
      <rPr>
        <sz val="9"/>
        <color theme="1"/>
        <rFont val="Calibri"/>
        <family val="2"/>
      </rPr>
      <t xml:space="preserve"> </t>
    </r>
    <r>
      <rPr>
        <sz val="9"/>
        <color theme="1"/>
        <rFont val="맑은 고딕"/>
        <family val="2"/>
      </rPr>
      <t>표시</t>
    </r>
  </si>
  <si>
    <r>
      <rPr>
        <sz val="9"/>
        <color theme="1"/>
        <rFont val="맑은 고딕"/>
        <family val="2"/>
      </rPr>
      <t>날짜</t>
    </r>
    <r>
      <rPr>
        <sz val="9"/>
        <color theme="1"/>
        <rFont val="Calibri"/>
        <family val="2"/>
      </rPr>
      <t xml:space="preserve"> </t>
    </r>
    <r>
      <rPr>
        <sz val="9"/>
        <color theme="1"/>
        <rFont val="맑은 고딕"/>
        <family val="2"/>
      </rPr>
      <t>표시</t>
    </r>
  </si>
  <si>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</si>
  <si>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</si>
  <si>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r>
      <rPr>
        <sz val="9"/>
        <color theme="1"/>
        <rFont val="맑은 고딕"/>
        <family val="2"/>
      </rPr>
      <t>계획진척율</t>
    </r>
    <r>
      <rPr>
        <sz val="9"/>
        <color theme="1"/>
        <rFont val="Calibri"/>
        <family val="2"/>
      </rPr>
      <t xml:space="preserve"> </t>
    </r>
    <r>
      <rPr>
        <sz val="9"/>
        <color theme="1"/>
        <rFont val="맑은 고딕"/>
        <family val="2"/>
      </rPr>
      <t>표시</t>
    </r>
  </si>
  <si>
    <r>
      <rPr>
        <sz val="9"/>
        <color theme="1"/>
        <rFont val="맑은 고딕"/>
        <family val="2"/>
      </rPr>
      <t>담당</t>
    </r>
    <r>
      <rPr>
        <sz val="9"/>
        <color theme="1"/>
        <rFont val="Calibri"/>
        <family val="2"/>
      </rPr>
      <t xml:space="preserve"> </t>
    </r>
    <r>
      <rPr>
        <sz val="9"/>
        <color theme="1"/>
        <rFont val="맑은 고딕"/>
        <family val="2"/>
      </rPr>
      <t>표시</t>
    </r>
  </si>
  <si>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</si>
  <si>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</si>
  <si>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</si>
  <si>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</si>
  <si>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</si>
  <si>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</si>
  <si>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r>
      <rPr>
        <sz val="9"/>
        <color theme="1"/>
        <rFont val="맑은 고딕"/>
        <family val="2"/>
      </rPr>
      <t>진척율선</t>
    </r>
    <r>
      <rPr>
        <sz val="9"/>
        <color theme="1"/>
        <rFont val="Calibri"/>
        <family val="2"/>
      </rPr>
      <t xml:space="preserve"> </t>
    </r>
    <r>
      <rPr>
        <sz val="9"/>
        <color theme="1"/>
        <rFont val="맑은 고딕"/>
        <family val="2"/>
      </rPr>
      <t>그리기</t>
    </r>
  </si>
  <si>
    <r>
      <rPr>
        <sz val="9"/>
        <color theme="1"/>
        <rFont val="맑은 고딕"/>
        <family val="2"/>
      </rPr>
      <t>기간</t>
    </r>
    <r>
      <rPr>
        <sz val="9"/>
        <color theme="1"/>
        <rFont val="Calibri"/>
        <family val="2"/>
      </rPr>
      <t xml:space="preserve"> </t>
    </r>
    <r>
      <rPr>
        <sz val="9"/>
        <color theme="1"/>
        <rFont val="맑은 고딕"/>
        <family val="2"/>
      </rPr>
      <t>지정</t>
    </r>
  </si>
  <si>
    <r>
      <rPr>
        <sz val="9"/>
        <color theme="1"/>
        <rFont val="맑은 고딕"/>
        <family val="2"/>
      </rPr>
      <t>작업</t>
    </r>
    <r>
      <rPr>
        <sz val="9"/>
        <color theme="1"/>
        <rFont val="Calibri"/>
        <family val="2"/>
      </rPr>
      <t xml:space="preserve"> </t>
    </r>
    <r>
      <rPr>
        <sz val="9"/>
        <color theme="1"/>
        <rFont val="맑은 고딕"/>
        <family val="2"/>
      </rPr>
      <t>정보</t>
    </r>
  </si>
  <si>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</si>
  <si>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</si>
  <si>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</si>
  <si>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</si>
  <si>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r>
      <rPr>
        <sz val="9"/>
        <color theme="1"/>
        <rFont val="맑은 고딕"/>
        <family val="2"/>
      </rPr>
      <t>프로그램</t>
    </r>
    <r>
      <rPr>
        <sz val="9"/>
        <color theme="1"/>
        <rFont val="Calibri"/>
        <family val="2"/>
      </rPr>
      <t xml:space="preserve"> </t>
    </r>
    <r>
      <rPr>
        <sz val="9"/>
        <color theme="1"/>
        <rFont val="맑은 고딕"/>
        <family val="2"/>
      </rPr>
      <t>실행경로</t>
    </r>
  </si>
  <si>
    <r>
      <rPr>
        <sz val="9"/>
        <color theme="1"/>
        <rFont val="맑은 고딕"/>
        <family val="2"/>
      </rPr>
      <t>필터</t>
    </r>
    <r>
      <rPr>
        <sz val="9"/>
        <color theme="1"/>
        <rFont val="Calibri"/>
        <family val="2"/>
      </rPr>
      <t xml:space="preserve"> </t>
    </r>
    <r>
      <rPr>
        <sz val="9"/>
        <color theme="1"/>
        <rFont val="맑은 고딕"/>
        <family val="2"/>
      </rPr>
      <t>적용</t>
    </r>
  </si>
  <si>
    <r>
      <rPr>
        <sz val="9"/>
        <color theme="1"/>
        <rFont val="맑은 고딕"/>
        <family val="2"/>
      </rPr>
      <t>작업</t>
    </r>
    <r>
      <rPr>
        <sz val="9"/>
        <color theme="1"/>
        <rFont val="Calibri"/>
        <family val="2"/>
      </rPr>
      <t xml:space="preserve"> </t>
    </r>
    <r>
      <rPr>
        <sz val="9"/>
        <color theme="1"/>
        <rFont val="맑은 고딕"/>
        <family val="2"/>
      </rPr>
      <t>필터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</si>
  <si>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</si>
  <si>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</si>
  <si>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</si>
  <si>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한주의</t>
    </r>
    <r>
      <rPr>
        <sz val="9"/>
        <color theme="1"/>
        <rFont val="Calibri"/>
        <family val="2"/>
      </rPr>
      <t xml:space="preserve"> </t>
    </r>
    <r>
      <rPr>
        <sz val="9"/>
        <color theme="1"/>
        <rFont val="맑은 고딕"/>
        <family val="2"/>
      </rPr>
      <t>시작요일</t>
    </r>
  </si>
  <si>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</si>
  <si>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</si>
  <si>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</si>
  <si>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Gantt chart</t>
    </r>
    <r>
      <rPr>
        <sz val="9"/>
        <color theme="1"/>
        <rFont val="맑은 고딕"/>
        <family val="2"/>
      </rPr>
      <t>표시</t>
    </r>
    <r>
      <rPr>
        <sz val="9"/>
        <color theme="1"/>
        <rFont val="Calibri"/>
        <family val="2"/>
      </rPr>
      <t xml:space="preserve"> </t>
    </r>
    <r>
      <rPr>
        <sz val="9"/>
        <color theme="1"/>
        <rFont val="맑은 고딕"/>
        <family val="2"/>
      </rPr>
      <t>방법</t>
    </r>
  </si>
  <si>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</si>
  <si>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</si>
  <si>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</si>
  <si>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</si>
  <si>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</si>
  <si>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일반</t>
    </r>
    <r>
      <rPr>
        <sz val="9"/>
        <color theme="1"/>
        <rFont val="Calibri"/>
        <family val="2"/>
      </rPr>
      <t xml:space="preserve"> Excel </t>
    </r>
    <r>
      <rPr>
        <sz val="9"/>
        <color theme="1"/>
        <rFont val="맑은 고딕"/>
        <family val="2"/>
      </rPr>
      <t>파일</t>
    </r>
  </si>
  <si>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</si>
  <si>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</si>
  <si>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</si>
  <si>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</si>
  <si>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</si>
  <si>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r>
      <rPr>
        <sz val="9"/>
        <color theme="1"/>
        <rFont val="맑은 고딕"/>
        <family val="2"/>
      </rPr>
      <t>가져오기</t>
    </r>
    <r>
      <rPr>
        <sz val="9"/>
        <color theme="1"/>
        <rFont val="Calibri"/>
        <family val="2"/>
      </rPr>
      <t xml:space="preserve"> </t>
    </r>
    <r>
      <rPr>
        <sz val="9"/>
        <color theme="1"/>
        <rFont val="맑은 고딕"/>
        <family val="2"/>
      </rPr>
      <t>옵션</t>
    </r>
  </si>
  <si>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</si>
  <si>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</si>
  <si>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r>
      <rPr>
        <sz val="9"/>
        <color theme="1"/>
        <rFont val="맑은 고딕"/>
        <family val="2"/>
      </rPr>
      <t>파일</t>
    </r>
    <r>
      <rPr>
        <sz val="9"/>
        <color theme="1"/>
        <rFont val="Calibri"/>
        <family val="2"/>
      </rPr>
      <t xml:space="preserve"> </t>
    </r>
    <r>
      <rPr>
        <sz val="9"/>
        <color theme="1"/>
        <rFont val="맑은 고딕"/>
        <family val="2"/>
      </rPr>
      <t>가져오기</t>
    </r>
  </si>
  <si>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</si>
  <si>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</si>
  <si>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r>
      <rPr>
        <sz val="9"/>
        <color theme="1"/>
        <rFont val="맑은 고딕"/>
        <family val="2"/>
      </rPr>
      <t>작업레벨</t>
    </r>
    <r>
      <rPr>
        <sz val="9"/>
        <color theme="1"/>
        <rFont val="Calibri"/>
        <family val="2"/>
      </rPr>
      <t xml:space="preserve"> </t>
    </r>
    <r>
      <rPr>
        <sz val="9"/>
        <color theme="1"/>
        <rFont val="맑은 고딕"/>
        <family val="2"/>
      </rPr>
      <t>내림</t>
    </r>
  </si>
  <si>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</si>
  <si>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</si>
  <si>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r>
      <t>yyyy</t>
    </r>
    <r>
      <rPr>
        <sz val="9"/>
        <color theme="1"/>
        <rFont val="맑은 고딕"/>
        <family val="2"/>
      </rPr>
      <t>년</t>
    </r>
    <r>
      <rPr>
        <sz val="9"/>
        <color theme="1"/>
        <rFont val="Calibri"/>
        <family val="2"/>
      </rPr>
      <t xml:space="preserve"> m</t>
    </r>
    <r>
      <rPr>
        <sz val="9"/>
        <color theme="1"/>
        <rFont val="맑은 고딕"/>
        <family val="2"/>
      </rPr>
      <t>월</t>
    </r>
  </si>
  <si>
    <r>
      <rPr>
        <sz val="9"/>
        <color theme="1"/>
        <rFont val="맑은 고딕"/>
        <family val="2"/>
      </rPr>
      <t>최신</t>
    </r>
    <r>
      <rPr>
        <sz val="9"/>
        <color theme="1"/>
        <rFont val="Calibri"/>
        <family val="2"/>
      </rPr>
      <t xml:space="preserve"> </t>
    </r>
    <r>
      <rPr>
        <sz val="9"/>
        <color theme="1"/>
        <rFont val="맑은 고딕"/>
        <family val="2"/>
      </rPr>
      <t>버전</t>
    </r>
  </si>
  <si>
    <r>
      <rPr>
        <sz val="9"/>
        <color theme="1"/>
        <rFont val="맑은 고딕"/>
        <family val="2"/>
      </rPr>
      <t>다음</t>
    </r>
    <r>
      <rPr>
        <sz val="9"/>
        <color theme="1"/>
        <rFont val="Calibri"/>
        <family val="2"/>
      </rPr>
      <t xml:space="preserve"> &gt;&gt;</t>
    </r>
  </si>
  <si>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</si>
  <si>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</si>
  <si>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</si>
  <si>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</si>
  <si>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</si>
  <si>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r>
      <rPr>
        <sz val="9"/>
        <color theme="1"/>
        <rFont val="맑은 고딕"/>
        <family val="2"/>
      </rPr>
      <t>산출물</t>
    </r>
    <r>
      <rPr>
        <sz val="9"/>
        <color theme="1"/>
        <rFont val="Calibri"/>
        <family val="2"/>
      </rPr>
      <t xml:space="preserve"> </t>
    </r>
    <r>
      <rPr>
        <sz val="9"/>
        <color theme="1"/>
        <rFont val="맑은 고딕"/>
        <family val="2"/>
      </rPr>
      <t>열기</t>
    </r>
  </si>
  <si>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</si>
  <si>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r>
      <rPr>
        <sz val="9"/>
        <color theme="1"/>
        <rFont val="맑은 고딕"/>
        <family val="2"/>
      </rPr>
      <t>작업레벨</t>
    </r>
    <r>
      <rPr>
        <sz val="9"/>
        <color theme="1"/>
        <rFont val="Calibri"/>
        <family val="2"/>
      </rPr>
      <t xml:space="preserve"> </t>
    </r>
    <r>
      <rPr>
        <sz val="9"/>
        <color theme="1"/>
        <rFont val="맑은 고딕"/>
        <family val="2"/>
      </rPr>
      <t>올림</t>
    </r>
  </si>
  <si>
    <r>
      <rPr>
        <sz val="9"/>
        <color theme="1"/>
        <rFont val="맑은 고딕"/>
        <family val="2"/>
      </rPr>
      <t>퍼센트</t>
    </r>
    <r>
      <rPr>
        <sz val="9"/>
        <color theme="1"/>
        <rFont val="Calibri"/>
        <family val="2"/>
      </rPr>
      <t xml:space="preserve"> </t>
    </r>
    <r>
      <rPr>
        <sz val="9"/>
        <color theme="1"/>
        <rFont val="맑은 고딕"/>
        <family val="2"/>
      </rPr>
      <t>지정</t>
    </r>
  </si>
  <si>
    <r>
      <rPr>
        <sz val="9"/>
        <color theme="1"/>
        <rFont val="맑은 고딕"/>
        <family val="2"/>
      </rPr>
      <t>진척작업량</t>
    </r>
    <r>
      <rPr>
        <sz val="9"/>
        <color theme="1"/>
        <rFont val="Calibri"/>
        <family val="2"/>
      </rPr>
      <t>( C )\nMan-day</t>
    </r>
  </si>
  <si>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</si>
  <si>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</si>
  <si>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r>
      <rPr>
        <sz val="9"/>
        <color theme="1"/>
        <rFont val="맑은 고딕"/>
        <family val="2"/>
      </rPr>
      <t>날짜</t>
    </r>
    <r>
      <rPr>
        <sz val="9"/>
        <color theme="1"/>
        <rFont val="Calibri"/>
        <family val="2"/>
      </rPr>
      <t xml:space="preserve"> </t>
    </r>
    <r>
      <rPr>
        <sz val="9"/>
        <color theme="1"/>
        <rFont val="맑은 고딕"/>
        <family val="2"/>
      </rPr>
      <t>선택</t>
    </r>
  </si>
  <si>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</si>
  <si>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</si>
  <si>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r>
      <rPr>
        <sz val="9"/>
        <color theme="1"/>
        <rFont val="맑은 고딕"/>
        <family val="2"/>
      </rPr>
      <t>계획</t>
    </r>
    <r>
      <rPr>
        <sz val="9"/>
        <color theme="1"/>
        <rFont val="Calibri"/>
        <family val="2"/>
      </rPr>
      <t>(B/A)</t>
    </r>
  </si>
  <si>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</si>
  <si>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r>
      <rPr>
        <sz val="9"/>
        <color theme="1"/>
        <rFont val="맑은 고딕"/>
        <family val="2"/>
      </rPr>
      <t>계획작업량</t>
    </r>
    <r>
      <rPr>
        <sz val="9"/>
        <color theme="1"/>
        <rFont val="Calibri"/>
        <family val="2"/>
      </rPr>
      <t>(B)\nMan-day</t>
    </r>
  </si>
  <si>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</si>
  <si>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</si>
  <si>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</si>
  <si>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r>
      <rPr>
        <sz val="9"/>
        <color theme="1"/>
        <rFont val="맑은 고딕"/>
        <family val="2"/>
      </rPr>
      <t>계획</t>
    </r>
    <r>
      <rPr>
        <sz val="9"/>
        <color theme="1"/>
        <rFont val="Calibri"/>
        <family val="2"/>
      </rPr>
      <t>\n</t>
    </r>
    <r>
      <rPr>
        <sz val="9"/>
        <color theme="1"/>
        <rFont val="맑은 고딕"/>
        <family val="2"/>
      </rPr>
      <t>작업량</t>
    </r>
  </si>
  <si>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</si>
  <si>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</si>
  <si>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</si>
  <si>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</si>
  <si>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</si>
  <si>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</si>
  <si>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r>
      <rPr>
        <sz val="9"/>
        <color theme="1"/>
        <rFont val="맑은 고딕"/>
        <family val="2"/>
      </rPr>
      <t>프로그램</t>
    </r>
    <r>
      <rPr>
        <sz val="9"/>
        <color theme="1"/>
        <rFont val="Calibri"/>
        <family val="2"/>
      </rPr>
      <t xml:space="preserve"> </t>
    </r>
    <r>
      <rPr>
        <sz val="9"/>
        <color theme="1"/>
        <rFont val="맑은 고딕"/>
        <family val="2"/>
      </rPr>
      <t>정보</t>
    </r>
  </si>
  <si>
    <r>
      <rPr>
        <sz val="9"/>
        <color theme="1"/>
        <rFont val="맑은 고딕"/>
        <family val="2"/>
      </rPr>
      <t>프로그램</t>
    </r>
    <r>
      <rPr>
        <sz val="9"/>
        <color theme="1"/>
        <rFont val="Calibri"/>
        <family val="2"/>
      </rPr>
      <t xml:space="preserve"> </t>
    </r>
    <r>
      <rPr>
        <sz val="9"/>
        <color theme="1"/>
        <rFont val="맑은 고딕"/>
        <family val="2"/>
      </rPr>
      <t>사이트</t>
    </r>
  </si>
  <si>
    <r>
      <rPr>
        <sz val="9"/>
        <color theme="1"/>
        <rFont val="맑은 고딕"/>
        <family val="2"/>
      </rPr>
      <t>담당별</t>
    </r>
    <r>
      <rPr>
        <sz val="9"/>
        <color theme="1"/>
        <rFont val="Calibri"/>
        <family val="2"/>
      </rPr>
      <t xml:space="preserve"> </t>
    </r>
    <r>
      <rPr>
        <sz val="9"/>
        <color theme="1"/>
        <rFont val="맑은 고딕"/>
        <family val="2"/>
      </rPr>
      <t>진행율</t>
    </r>
  </si>
  <si>
    <r>
      <rPr>
        <sz val="9"/>
        <color theme="1"/>
        <rFont val="맑은 고딕"/>
        <family val="2"/>
      </rPr>
      <t>프로젝트</t>
    </r>
    <r>
      <rPr>
        <sz val="9"/>
        <color theme="1"/>
        <rFont val="Calibri"/>
        <family val="2"/>
      </rPr>
      <t xml:space="preserve"> </t>
    </r>
    <r>
      <rPr>
        <sz val="9"/>
        <color theme="1"/>
        <rFont val="맑은 고딕"/>
        <family val="2"/>
      </rPr>
      <t>정보</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</si>
  <si>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</si>
  <si>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</si>
  <si>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</si>
  <si>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r>
      <rPr>
        <sz val="9"/>
        <color theme="1"/>
        <rFont val="맑은 고딕"/>
        <family val="2"/>
      </rPr>
      <t>릴리즈</t>
    </r>
    <r>
      <rPr>
        <sz val="9"/>
        <color theme="1"/>
        <rFont val="Calibri"/>
        <family val="2"/>
      </rPr>
      <t xml:space="preserve"> </t>
    </r>
    <r>
      <rPr>
        <sz val="9"/>
        <color theme="1"/>
        <rFont val="맑은 고딕"/>
        <family val="2"/>
      </rPr>
      <t>일자</t>
    </r>
  </si>
  <si>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</si>
  <si>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</si>
  <si>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r>
      <t>File</t>
    </r>
    <r>
      <rPr>
        <sz val="9"/>
        <color theme="1"/>
        <rFont val="맑은 고딕"/>
        <family val="2"/>
      </rPr>
      <t>저장시</t>
    </r>
    <r>
      <rPr>
        <sz val="9"/>
        <color theme="1"/>
        <rFont val="Calibri"/>
        <family val="2"/>
      </rPr>
      <t xml:space="preserve"> WBS Update</t>
    </r>
    <r>
      <rPr>
        <sz val="9"/>
        <color theme="1"/>
        <rFont val="맑은 고딕"/>
        <family val="2"/>
      </rPr>
      <t>실행</t>
    </r>
  </si>
  <si>
    <r>
      <rPr>
        <sz val="9"/>
        <color theme="1"/>
        <rFont val="맑은 고딕"/>
        <family val="2"/>
      </rPr>
      <t>일정계획</t>
    </r>
    <r>
      <rPr>
        <sz val="9"/>
        <color theme="1"/>
        <rFont val="Calibri"/>
        <family val="2"/>
      </rPr>
      <t xml:space="preserve"> </t>
    </r>
    <r>
      <rPr>
        <sz val="9"/>
        <color theme="1"/>
        <rFont val="맑은 고딕"/>
        <family val="2"/>
      </rPr>
      <t>변경관리</t>
    </r>
  </si>
  <si>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</si>
  <si>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r>
      <rPr>
        <sz val="9"/>
        <color theme="1"/>
        <rFont val="맑은 고딕"/>
        <family val="2"/>
      </rPr>
      <t>차이</t>
    </r>
    <r>
      <rPr>
        <sz val="9"/>
        <color theme="1"/>
        <rFont val="Calibri"/>
        <family val="2"/>
      </rPr>
      <t>(B-A)</t>
    </r>
  </si>
  <si>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</si>
  <si>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</si>
  <si>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</si>
  <si>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</si>
  <si>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r>
      <rPr>
        <sz val="9"/>
        <color theme="1"/>
        <rFont val="맑은 고딕"/>
        <family val="2"/>
      </rPr>
      <t>산출물</t>
    </r>
    <r>
      <rPr>
        <sz val="9"/>
        <color theme="1"/>
        <rFont val="Calibri"/>
        <family val="2"/>
      </rPr>
      <t xml:space="preserve"> </t>
    </r>
    <r>
      <rPr>
        <sz val="9"/>
        <color theme="1"/>
        <rFont val="맑은 고딕"/>
        <family val="2"/>
      </rPr>
      <t>저장경로</t>
    </r>
  </si>
  <si>
    <r>
      <rPr>
        <sz val="9"/>
        <color theme="1"/>
        <rFont val="맑은 고딕"/>
        <family val="2"/>
      </rPr>
      <t>특정</t>
    </r>
    <r>
      <rPr>
        <sz val="9"/>
        <color theme="1"/>
        <rFont val="Calibri"/>
        <family val="2"/>
      </rPr>
      <t xml:space="preserve"> </t>
    </r>
    <r>
      <rPr>
        <sz val="9"/>
        <color theme="1"/>
        <rFont val="맑은 고딕"/>
        <family val="2"/>
      </rPr>
      <t>경로</t>
    </r>
  </si>
  <si>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</si>
  <si>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</si>
  <si>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</si>
  <si>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</si>
  <si>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시작일</t>
    </r>
    <r>
      <rPr>
        <sz val="9"/>
        <color theme="1"/>
        <rFont val="Calibri"/>
        <family val="2"/>
      </rPr>
      <t>-</t>
    </r>
    <r>
      <rPr>
        <sz val="9"/>
        <color theme="1"/>
        <rFont val="맑은 고딕"/>
        <family val="2"/>
      </rPr>
      <t>완료일</t>
    </r>
  </si>
  <si>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</si>
  <si>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</si>
  <si>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</si>
  <si>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</si>
  <si>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</si>
  <si>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</si>
  <si>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</si>
  <si>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</si>
  <si>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</si>
  <si>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</si>
  <si>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</si>
  <si>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</si>
  <si>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</si>
  <si>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</si>
  <si>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</si>
  <si>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</si>
  <si>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</si>
  <si>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</si>
  <si>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</si>
  <si>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</si>
  <si>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</si>
  <si>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</si>
  <si>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</si>
  <si>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</si>
  <si>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</si>
  <si>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</si>
  <si>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</si>
  <si>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</si>
  <si>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</si>
  <si>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</si>
  <si>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</si>
  <si>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</si>
  <si>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</si>
  <si>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</si>
  <si>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</si>
  <si>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</si>
  <si>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</si>
  <si>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</si>
  <si>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</si>
  <si>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</si>
  <si>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</si>
  <si>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</si>
  <si>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</si>
  <si>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</si>
  <si>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</si>
  <si>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</si>
  <si>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</si>
  <si>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</si>
  <si>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</si>
  <si>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</si>
  <si>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</si>
  <si>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</si>
  <si>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</si>
  <si>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</si>
  <si>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</si>
  <si>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</si>
  <si>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</si>
  <si>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</si>
  <si>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</si>
  <si>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r>
      <t>Task</t>
    </r>
    <r>
      <rPr>
        <sz val="9"/>
        <color theme="1"/>
        <rFont val="맑은 고딕"/>
        <family val="2"/>
      </rPr>
      <t>필드</t>
    </r>
    <r>
      <rPr>
        <sz val="9"/>
        <color theme="1"/>
        <rFont val="Calibri"/>
        <family val="2"/>
      </rPr>
      <t xml:space="preserve"> </t>
    </r>
    <r>
      <rPr>
        <sz val="9"/>
        <color theme="1"/>
        <rFont val="맑은 고딕"/>
        <family val="2"/>
      </rPr>
      <t>유형</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</si>
  <si>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</si>
  <si>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</si>
  <si>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</si>
  <si>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</si>
  <si>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</si>
  <si>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</si>
  <si>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</si>
  <si>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</si>
  <si>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</si>
  <si>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</si>
  <si>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</si>
  <si>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</si>
  <si>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</si>
  <si>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r>
      <t xml:space="preserve">Time bucket type </t>
    </r>
    <r>
      <rPr>
        <sz val="9"/>
        <color theme="1"/>
        <rFont val="맑은 고딕"/>
        <family val="2"/>
      </rPr>
      <t>오류입니다</t>
    </r>
    <r>
      <rPr>
        <sz val="9"/>
        <color theme="1"/>
        <rFont val="Calibri"/>
        <family val="2"/>
      </rPr>
      <t>.</t>
    </r>
  </si>
  <si>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</si>
  <si>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</si>
  <si>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</si>
  <si>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</si>
  <si>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r>
      <rPr>
        <sz val="9"/>
        <color theme="1"/>
        <rFont val="맑은 고딕"/>
        <family val="2"/>
      </rPr>
      <t>총작업량</t>
    </r>
    <r>
      <rPr>
        <sz val="9"/>
        <color theme="1"/>
        <rFont val="Calibri"/>
        <family val="2"/>
      </rPr>
      <t>(A)\nMan-day</t>
    </r>
  </si>
  <si>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</si>
  <si>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</si>
  <si>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r>
      <rPr>
        <sz val="9"/>
        <color theme="1"/>
        <rFont val="맑은 고딕"/>
        <family val="2"/>
      </rPr>
      <t>총</t>
    </r>
    <r>
      <rPr>
        <sz val="9"/>
        <color theme="1"/>
        <rFont val="Calibri"/>
        <family val="2"/>
      </rPr>
      <t>\n</t>
    </r>
    <r>
      <rPr>
        <sz val="9"/>
        <color theme="1"/>
        <rFont val="맑은 고딕"/>
        <family val="2"/>
      </rPr>
      <t>작업량</t>
    </r>
  </si>
  <si>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</si>
  <si>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</si>
  <si>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업데이트</t>
    </r>
    <r>
      <rPr>
        <sz val="9"/>
        <color theme="1"/>
        <rFont val="Calibri"/>
        <family val="2"/>
      </rPr>
      <t xml:space="preserve"> </t>
    </r>
    <r>
      <rPr>
        <sz val="9"/>
        <color theme="1"/>
        <rFont val="맑은 고딕"/>
        <family val="2"/>
      </rPr>
      <t>내용</t>
    </r>
  </si>
  <si>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</si>
  <si>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</si>
  <si>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</si>
  <si>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</si>
  <si>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r>
      <t>WBS</t>
    </r>
    <r>
      <rPr>
        <sz val="9"/>
        <color theme="1"/>
        <rFont val="맑은 고딕"/>
        <family val="2"/>
      </rPr>
      <t>영역</t>
    </r>
    <r>
      <rPr>
        <sz val="9"/>
        <color theme="1"/>
        <rFont val="Calibri"/>
        <family val="2"/>
      </rPr>
      <t xml:space="preserve"> </t>
    </r>
    <r>
      <rPr>
        <sz val="9"/>
        <color theme="1"/>
        <rFont val="맑은 고딕"/>
        <family val="2"/>
      </rPr>
      <t>표시방법</t>
    </r>
  </si>
  <si>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</si>
  <si>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</si>
  <si>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</si>
  <si>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r>
      <t>Workload</t>
    </r>
    <r>
      <rPr>
        <sz val="9"/>
        <color theme="1"/>
        <rFont val="맑은 고딕"/>
        <family val="2"/>
      </rPr>
      <t>현황</t>
    </r>
    <r>
      <rPr>
        <sz val="9"/>
        <color theme="1"/>
        <rFont val="Calibri"/>
        <family val="2"/>
      </rPr>
      <t>({})</t>
    </r>
  </si>
  <si>
    <r>
      <t>Workload(</t>
    </r>
    <r>
      <rPr>
        <sz val="9"/>
        <color theme="1"/>
        <rFont val="맑은 고딕"/>
        <family val="2"/>
      </rPr>
      <t>월별</t>
    </r>
    <r>
      <rPr>
        <sz val="9"/>
        <color theme="1"/>
        <rFont val="Calibri"/>
        <family val="2"/>
      </rPr>
      <t>)</t>
    </r>
  </si>
  <si>
    <r>
      <t>Workload(</t>
    </r>
    <r>
      <rPr>
        <sz val="9"/>
        <color theme="1"/>
        <rFont val="맑은 고딕"/>
        <family val="2"/>
      </rPr>
      <t>담당별</t>
    </r>
    <r>
      <rPr>
        <sz val="9"/>
        <color theme="1"/>
        <rFont val="Calibri"/>
        <family val="2"/>
      </rPr>
      <t>)</t>
    </r>
  </si>
  <si>
    <r>
      <t>Workload(</t>
    </r>
    <r>
      <rPr>
        <sz val="9"/>
        <color theme="1"/>
        <rFont val="맑은 고딕"/>
        <family val="2"/>
      </rPr>
      <t>주별</t>
    </r>
    <r>
      <rPr>
        <sz val="9"/>
        <color theme="1"/>
        <rFont val="Calibri"/>
        <family val="2"/>
      </rPr>
      <t>)</t>
    </r>
  </si>
  <si>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</si>
  <si>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</si>
  <si>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</si>
  <si>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</si>
  <si>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</si>
  <si>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</si>
  <si>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</si>
  <si>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</si>
  <si>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</si>
  <si>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</si>
  <si>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</si>
  <si>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</si>
  <si>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</si>
  <si>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</si>
  <si>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</si>
  <si>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</si>
  <si>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</si>
  <si>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</si>
  <si>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</si>
  <si>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</si>
  <si>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</si>
  <si>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</si>
  <si>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</si>
  <si>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프로젝트 착수 및 계획수립</t>
  </si>
  <si>
    <t>프로젝트 범위정의</t>
  </si>
  <si>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</si>
  <si>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</si>
  <si>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</si>
  <si>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</si>
  <si>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</si>
  <si>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</si>
  <si>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</si>
  <si>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</si>
  <si>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</si>
  <si>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</si>
  <si>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</si>
  <si>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</si>
  <si>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</si>
  <si>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Saturdays, Sundays and the dates entered in the Calendar sheet_x000D_</t>
    <phoneticPr fontId="2" type="noConversion"/>
  </si>
  <si>
    <t>Actual__Total Work</t>
    <phoneticPr fontId="8"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</si>
  <si>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</si>
  <si>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r>
      <t>계획</t>
    </r>
    <r>
      <rPr>
        <sz val="10"/>
        <color theme="1"/>
        <rFont val="Calibri"/>
        <family val="2"/>
      </rPr>
      <t>\n</t>
    </r>
    <r>
      <rPr>
        <sz val="10"/>
        <color theme="1"/>
        <rFont val="돋움"/>
        <family val="3"/>
        <charset val="129"/>
      </rPr>
      <t>기간</t>
    </r>
  </si>
  <si>
    <r>
      <t>실제</t>
    </r>
    <r>
      <rPr>
        <sz val="10"/>
        <color theme="1"/>
        <rFont val="Calibri"/>
        <family val="2"/>
      </rPr>
      <t>\n</t>
    </r>
    <r>
      <rPr>
        <sz val="10"/>
        <color theme="1"/>
        <rFont val="돋움"/>
        <family val="3"/>
        <charset val="129"/>
      </rPr>
      <t>총기간</t>
    </r>
  </si>
  <si>
    <r>
      <t>총</t>
    </r>
    <r>
      <rPr>
        <sz val="10"/>
        <color theme="1"/>
        <rFont val="Calibri"/>
        <family val="2"/>
      </rPr>
      <t>\n</t>
    </r>
    <r>
      <rPr>
        <sz val="10"/>
        <color theme="1"/>
        <rFont val="돋움"/>
        <family val="3"/>
        <charset val="129"/>
      </rPr>
      <t>기간</t>
    </r>
  </si>
  <si>
    <t>Reserved</t>
    <phoneticPr fontId="8" type="noConversion"/>
  </si>
  <si>
    <t>Text Index</t>
    <phoneticPr fontId="8" type="noConversion"/>
  </si>
  <si>
    <t>Description</t>
    <phoneticPr fontId="8"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</si>
  <si>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</si>
  <si>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</si>
  <si>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</si>
  <si>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</si>
  <si>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</si>
  <si>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</si>
  <si>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</si>
  <si>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for import columun</t>
    <phoneticPr fontId="8" type="noConversion"/>
  </si>
  <si>
    <t>%Work__Complete</t>
    <phoneticPr fontId="8" type="noConversion"/>
  </si>
  <si>
    <t>manual input</t>
    <phoneticPr fontId="2" type="noConversion"/>
  </si>
  <si>
    <t>Actual</t>
    <phoneticPr fontId="2" type="noConversion"/>
  </si>
  <si>
    <t>실적</t>
    <phoneticPr fontId="2" type="noConversion"/>
  </si>
  <si>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</si>
  <si>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</si>
  <si>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</si>
  <si>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for import columun</t>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</si>
  <si>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</si>
  <si>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</si>
  <si>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</si>
  <si>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</si>
  <si>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</si>
  <si>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</si>
  <si>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</si>
  <si>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r>
      <rPr>
        <sz val="9"/>
        <color theme="1"/>
        <rFont val="맑은 고딕"/>
        <family val="2"/>
      </rPr>
      <t>실제</t>
    </r>
    <r>
      <rPr>
        <sz val="9"/>
        <color theme="1"/>
        <rFont val="Calibri"/>
        <family val="2"/>
      </rPr>
      <t>\n</t>
    </r>
    <r>
      <rPr>
        <sz val="9"/>
        <color theme="1"/>
        <rFont val="맑은 고딕"/>
        <family val="2"/>
      </rPr>
      <t>완료일</t>
    </r>
    <phoneticPr fontId="2" type="noConversion"/>
  </si>
  <si>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</si>
  <si>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</si>
  <si>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t>
    </r>
    <r>
      <rPr>
        <sz val="9"/>
        <color theme="1"/>
        <rFont val="Calibri"/>
        <family val="2"/>
      </rPr>
      <t>\n</t>
    </r>
    <r>
      <rPr>
        <sz val="9"/>
        <color theme="1"/>
        <rFont val="맑은 고딕"/>
        <family val="2"/>
      </rPr>
      <t>총기간</t>
    </r>
    <phoneticPr fontId="2" type="noConversion"/>
  </si>
  <si>
    <r>
      <rPr>
        <sz val="9"/>
        <color theme="1"/>
        <rFont val="맑은 고딕"/>
        <family val="2"/>
      </rPr>
      <t>담당</t>
    </r>
    <phoneticPr fontId="2" type="noConversion"/>
  </si>
  <si>
    <r>
      <rPr>
        <sz val="9"/>
        <color theme="1"/>
        <rFont val="맑은 고딕"/>
        <family val="2"/>
      </rPr>
      <t>기타</t>
    </r>
    <phoneticPr fontId="2" type="noConversion"/>
  </si>
  <si>
    <r>
      <rPr>
        <sz val="9"/>
        <color theme="1"/>
        <rFont val="맑은 고딕"/>
        <family val="2"/>
      </rPr>
      <t>일반</t>
    </r>
    <phoneticPr fontId="2" type="noConversion"/>
  </si>
  <si>
    <r>
      <rPr>
        <sz val="9"/>
        <color theme="1"/>
        <rFont val="맑은 고딕"/>
        <family val="2"/>
      </rPr>
      <t>언어</t>
    </r>
    <phoneticPr fontId="2" type="noConversion"/>
  </si>
  <si>
    <t>yyyy/mm/dd</t>
    <phoneticPr fontId="2" type="noConversion"/>
  </si>
  <si>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</si>
  <si>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r>
      <rPr>
        <sz val="9"/>
        <color theme="1"/>
        <rFont val="맑은 고딕"/>
        <family val="2"/>
      </rPr>
      <t>토요일</t>
    </r>
    <r>
      <rPr>
        <sz val="9"/>
        <color theme="1"/>
        <rFont val="Calibri"/>
        <family val="2"/>
      </rPr>
      <t>,</t>
    </r>
    <r>
      <rPr>
        <sz val="9"/>
        <color theme="1"/>
        <rFont val="맑은 고딕"/>
        <family val="2"/>
      </rPr>
      <t>일요일만</t>
    </r>
    <phoneticPr fontId="2" type="noConversion"/>
  </si>
  <si>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</si>
  <si>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Plan</t>
    <phoneticPr fontId="2" type="noConversion"/>
  </si>
  <si>
    <t>계획</t>
    <phoneticPr fontId="2" type="noConversion"/>
  </si>
  <si>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</si>
  <si>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Planned__%Work Complete</t>
    <phoneticPr fontId="8" type="noConversion"/>
  </si>
  <si>
    <t>Planned__Duration</t>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</si>
  <si>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</si>
  <si>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</si>
  <si>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Resources</t>
    <phoneticPr fontId="2" type="noConversion"/>
  </si>
  <si>
    <t>담당</t>
    <phoneticPr fontId="2" type="noConversion"/>
  </si>
  <si>
    <r>
      <rPr>
        <sz val="9"/>
        <color theme="1"/>
        <rFont val="맑은 고딕"/>
        <family val="2"/>
      </rPr>
      <t>작업</t>
    </r>
    <phoneticPr fontId="2" type="noConversion"/>
  </si>
  <si>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</si>
  <si>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</si>
  <si>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</si>
  <si>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</si>
  <si>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</si>
  <si>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</si>
  <si>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Name:groupRows</t>
  </si>
  <si>
    <t>Group rows</t>
    <phoneticPr fontId="2" type="noConversion"/>
  </si>
  <si>
    <t>1.1.1</t>
  </si>
  <si>
    <t>김길동</t>
  </si>
  <si>
    <t>2.1.0</t>
    <phoneticPr fontId="2" type="noConversion"/>
  </si>
  <si>
    <t>프로젝트 수행 및 통제</t>
  </si>
  <si>
    <t>프로젝트 종료</t>
  </si>
  <si>
    <t>홍길동</t>
  </si>
  <si>
    <t>2.1.1</t>
  </si>
  <si>
    <t>2.1.2.1</t>
  </si>
  <si>
    <t>2.1.2.2</t>
  </si>
  <si>
    <t>2.2.1</t>
  </si>
  <si>
    <t>2.2.3</t>
  </si>
  <si>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</si>
  <si>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홍길동,김길동,이길동</t>
  </si>
  <si>
    <t>중간보고</t>
  </si>
  <si>
    <t>시스템 개발</t>
  </si>
  <si>
    <t>분석</t>
  </si>
  <si>
    <t>논리모델구축</t>
  </si>
  <si>
    <t>설계</t>
  </si>
  <si>
    <t>UI 설계</t>
  </si>
  <si>
    <t>시스템 설계</t>
  </si>
  <si>
    <t>2.2.2.1</t>
  </si>
  <si>
    <t>Architecture설계</t>
  </si>
  <si>
    <t>2.2.2.2</t>
  </si>
  <si>
    <t>데이터베이스설계</t>
  </si>
  <si>
    <t>2.2.2.3</t>
  </si>
  <si>
    <t>프로그램설계</t>
  </si>
  <si>
    <t>테스트 설계</t>
  </si>
  <si>
    <t>개발</t>
  </si>
  <si>
    <t>프로그램 개발</t>
  </si>
  <si>
    <t>2.3.1.1</t>
  </si>
  <si>
    <t>단위테스트시나리오작성</t>
  </si>
  <si>
    <t>프로그램코딩 및 단위테스트</t>
  </si>
  <si>
    <t>모듈A</t>
  </si>
  <si>
    <t>2.3.1.2.1.1</t>
  </si>
  <si>
    <t>프로그램A</t>
  </si>
  <si>
    <t>2.3.1.2.1.2</t>
  </si>
  <si>
    <t>프로그램B</t>
  </si>
  <si>
    <t>2.3.1.2.1.3</t>
  </si>
  <si>
    <t>프로그램C</t>
  </si>
  <si>
    <t>2.3.1.2.2</t>
  </si>
  <si>
    <t>모듈B</t>
  </si>
  <si>
    <t>2.3.1.2.3</t>
  </si>
  <si>
    <t>모듈C</t>
  </si>
  <si>
    <t>2.3.1.2.4</t>
  </si>
  <si>
    <t>모듈D</t>
  </si>
  <si>
    <t>테스트실시</t>
  </si>
  <si>
    <t>2.3.2.1</t>
  </si>
  <si>
    <t>통합테스트실시</t>
  </si>
  <si>
    <t>2.3.2.2</t>
  </si>
  <si>
    <t>시스템테스트실시</t>
  </si>
  <si>
    <t>구현</t>
  </si>
  <si>
    <t>구현준비</t>
  </si>
  <si>
    <t>2.4.1.1</t>
  </si>
  <si>
    <t>Release 및 Contingency plan수립</t>
  </si>
  <si>
    <t>Conversion 및 Release</t>
  </si>
  <si>
    <t>2.4.2.1</t>
  </si>
  <si>
    <t>데이터베이스구축</t>
  </si>
  <si>
    <t>2.4.2.2</t>
  </si>
  <si>
    <t>소프트웨어설치</t>
  </si>
  <si>
    <t>2.4.2.3</t>
  </si>
  <si>
    <t>인수테스트실시</t>
  </si>
  <si>
    <t>2.4.2.4</t>
  </si>
  <si>
    <t>시스템오픈</t>
  </si>
  <si>
    <t>프로젝트수행계획서.pptx</t>
  </si>
  <si>
    <t>박길동,정길동,최길동</t>
  </si>
  <si>
    <t>정길동</t>
  </si>
  <si>
    <t>논리데이터모델링.pptx</t>
  </si>
  <si>
    <t>유아인</t>
  </si>
  <si>
    <t>김아키</t>
  </si>
  <si>
    <t>김디비</t>
  </si>
  <si>
    <t>김프로</t>
  </si>
  <si>
    <t>프로그램명세서</t>
  </si>
  <si>
    <t>이개발</t>
  </si>
  <si>
    <t>박개발</t>
  </si>
  <si>
    <t>이개발,박개발</t>
  </si>
  <si>
    <t>김프로,김디비</t>
  </si>
  <si>
    <t>김프로,이개발</t>
  </si>
  <si>
    <t>이길동</t>
  </si>
  <si>
    <t>박길동</t>
  </si>
  <si>
    <t>최길동</t>
  </si>
  <si>
    <t>C:\Temp</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</si>
  <si>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</si>
  <si>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</si>
  <si>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</si>
  <si>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</si>
  <si>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</si>
  <si>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</si>
  <si>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</si>
  <si>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</si>
  <si>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</si>
  <si>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</si>
  <si>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</si>
  <si>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</si>
  <si>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</si>
  <si>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</si>
  <si>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</si>
  <si>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</si>
  <si>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G</t>
  </si>
  <si>
    <t>1</t>
  </si>
  <si>
    <t>1.1</t>
  </si>
  <si>
    <t>1.1.2</t>
  </si>
  <si>
    <t>1.2</t>
  </si>
  <si>
    <t>1.3</t>
  </si>
  <si>
    <t>2</t>
  </si>
  <si>
    <t>2.1</t>
  </si>
  <si>
    <t>2.1.2</t>
  </si>
  <si>
    <t>2.2</t>
  </si>
  <si>
    <t>2.2.2</t>
  </si>
  <si>
    <t>2.3</t>
  </si>
  <si>
    <t>2.3.1</t>
  </si>
  <si>
    <t>2.3.1.2</t>
  </si>
  <si>
    <t>2.3.1.2.1</t>
  </si>
  <si>
    <t>2.3.2</t>
  </si>
  <si>
    <t>2.4</t>
  </si>
  <si>
    <t>2.4.1</t>
  </si>
  <si>
    <t>2.4.2</t>
  </si>
  <si>
    <t>메모장</t>
    <phoneticPr fontId="8" type="noConversion"/>
  </si>
  <si>
    <t>Display font color to the gray for the completed tasks</t>
    <phoneticPr fontId="2" type="noConversion"/>
  </si>
  <si>
    <t>ace</t>
    <phoneticPr fontId="8" type="noConversion"/>
  </si>
  <si>
    <t>txt</t>
    <phoneticPr fontId="8" type="noConversion"/>
  </si>
  <si>
    <r>
      <t xml:space="preserve">  XLGantt 2.1.0 </t>
    </r>
    <r>
      <rPr>
        <b/>
        <sz val="14"/>
        <color rgb="FFFF8800"/>
        <rFont val="돋움"/>
        <family val="3"/>
        <charset val="129"/>
      </rPr>
      <t>ⓒ</t>
    </r>
    <r>
      <rPr>
        <b/>
        <sz val="14"/>
        <color rgb="FFFF8800"/>
        <rFont val="Calibri"/>
        <family val="2"/>
      </rPr>
      <t>XLWorks</t>
    </r>
  </si>
  <si>
    <t>1:English,82:Korean</t>
    <phoneticPr fontId="2" type="noConversion"/>
  </si>
  <si>
    <t>실제 진행된 작업량</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</si>
  <si>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</si>
  <si>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</si>
  <si>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</si>
  <si>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</si>
  <si>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</si>
  <si>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</si>
  <si>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</si>
  <si>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</si>
  <si>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</si>
  <si>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</si>
  <si>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</si>
  <si>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</si>
  <si>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</si>
  <si>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 xml:space="preserve">  주별보기, Zoom 100%</t>
  </si>
  <si>
    <t>시작일</t>
  </si>
  <si>
    <t>완료일</t>
  </si>
  <si>
    <t>[담당자미지정]</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</si>
  <si>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</si>
  <si>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</si>
  <si>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</si>
  <si>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</si>
  <si>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</si>
  <si>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</si>
  <si>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휴무일명</t>
    <phoneticPr fontId="8" type="noConversion"/>
  </si>
  <si>
    <t>휴무일자</t>
    <phoneticPr fontId="8" type="noConversion"/>
  </si>
  <si>
    <t>휴무일자</t>
    <phoneticPr fontId="8" type="noConversion"/>
  </si>
  <si>
    <t>더 이상 입력불가</t>
    <phoneticPr fontId="8" type="noConversion"/>
  </si>
  <si>
    <t>자동지정</t>
    <phoneticPr fontId="8" type="noConversion"/>
  </si>
  <si>
    <t>doc*</t>
    <phoneticPr fontId="8" type="noConversion"/>
  </si>
  <si>
    <t>Auto CAD</t>
    <phoneticPr fontId="8" type="noConversion"/>
  </si>
  <si>
    <t>E</t>
    <phoneticPr fontId="2" type="noConversion"/>
  </si>
  <si>
    <t>OOO 프로젝트</t>
    <phoneticPr fontId="2" type="noConversion"/>
  </si>
  <si>
    <t>TODAY</t>
    <phoneticPr fontId="2" type="noConversion"/>
  </si>
  <si>
    <t>DEFINED</t>
    <phoneticPr fontId="8" type="noConversion"/>
  </si>
  <si>
    <t>아크로에디터</t>
    <phoneticPr fontId="8" type="noConversion"/>
  </si>
  <si>
    <t>C:\WINDOWS\system32\notepad.exe</t>
    <phoneticPr fontId="8" type="noConversion"/>
  </si>
  <si>
    <t>C:\Temp</t>
    <phoneticPr fontId="8" type="noConversion"/>
  </si>
  <si>
    <t>파워포인트</t>
    <phoneticPr fontId="8" type="noConversion"/>
  </si>
  <si>
    <t>ppt*</t>
    <phoneticPr fontId="8" type="noConversion"/>
  </si>
  <si>
    <t>자동지정</t>
    <phoneticPr fontId="8" type="noConversion"/>
  </si>
  <si>
    <t>워드</t>
    <phoneticPr fontId="8" type="noConversion"/>
  </si>
  <si>
    <t>엑셀</t>
    <phoneticPr fontId="8" type="noConversion"/>
  </si>
  <si>
    <t>xls*</t>
    <phoneticPr fontId="8" type="noConversion"/>
  </si>
  <si>
    <t>cad</t>
    <phoneticPr fontId="8" type="noConversion"/>
  </si>
  <si>
    <t>c:\cad\cad\cad.exe</t>
    <phoneticPr fontId="8" type="noConversion"/>
  </si>
  <si>
    <t>c:\ace\aaa.exe</t>
    <phoneticPr fontId="8" type="noConversion"/>
  </si>
  <si>
    <t>계획진척율(주별)</t>
  </si>
  <si>
    <t>* 주별로 프로젝트의 계획진적율을 보여줍니다.</t>
  </si>
  <si>
    <t>* "계획진척율" 메뉴를 클릭해야 갱신됨</t>
  </si>
  <si>
    <t>누적_x000D_
Man-Day</t>
  </si>
  <si>
    <t>진척율</t>
  </si>
  <si>
    <t>reserved</t>
    <phoneticPr fontId="8" type="noConversion"/>
  </si>
  <si>
    <t>실제_x000D_
시작일</t>
    <phoneticPr fontId="8" type="noConversion"/>
  </si>
  <si>
    <t>{"TASK_FIRST_COL":"5","START_ROW":"5","WBS_AREA_LAST_COL":"28"}</t>
    <phoneticPr fontId="8" type="noConversion"/>
  </si>
  <si>
    <t>SCHEDULE_SHEET_POSITION:3545121314151617181920212223242526272829</t>
    <phoneticPr fontId="2" type="noConversion"/>
  </si>
  <si>
    <t>총_x000D_
작업량</t>
    <phoneticPr fontId="8" type="noConversion"/>
  </si>
  <si>
    <t>계획_x000D_
작업량</t>
    <phoneticPr fontId="8" type="noConversion"/>
  </si>
  <si>
    <t>총_x000D_
기간</t>
    <phoneticPr fontId="8" type="noConversion"/>
  </si>
  <si>
    <t>task_group</t>
    <phoneticPr fontId="8" type="noConversion"/>
  </si>
  <si>
    <t>wbs_level</t>
    <phoneticPr fontId="8" type="noConversion"/>
  </si>
  <si>
    <t>WBS</t>
    <phoneticPr fontId="8" type="noConversion"/>
  </si>
  <si>
    <t>작업*</t>
    <phoneticPr fontId="8" type="noConversion"/>
  </si>
  <si>
    <t>비고</t>
    <phoneticPr fontId="8" type="noConversion"/>
  </si>
  <si>
    <t>시작일*</t>
    <phoneticPr fontId="8" type="noConversion"/>
  </si>
  <si>
    <t>완료일*</t>
    <phoneticPr fontId="8" type="noConversion"/>
  </si>
  <si>
    <t>Calendar</t>
    <phoneticPr fontId="8" type="noConversion"/>
  </si>
  <si>
    <t>계획_x000D_
기간</t>
    <phoneticPr fontId="8" type="noConversion"/>
  </si>
  <si>
    <t>실제_x000D_
완료일</t>
    <phoneticPr fontId="8" type="noConversion"/>
  </si>
  <si>
    <t>실제_x000D_
총작업량</t>
    <phoneticPr fontId="8" type="noConversion"/>
  </si>
  <si>
    <t>실제_x000D_
총기간</t>
    <phoneticPr fontId="8" type="noConversion"/>
  </si>
  <si>
    <t>가중치</t>
    <phoneticPr fontId="8" type="noConversion"/>
  </si>
  <si>
    <t>담당</t>
    <phoneticPr fontId="8" type="noConversion"/>
  </si>
  <si>
    <t>산출물</t>
    <phoneticPr fontId="8" type="noConversion"/>
  </si>
  <si>
    <t>계획</t>
    <phoneticPr fontId="8" type="noConversion"/>
  </si>
  <si>
    <t>실적*</t>
    <phoneticPr fontId="8" type="noConversion"/>
  </si>
  <si>
    <t>프로젝트 진행율 - 일정변경 관리하지 않을때</t>
    <phoneticPr fontId="8" type="noConversion"/>
  </si>
  <si>
    <t>실제 진행된 작업량</t>
    <phoneticPr fontId="8" type="noConversion"/>
  </si>
  <si>
    <t>일정변경관리 하지 않을 때 현재까지 실제로 진행된 작업기간을 표시함(총기간 x 총실적진행율)</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</si>
</sst>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mm\/dd"/>
    <numFmt numFmtId="179" formatCode="0.0_);[Red]\(0.0\)"/>
    <numFmt numFmtId="180" formatCode="0.00_);[Red]\(0.00\)"/>
  </numFmts>
  <fonts count="44">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46">
    <xf numFmtId="0" fontId="0" fillId="0" borderId="0" xfId="0"/>
    <xf numFmtId="0" fontId="12" fillId="0" borderId="0" xfId="1" applyFont="1" applyFill="1" applyBorder="1" applyAlignment="1">
      <alignment horizontal="left" vertical="center"/>
    </xf>
    <xf numFmtId="0" fontId="12" fillId="0" borderId="2" xfId="4" applyFont="1" applyFill="1" applyBorder="1" applyAlignment="1" applyProtection="1">
      <alignment horizontal="left" vertical="center"/>
    </xf>
    <xf numFmtId="0" fontId="12" fillId="0" borderId="7" xfId="4" quotePrefix="1" applyFont="1" applyFill="1" applyBorder="1" applyAlignment="1" applyProtection="1">
      <alignment horizontal="right" vertical="top"/>
      <protection locked="0"/>
    </xf>
    <xf numFmtId="0" fontId="12" fillId="0" borderId="8" xfId="4" applyFont="1" applyFill="1" applyBorder="1" applyAlignment="1" applyProtection="1">
      <alignment horizontal="left" vertical="center"/>
      <protection locked="0"/>
    </xf>
    <xf numFmtId="0" fontId="12" fillId="0" borderId="10" xfId="4" applyFont="1" applyFill="1" applyBorder="1" applyAlignment="1" applyProtection="1">
      <alignment horizontal="right" vertical="top"/>
      <protection locked="0"/>
    </xf>
    <xf numFmtId="0" fontId="12" fillId="0" borderId="10" xfId="4" applyFont="1" applyFill="1" applyBorder="1" applyAlignment="1" applyProtection="1">
      <alignment horizontal="left" vertical="top"/>
      <protection locked="0"/>
    </xf>
    <xf numFmtId="14"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left" vertical="top"/>
      <protection locked="0"/>
    </xf>
    <xf numFmtId="176" fontId="12" fillId="0" borderId="10" xfId="4" applyNumberFormat="1" applyFont="1" applyFill="1" applyBorder="1" applyAlignment="1" applyProtection="1">
      <alignment horizontal="center" vertical="top"/>
      <protection locked="0"/>
    </xf>
    <xf numFmtId="0" fontId="12" fillId="0" borderId="10" xfId="4" applyNumberFormat="1" applyFont="1" applyFill="1" applyBorder="1" applyAlignment="1" applyProtection="1">
      <alignment horizontal="center" vertical="top"/>
      <protection locked="0"/>
    </xf>
    <xf numFmtId="177" fontId="12" fillId="0" borderId="10" xfId="4" applyNumberFormat="1" applyFont="1" applyFill="1" applyBorder="1" applyAlignment="1" applyProtection="1">
      <alignment horizontal="center" vertical="top"/>
      <protection locked="0"/>
    </xf>
    <xf numFmtId="1" fontId="12" fillId="0" borderId="10" xfId="4" applyNumberFormat="1" applyFont="1" applyFill="1" applyBorder="1" applyAlignment="1" applyProtection="1">
      <alignment horizontal="center" vertical="top"/>
      <protection locked="0"/>
    </xf>
    <xf numFmtId="179" fontId="12" fillId="0" borderId="10" xfId="4" applyNumberFormat="1" applyFont="1" applyFill="1" applyBorder="1" applyAlignment="1" applyProtection="1">
      <alignment horizontal="center" vertical="top"/>
      <protection locked="0"/>
    </xf>
    <xf numFmtId="14" fontId="12" fillId="0" borderId="10" xfId="4" applyNumberFormat="1" applyFont="1" applyFill="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Fill="1" applyBorder="1" applyAlignment="1" applyProtection="1">
      <alignment vertical="center"/>
    </xf>
    <xf numFmtId="14" fontId="16" fillId="0" borderId="0" xfId="4" applyNumberFormat="1" applyFont="1" applyFill="1" applyBorder="1" applyAlignment="1" applyProtection="1">
      <alignment vertical="center"/>
    </xf>
    <xf numFmtId="14" fontId="17" fillId="3" borderId="0" xfId="4" quotePrefix="1" applyNumberFormat="1" applyFont="1" applyFill="1" applyBorder="1" applyProtection="1"/>
    <xf numFmtId="14" fontId="17" fillId="3" borderId="0" xfId="4" applyNumberFormat="1" applyFont="1" applyFill="1" applyBorder="1" applyAlignment="1" applyProtection="1">
      <alignment vertical="center"/>
    </xf>
    <xf numFmtId="0" fontId="17" fillId="3" borderId="0" xfId="4" applyFont="1" applyFill="1" applyBorder="1" applyProtection="1"/>
    <xf numFmtId="176" fontId="19" fillId="3" borderId="0" xfId="4" applyNumberFormat="1" applyFont="1" applyFill="1" applyBorder="1" applyAlignment="1" applyProtection="1">
      <alignment vertical="center"/>
      <protection locked="0"/>
    </xf>
    <xf numFmtId="14" fontId="18" fillId="3" borderId="0" xfId="4" applyNumberFormat="1" applyFont="1" applyFill="1" applyBorder="1" applyAlignment="1" applyProtection="1">
      <alignment vertical="center"/>
    </xf>
    <xf numFmtId="14" fontId="17" fillId="0" borderId="11" xfId="4" applyNumberFormat="1" applyFont="1" applyFill="1" applyBorder="1" applyAlignment="1" applyProtection="1">
      <alignment vertical="top"/>
      <protection locked="0"/>
    </xf>
    <xf numFmtId="14" fontId="17" fillId="0" borderId="11" xfId="4" applyNumberFormat="1" applyFont="1" applyFill="1" applyBorder="1" applyAlignment="1" applyProtection="1">
      <alignment vertical="center"/>
      <protection locked="0"/>
    </xf>
    <xf numFmtId="0" fontId="17" fillId="0" borderId="11" xfId="4" applyFont="1" applyFill="1" applyBorder="1" applyAlignment="1" applyProtection="1">
      <alignment vertical="top"/>
      <protection locked="0"/>
    </xf>
    <xf numFmtId="0" fontId="17" fillId="0" borderId="11" xfId="4" applyFont="1" applyFill="1" applyBorder="1" applyAlignment="1" applyProtection="1">
      <alignment vertical="center" wrapText="1"/>
      <protection locked="0"/>
    </xf>
    <xf numFmtId="0" fontId="17" fillId="0" borderId="11" xfId="4" applyFont="1" applyFill="1" applyBorder="1" applyAlignment="1" applyProtection="1">
      <alignment vertical="center"/>
      <protection locked="0"/>
    </xf>
    <xf numFmtId="0" fontId="17" fillId="0" borderId="0" xfId="4" applyFont="1" applyFill="1" applyBorder="1" applyAlignment="1" applyProtection="1">
      <alignment vertical="top"/>
      <protection locked="0"/>
    </xf>
    <xf numFmtId="14" fontId="20" fillId="0" borderId="0" xfId="4" applyNumberFormat="1" applyFont="1" applyFill="1" applyBorder="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Fill="1" applyBorder="1" applyAlignment="1" applyProtection="1">
      <alignment horizontal="right" vertical="top"/>
      <protection locked="0"/>
    </xf>
    <xf numFmtId="14" fontId="17" fillId="0" borderId="13" xfId="4" applyNumberFormat="1" applyFont="1" applyFill="1" applyBorder="1" applyAlignment="1" applyProtection="1">
      <alignment vertical="center"/>
      <protection locked="0"/>
    </xf>
    <xf numFmtId="0" fontId="17" fillId="0" borderId="13" xfId="4" applyFont="1" applyFill="1" applyBorder="1" applyAlignment="1" applyProtection="1">
      <alignment vertical="top"/>
      <protection locked="0"/>
    </xf>
    <xf numFmtId="0" fontId="17" fillId="0" borderId="13" xfId="4" applyFont="1" applyFill="1" applyBorder="1" applyAlignment="1" applyProtection="1">
      <alignment vertical="center"/>
      <protection locked="0"/>
    </xf>
    <xf numFmtId="14" fontId="20" fillId="0" borderId="0" xfId="4" applyNumberFormat="1" applyFont="1" applyFill="1" applyBorder="1" applyAlignment="1" applyProtection="1">
      <alignment vertical="top"/>
      <protection locked="0"/>
    </xf>
    <xf numFmtId="14" fontId="17" fillId="0" borderId="0" xfId="4" applyNumberFormat="1" applyFont="1" applyFill="1" applyBorder="1" applyAlignment="1" applyProtection="1">
      <alignment vertical="center"/>
      <protection locked="0"/>
    </xf>
    <xf numFmtId="0" fontId="17" fillId="0" borderId="14" xfId="4" applyFont="1" applyFill="1" applyBorder="1" applyAlignment="1" applyProtection="1">
      <alignment vertical="center" wrapText="1"/>
      <protection locked="0"/>
    </xf>
    <xf numFmtId="14" fontId="17" fillId="0" borderId="0" xfId="4" applyNumberFormat="1" applyFont="1" applyFill="1" applyBorder="1" applyAlignment="1" applyProtection="1">
      <alignment vertical="top"/>
      <protection locked="0"/>
    </xf>
    <xf numFmtId="14" fontId="20" fillId="0" borderId="13" xfId="4" applyNumberFormat="1" applyFont="1" applyFill="1" applyBorder="1" applyAlignment="1" applyProtection="1">
      <alignment vertical="top"/>
      <protection locked="0"/>
    </xf>
    <xf numFmtId="0" fontId="17" fillId="0" borderId="13" xfId="4" applyFont="1" applyFill="1" applyBorder="1" applyAlignment="1" applyProtection="1">
      <alignment vertical="center" wrapText="1"/>
      <protection locked="0"/>
    </xf>
    <xf numFmtId="14" fontId="20" fillId="0" borderId="14" xfId="4" applyNumberFormat="1" applyFont="1" applyFill="1" applyBorder="1" applyAlignment="1" applyProtection="1">
      <alignment vertical="center" wrapText="1"/>
      <protection locked="0"/>
    </xf>
    <xf numFmtId="14" fontId="20" fillId="0" borderId="0" xfId="4" applyNumberFormat="1" applyFont="1" applyFill="1" applyBorder="1" applyAlignment="1" applyProtection="1">
      <alignment horizontal="right" vertical="center" wrapText="1"/>
      <protection locked="0"/>
    </xf>
    <xf numFmtId="14" fontId="20" fillId="0" borderId="13" xfId="4" applyNumberFormat="1" applyFont="1" applyFill="1" applyBorder="1" applyAlignment="1" applyProtection="1">
      <alignment vertical="center" wrapText="1"/>
      <protection locked="0"/>
    </xf>
    <xf numFmtId="0" fontId="17" fillId="0" borderId="13" xfId="4" applyFont="1" applyFill="1" applyBorder="1" applyProtection="1">
      <protection locked="0"/>
    </xf>
    <xf numFmtId="0" fontId="17" fillId="0" borderId="0" xfId="4" applyFont="1" applyFill="1" applyBorder="1" applyProtection="1">
      <protection locked="0"/>
    </xf>
    <xf numFmtId="14" fontId="17" fillId="0" borderId="0" xfId="4" applyNumberFormat="1" applyFont="1" applyFill="1" applyBorder="1" applyProtection="1">
      <protection locked="0"/>
    </xf>
    <xf numFmtId="14" fontId="17" fillId="0" borderId="14" xfId="4" applyNumberFormat="1" applyFont="1" applyFill="1" applyBorder="1" applyAlignment="1" applyProtection="1">
      <alignment vertical="center"/>
      <protection locked="0"/>
    </xf>
    <xf numFmtId="0" fontId="17" fillId="0" borderId="14" xfId="4" applyFont="1" applyFill="1" applyBorder="1" applyProtection="1">
      <protection locked="0"/>
    </xf>
    <xf numFmtId="14" fontId="17" fillId="0" borderId="15" xfId="4" applyNumberFormat="1" applyFont="1" applyFill="1" applyBorder="1" applyAlignment="1" applyProtection="1">
      <alignment vertical="center"/>
      <protection locked="0"/>
    </xf>
    <xf numFmtId="0" fontId="17" fillId="0" borderId="15" xfId="4" applyFont="1" applyFill="1" applyBorder="1" applyAlignment="1" applyProtection="1">
      <alignment vertical="top"/>
      <protection locked="0"/>
    </xf>
    <xf numFmtId="14" fontId="20" fillId="0" borderId="14" xfId="4" applyNumberFormat="1" applyFont="1" applyFill="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Fill="1" applyBorder="1" applyAlignment="1" applyProtection="1">
      <alignment horizontal="right" vertical="top"/>
      <protection locked="0"/>
    </xf>
    <xf numFmtId="14" fontId="20" fillId="0" borderId="11" xfId="4" applyNumberFormat="1" applyFont="1" applyFill="1" applyBorder="1" applyAlignment="1" applyProtection="1">
      <alignment horizontal="right" vertical="top"/>
      <protection locked="0"/>
    </xf>
    <xf numFmtId="14" fontId="20" fillId="0" borderId="16" xfId="4" applyNumberFormat="1" applyFont="1" applyFill="1" applyBorder="1" applyAlignment="1" applyProtection="1">
      <alignment horizontal="right" vertical="top"/>
      <protection locked="0"/>
    </xf>
    <xf numFmtId="14" fontId="17" fillId="0" borderId="16" xfId="4" applyNumberFormat="1" applyFont="1" applyFill="1" applyBorder="1" applyAlignment="1" applyProtection="1">
      <alignment vertical="center"/>
      <protection locked="0"/>
    </xf>
    <xf numFmtId="0" fontId="17" fillId="0" borderId="16" xfId="4" applyFont="1" applyFill="1" applyBorder="1" applyAlignment="1" applyProtection="1">
      <alignment vertical="top"/>
      <protection locked="0"/>
    </xf>
    <xf numFmtId="14" fontId="20" fillId="0" borderId="17" xfId="4" applyNumberFormat="1" applyFont="1" applyFill="1" applyBorder="1" applyAlignment="1" applyProtection="1">
      <alignment vertical="top"/>
      <protection locked="0"/>
    </xf>
    <xf numFmtId="14" fontId="17" fillId="0" borderId="17" xfId="4" applyNumberFormat="1" applyFont="1" applyFill="1" applyBorder="1" applyAlignment="1" applyProtection="1">
      <alignment vertical="center"/>
      <protection locked="0"/>
    </xf>
    <xf numFmtId="0" fontId="17" fillId="0" borderId="17" xfId="4" applyFont="1" applyFill="1" applyBorder="1" applyAlignment="1" applyProtection="1">
      <alignment vertical="top"/>
      <protection locked="0"/>
    </xf>
    <xf numFmtId="0" fontId="17" fillId="0" borderId="14" xfId="4" applyFont="1" applyFill="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Fill="1" applyBorder="1" applyAlignment="1" applyProtection="1">
      <alignment horizontal="right" vertical="top"/>
      <protection locked="0"/>
    </xf>
    <xf numFmtId="14" fontId="17" fillId="0" borderId="18" xfId="4" applyNumberFormat="1" applyFont="1" applyFill="1" applyBorder="1" applyAlignment="1" applyProtection="1">
      <alignment vertical="center"/>
      <protection locked="0"/>
    </xf>
    <xf numFmtId="0" fontId="17" fillId="0" borderId="18" xfId="4" applyFont="1" applyFill="1" applyBorder="1" applyAlignment="1" applyProtection="1">
      <alignment vertical="top"/>
      <protection locked="0"/>
    </xf>
    <xf numFmtId="0" fontId="17" fillId="0" borderId="18" xfId="4" applyFont="1" applyFill="1" applyBorder="1" applyAlignment="1" applyProtection="1">
      <alignment vertical="center"/>
      <protection locked="0"/>
    </xf>
    <xf numFmtId="14" fontId="16" fillId="0" borderId="0" xfId="4" applyNumberFormat="1" applyFont="1" applyFill="1" applyBorder="1" applyAlignment="1" applyProtection="1">
      <alignment vertical="top"/>
      <protection locked="0"/>
    </xf>
    <xf numFmtId="14" fontId="16" fillId="0" borderId="0" xfId="4" applyNumberFormat="1" applyFont="1" applyFill="1" applyBorder="1" applyAlignment="1" applyProtection="1">
      <alignment vertical="center"/>
      <protection locked="0"/>
    </xf>
    <xf numFmtId="0" fontId="16" fillId="0" borderId="0" xfId="4" applyFont="1" applyFill="1" applyBorder="1" applyAlignment="1" applyProtection="1">
      <alignment vertical="top"/>
      <protection locked="0"/>
    </xf>
    <xf numFmtId="14" fontId="16" fillId="0" borderId="0" xfId="4" applyNumberFormat="1" applyFont="1" applyFill="1" applyBorder="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Fill="1" applyBorder="1" applyProtection="1">
      <protection locked="0"/>
    </xf>
    <xf numFmtId="1" fontId="16" fillId="0" borderId="0" xfId="4" applyNumberFormat="1" applyFont="1" applyFill="1" applyBorder="1" applyAlignment="1" applyProtection="1">
      <alignment vertical="center"/>
      <protection locked="0"/>
    </xf>
    <xf numFmtId="176" fontId="16" fillId="0" borderId="0" xfId="4" applyNumberFormat="1" applyFont="1" applyFill="1" applyBorder="1" applyAlignment="1" applyProtection="1">
      <alignment vertical="center"/>
      <protection locked="0"/>
    </xf>
    <xf numFmtId="0" fontId="14" fillId="0" borderId="0" xfId="4" applyFont="1" applyFill="1" applyBorder="1" applyAlignment="1">
      <alignment vertical="center"/>
    </xf>
    <xf numFmtId="0" fontId="16" fillId="7" borderId="1" xfId="4" applyFont="1" applyFill="1" applyBorder="1" applyAlignment="1">
      <alignment horizontal="left" wrapText="1"/>
    </xf>
    <xf numFmtId="14" fontId="16" fillId="0" borderId="0" xfId="4" applyNumberFormat="1" applyFont="1" applyFill="1" applyProtection="1"/>
    <xf numFmtId="14" fontId="16" fillId="3" borderId="0" xfId="4" applyNumberFormat="1" applyFont="1" applyFill="1" applyAlignment="1" applyProtection="1">
      <alignment vertical="top"/>
    </xf>
    <xf numFmtId="14" fontId="22" fillId="4" borderId="19" xfId="4" applyNumberFormat="1" applyFont="1" applyFill="1" applyBorder="1" applyAlignment="1" applyProtection="1">
      <alignment horizontal="center" vertical="center"/>
    </xf>
    <xf numFmtId="14" fontId="16" fillId="0" borderId="0" xfId="4" applyNumberFormat="1" applyFont="1" applyAlignment="1" applyProtection="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14" fontId="16" fillId="0" borderId="0" xfId="4" applyNumberFormat="1" applyFont="1" applyProtection="1"/>
    <xf numFmtId="0" fontId="23" fillId="0" borderId="0" xfId="4" applyFont="1"/>
    <xf numFmtId="14" fontId="16" fillId="0" borderId="19" xfId="4" applyNumberFormat="1" applyFont="1" applyBorder="1" applyProtection="1"/>
    <xf numFmtId="0" fontId="26" fillId="0" borderId="0" xfId="4" applyNumberFormat="1" applyFont="1" applyFill="1" applyBorder="1" applyAlignment="1" applyProtection="1">
      <alignment horizontal="center"/>
      <protection locked="0"/>
    </xf>
    <xf numFmtId="14" fontId="26" fillId="0" borderId="0" xfId="4" applyNumberFormat="1" applyFont="1" applyFill="1" applyBorder="1" applyAlignment="1" applyProtection="1">
      <alignment horizontal="center"/>
      <protection locked="0"/>
    </xf>
    <xf numFmtId="0" fontId="26" fillId="0" borderId="0" xfId="4" applyFont="1" applyFill="1" applyBorder="1" applyAlignment="1" applyProtection="1">
      <alignment horizontal="center"/>
      <protection locked="0"/>
    </xf>
    <xf numFmtId="0" fontId="26" fillId="0" borderId="0" xfId="4" applyFont="1" applyFill="1" applyBorder="1" applyProtection="1">
      <protection locked="0"/>
    </xf>
    <xf numFmtId="0" fontId="26" fillId="0" borderId="0" xfId="4" applyNumberFormat="1" applyFont="1" applyFill="1" applyBorder="1" applyAlignment="1" applyProtection="1">
      <alignment horizontal="right"/>
      <protection locked="0"/>
    </xf>
    <xf numFmtId="0" fontId="26" fillId="0" borderId="0" xfId="4" applyNumberFormat="1" applyFont="1" applyFill="1" applyBorder="1" applyAlignment="1" applyProtection="1">
      <alignment horizontal="left"/>
      <protection locked="0"/>
    </xf>
    <xf numFmtId="14" fontId="26" fillId="0" borderId="0" xfId="4" applyNumberFormat="1" applyFont="1" applyFill="1" applyBorder="1" applyProtection="1">
      <protection locked="0"/>
    </xf>
    <xf numFmtId="14" fontId="26" fillId="0" borderId="0" xfId="4" applyNumberFormat="1" applyFont="1" applyFill="1" applyBorder="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Fill="1" applyAlignment="1">
      <alignment horizontal="left" vertical="top"/>
    </xf>
    <xf numFmtId="0" fontId="17" fillId="0" borderId="0" xfId="4" applyFont="1" applyFill="1" applyBorder="1" applyAlignment="1">
      <alignment vertical="top"/>
    </xf>
    <xf numFmtId="0" fontId="17" fillId="0" borderId="0" xfId="4" applyFont="1" applyFill="1" applyBorder="1" applyAlignment="1">
      <alignment horizontal="left" vertical="top"/>
    </xf>
    <xf numFmtId="0" fontId="17" fillId="0" borderId="0" xfId="4" applyFont="1" applyFill="1" applyAlignment="1">
      <alignment vertical="top"/>
    </xf>
    <xf numFmtId="0" fontId="17" fillId="0" borderId="0" xfId="4" quotePrefix="1" applyFont="1" applyFill="1" applyBorder="1" applyAlignment="1">
      <alignment horizontal="left" vertical="top"/>
    </xf>
    <xf numFmtId="14" fontId="17" fillId="0" borderId="0" xfId="4" applyNumberFormat="1" applyFont="1" applyFill="1" applyBorder="1" applyAlignment="1">
      <alignment horizontal="left" vertical="top"/>
    </xf>
    <xf numFmtId="0" fontId="17" fillId="0" borderId="20" xfId="4" applyFont="1" applyFill="1" applyBorder="1" applyAlignment="1">
      <alignment vertical="top"/>
    </xf>
    <xf numFmtId="0" fontId="17" fillId="0" borderId="20" xfId="4" applyFont="1" applyFill="1" applyBorder="1" applyAlignment="1">
      <alignment horizontal="left" vertical="top"/>
    </xf>
    <xf numFmtId="14" fontId="17" fillId="0" borderId="0" xfId="4" applyNumberFormat="1" applyFont="1" applyFill="1" applyAlignment="1">
      <alignment horizontal="left" vertical="top"/>
    </xf>
    <xf numFmtId="1" fontId="17" fillId="0" borderId="0" xfId="4" applyNumberFormat="1" applyFont="1" applyFill="1" applyAlignment="1">
      <alignment horizontal="left" vertical="top"/>
    </xf>
    <xf numFmtId="22" fontId="17" fillId="0" borderId="0" xfId="4" applyNumberFormat="1" applyFont="1" applyFill="1" applyAlignment="1">
      <alignment horizontal="left" vertical="top"/>
    </xf>
    <xf numFmtId="14" fontId="17" fillId="0" borderId="0" xfId="4" applyNumberFormat="1" applyFont="1" applyFill="1" applyAlignment="1">
      <alignment vertical="top"/>
    </xf>
    <xf numFmtId="0" fontId="25" fillId="0" borderId="0" xfId="0" applyFont="1" applyAlignment="1"/>
    <xf numFmtId="178" fontId="13" fillId="5" borderId="4" xfId="4" applyNumberFormat="1" applyFont="1" applyFill="1" applyBorder="1" applyAlignment="1" applyProtection="1">
      <alignment horizontal="left" vertical="center"/>
    </xf>
    <xf numFmtId="178" fontId="13" fillId="5" borderId="5" xfId="4" applyNumberFormat="1" applyFont="1" applyFill="1" applyBorder="1" applyAlignment="1" applyProtection="1">
      <alignment horizontal="left" vertical="center"/>
    </xf>
    <xf numFmtId="0" fontId="12" fillId="0" borderId="9" xfId="4" applyFont="1" applyFill="1" applyBorder="1" applyAlignment="1" applyProtection="1">
      <alignment horizontal="left" vertical="center"/>
      <protection locked="0"/>
    </xf>
    <xf numFmtId="178" fontId="13" fillId="5" borderId="6" xfId="4" applyNumberFormat="1" applyFont="1" applyFill="1" applyBorder="1" applyAlignment="1" applyProtection="1">
      <alignment horizontal="left" vertical="center"/>
    </xf>
    <xf numFmtId="0" fontId="12" fillId="0" borderId="7" xfId="4" applyFont="1" applyFill="1" applyBorder="1" applyAlignment="1" applyProtection="1">
      <alignment vertical="top"/>
      <protection locked="0"/>
    </xf>
    <xf numFmtId="0" fontId="12" fillId="0" borderId="10" xfId="4" applyFont="1" applyFill="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14" fontId="16" fillId="0" borderId="19" xfId="0" applyNumberFormat="1" applyFont="1" applyFill="1" applyBorder="1" applyProtection="1">
      <protection locked="0"/>
    </xf>
    <xf numFmtId="0" fontId="13" fillId="0" borderId="1" xfId="4" applyFont="1" applyFill="1" applyBorder="1" applyAlignment="1" applyProtection="1">
      <alignment horizontal="left" vertical="center"/>
    </xf>
    <xf numFmtId="0" fontId="13" fillId="0" borderId="2" xfId="4" applyFont="1" applyFill="1" applyBorder="1" applyAlignment="1" applyProtection="1">
      <alignment horizontal="left" vertical="center"/>
    </xf>
    <xf numFmtId="0" fontId="12" fillId="0" borderId="21" xfId="4" applyFont="1" applyFill="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Fill="1" applyBorder="1" applyAlignment="1">
      <alignment horizontal="left" vertical="top" wrapText="1"/>
    </xf>
    <xf numFmtId="0" fontId="35" fillId="0" borderId="0" xfId="5" applyFont="1" applyFill="1" applyBorder="1" applyAlignment="1">
      <alignment horizontal="left" vertical="top"/>
    </xf>
    <xf numFmtId="0" fontId="12" fillId="0" borderId="0" xfId="4" applyFont="1" applyAlignment="1">
      <alignment vertical="top"/>
    </xf>
    <xf numFmtId="0" fontId="12" fillId="0" borderId="0" xfId="5" applyFont="1" applyFill="1" applyBorder="1" applyAlignment="1">
      <alignment horizontal="left" vertical="top"/>
    </xf>
    <xf numFmtId="0" fontId="35" fillId="0" borderId="0" xfId="5" applyNumberFormat="1" applyFont="1" applyFill="1" applyBorder="1" applyAlignment="1">
      <alignment horizontal="left" vertical="top" wrapText="1"/>
    </xf>
    <xf numFmtId="14" fontId="35" fillId="0" borderId="0" xfId="5" applyNumberFormat="1" applyFont="1" applyFill="1" applyBorder="1" applyAlignment="1">
      <alignment horizontal="left" vertical="top" wrapText="1"/>
    </xf>
    <xf numFmtId="0" fontId="25" fillId="0" borderId="0" xfId="5" applyFont="1" applyFill="1" applyBorder="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Fill="1" applyBorder="1" applyAlignment="1">
      <alignment horizontal="left" vertical="top" wrapText="1"/>
    </xf>
    <xf numFmtId="0" fontId="38" fillId="0" borderId="0" xfId="5" applyFont="1" applyFill="1" applyBorder="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Fill="1" applyBorder="1" applyAlignment="1">
      <alignment horizontal="left" vertical="top" wrapText="1"/>
    </xf>
    <xf numFmtId="0" fontId="12" fillId="0" borderId="22" xfId="4" applyFont="1" applyFill="1" applyBorder="1" applyAlignment="1" applyProtection="1">
      <alignment vertical="top"/>
      <protection locked="0"/>
    </xf>
    <xf numFmtId="0" fontId="12" fillId="0" borderId="22" xfId="4" applyFont="1" applyFill="1" applyBorder="1" applyAlignment="1" applyProtection="1">
      <alignment horizontal="right" vertical="top"/>
      <protection locked="0"/>
    </xf>
    <xf numFmtId="0" fontId="12" fillId="0" borderId="22" xfId="4" applyFont="1" applyFill="1" applyBorder="1" applyAlignment="1" applyProtection="1">
      <alignment horizontal="left" vertical="top"/>
      <protection locked="0"/>
    </xf>
    <xf numFmtId="14"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left" vertical="top"/>
      <protection locked="0"/>
    </xf>
    <xf numFmtId="176" fontId="12" fillId="0" borderId="22" xfId="4" applyNumberFormat="1" applyFont="1" applyFill="1" applyBorder="1" applyAlignment="1" applyProtection="1">
      <alignment horizontal="center" vertical="top"/>
      <protection locked="0"/>
    </xf>
    <xf numFmtId="0" fontId="12" fillId="0" borderId="22" xfId="4" applyNumberFormat="1" applyFont="1" applyFill="1" applyBorder="1" applyAlignment="1" applyProtection="1">
      <alignment horizontal="center" vertical="top"/>
      <protection locked="0"/>
    </xf>
    <xf numFmtId="177" fontId="12" fillId="0" borderId="22" xfId="4" applyNumberFormat="1" applyFont="1" applyFill="1" applyBorder="1" applyAlignment="1" applyProtection="1">
      <alignment horizontal="center" vertical="top"/>
      <protection locked="0"/>
    </xf>
    <xf numFmtId="1" fontId="12" fillId="0" borderId="22" xfId="4" applyNumberFormat="1" applyFont="1" applyFill="1" applyBorder="1" applyAlignment="1" applyProtection="1">
      <alignment horizontal="center" vertical="top"/>
      <protection locked="0"/>
    </xf>
    <xf numFmtId="179" fontId="12" fillId="0" borderId="22" xfId="4" applyNumberFormat="1" applyFont="1" applyFill="1" applyBorder="1" applyAlignment="1" applyProtection="1">
      <alignment horizontal="center" vertical="top"/>
      <protection locked="0"/>
    </xf>
    <xf numFmtId="14" fontId="12" fillId="0" borderId="22" xfId="4" applyNumberFormat="1" applyFont="1" applyFill="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Fill="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Fill="1" applyBorder="1" applyAlignment="1" applyProtection="1">
      <alignment horizontal="left" vertical="top"/>
      <protection locked="0"/>
    </xf>
    <xf numFmtId="14"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left" vertical="top"/>
      <protection locked="0"/>
    </xf>
    <xf numFmtId="176" fontId="12" fillId="0" borderId="7" xfId="4" applyNumberFormat="1" applyFont="1" applyFill="1" applyBorder="1" applyAlignment="1" applyProtection="1">
      <alignment horizontal="center" vertical="top"/>
      <protection locked="0"/>
    </xf>
    <xf numFmtId="0" fontId="12" fillId="0" borderId="7" xfId="4" applyNumberFormat="1" applyFont="1" applyFill="1" applyBorder="1" applyAlignment="1" applyProtection="1">
      <alignment horizontal="center" vertical="top"/>
      <protection locked="0"/>
    </xf>
    <xf numFmtId="177" fontId="12" fillId="0" borderId="7" xfId="4" applyNumberFormat="1" applyFont="1" applyFill="1" applyBorder="1" applyAlignment="1" applyProtection="1">
      <alignment horizontal="center" vertical="top"/>
      <protection locked="0"/>
    </xf>
    <xf numFmtId="1" fontId="12" fillId="0" borderId="7" xfId="4" applyNumberFormat="1" applyFont="1" applyFill="1" applyBorder="1" applyAlignment="1" applyProtection="1">
      <alignment horizontal="center" vertical="top"/>
      <protection locked="0"/>
    </xf>
    <xf numFmtId="179" fontId="12" fillId="0" borderId="7" xfId="4" applyNumberFormat="1" applyFont="1" applyFill="1" applyBorder="1" applyAlignment="1" applyProtection="1">
      <alignment horizontal="center" vertical="top"/>
      <protection locked="0"/>
    </xf>
    <xf numFmtId="14" fontId="12" fillId="0" borderId="7" xfId="4" applyNumberFormat="1" applyFont="1" applyFill="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Fill="1" applyBorder="1" applyAlignment="1" applyProtection="1">
      <alignment vertical="top"/>
      <protection locked="0"/>
    </xf>
    <xf numFmtId="0" fontId="12" fillId="0" borderId="25" xfId="4" quotePrefix="1" applyFont="1" applyFill="1" applyBorder="1" applyAlignment="1" applyProtection="1">
      <alignment horizontal="right" vertical="top"/>
      <protection locked="0"/>
    </xf>
    <xf numFmtId="0" fontId="12" fillId="0" borderId="25" xfId="4" applyFont="1" applyFill="1" applyBorder="1" applyAlignment="1" applyProtection="1">
      <alignment horizontal="left" vertical="top"/>
      <protection locked="0"/>
    </xf>
    <xf numFmtId="14"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left" vertical="top"/>
      <protection locked="0"/>
    </xf>
    <xf numFmtId="176" fontId="12" fillId="0" borderId="25" xfId="4" applyNumberFormat="1" applyFont="1" applyFill="1" applyBorder="1" applyAlignment="1" applyProtection="1">
      <alignment horizontal="center" vertical="top"/>
      <protection locked="0"/>
    </xf>
    <xf numFmtId="0" fontId="12" fillId="0" borderId="25" xfId="4" applyNumberFormat="1" applyFont="1" applyFill="1" applyBorder="1" applyAlignment="1" applyProtection="1">
      <alignment horizontal="center" vertical="top"/>
      <protection locked="0"/>
    </xf>
    <xf numFmtId="177" fontId="12" fillId="0" borderId="25" xfId="4" applyNumberFormat="1" applyFont="1" applyFill="1" applyBorder="1" applyAlignment="1" applyProtection="1">
      <alignment horizontal="center" vertical="top"/>
      <protection locked="0"/>
    </xf>
    <xf numFmtId="1" fontId="12" fillId="0" borderId="25" xfId="4" applyNumberFormat="1" applyFont="1" applyFill="1" applyBorder="1" applyAlignment="1" applyProtection="1">
      <alignment horizontal="center" vertical="top"/>
      <protection locked="0"/>
    </xf>
    <xf numFmtId="179" fontId="12" fillId="0" borderId="25" xfId="4" applyNumberFormat="1" applyFont="1" applyFill="1" applyBorder="1" applyAlignment="1" applyProtection="1">
      <alignment horizontal="center" vertical="top"/>
      <protection locked="0"/>
    </xf>
    <xf numFmtId="14" fontId="12" fillId="0" borderId="25" xfId="4" applyNumberFormat="1" applyFont="1" applyFill="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Fill="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applyBorder="1"/>
    <xf numFmtId="10" fontId="16" fillId="0" borderId="15" xfId="6" applyNumberFormat="1" applyFont="1" applyBorder="1" applyAlignment="1"/>
    <xf numFmtId="10" fontId="16" fillId="0" borderId="26" xfId="6" applyNumberFormat="1" applyFont="1" applyBorder="1" applyAlignment="1"/>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pplyProtection="1">
      <alignment horizontal="center" vertical="center" wrapText="1"/>
    </xf>
    <xf numFmtId="0" fontId="11" fillId="10" borderId="0" xfId="4" applyFont="1" applyFill="1" applyBorder="1" applyAlignment="1" applyProtection="1">
      <alignment horizontal="center" vertical="center" wrapText="1"/>
    </xf>
    <xf numFmtId="0" fontId="11" fillId="10" borderId="2" xfId="4" applyFont="1" applyFill="1" applyBorder="1" applyAlignment="1" applyProtection="1">
      <alignment horizontal="center" vertical="center"/>
    </xf>
    <xf numFmtId="0" fontId="11" fillId="10" borderId="24" xfId="4" applyFont="1" applyFill="1" applyBorder="1" applyAlignment="1" applyProtection="1">
      <alignment horizontal="center" vertical="center"/>
    </xf>
    <xf numFmtId="0" fontId="11" fillId="10" borderId="2" xfId="4" applyFont="1" applyFill="1" applyBorder="1" applyAlignment="1" applyProtection="1">
      <alignment horizontal="center" vertical="center" wrapText="1"/>
    </xf>
    <xf numFmtId="0" fontId="11" fillId="5" borderId="2" xfId="4" applyFont="1" applyFill="1" applyBorder="1" applyAlignment="1" applyProtection="1">
      <alignment horizontal="center" vertical="center"/>
    </xf>
    <xf numFmtId="0" fontId="11" fillId="10" borderId="3" xfId="4" applyFont="1" applyFill="1" applyBorder="1" applyAlignment="1" applyProtection="1">
      <alignment horizontal="center" vertical="center"/>
    </xf>
    <xf numFmtId="0" fontId="11" fillId="10" borderId="0" xfId="4" applyFont="1" applyFill="1" applyBorder="1" applyAlignment="1" applyProtection="1">
      <alignment horizontal="center" vertical="center"/>
    </xf>
    <xf numFmtId="0" fontId="11" fillId="10" borderId="1" xfId="4" applyFont="1" applyFill="1" applyBorder="1" applyAlignment="1" applyProtection="1">
      <alignment horizontal="center" vertical="center"/>
    </xf>
    <xf numFmtId="14" fontId="31" fillId="11" borderId="0" xfId="3" applyNumberFormat="1" applyFont="1" applyFill="1" applyBorder="1" applyAlignment="1">
      <alignment horizontal="center" vertical="center" wrapText="1"/>
    </xf>
    <xf numFmtId="14" fontId="11" fillId="10" borderId="2" xfId="4" applyNumberFormat="1" applyFont="1" applyFill="1" applyBorder="1" applyAlignment="1" applyProtection="1">
      <alignment horizontal="center" vertical="center"/>
    </xf>
    <xf numFmtId="0" fontId="11" fillId="10" borderId="2" xfId="4" applyNumberFormat="1" applyFont="1" applyFill="1" applyBorder="1" applyAlignment="1" applyProtection="1">
      <alignment horizontal="center" vertical="center"/>
    </xf>
    <xf numFmtId="176" fontId="11" fillId="5" borderId="2" xfId="4" applyNumberFormat="1" applyFont="1" applyFill="1" applyBorder="1" applyAlignment="1" applyProtection="1">
      <alignment horizontal="center" vertical="center" wrapText="1"/>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pplyProtection="1">
      <alignment horizontal="center" vertical="center" wrapText="1"/>
    </xf>
    <xf numFmtId="177" fontId="11" fillId="5" borderId="2" xfId="4" applyNumberFormat="1" applyFont="1" applyFill="1" applyBorder="1" applyAlignment="1" applyProtection="1">
      <alignment horizontal="center" vertical="center" wrapText="1"/>
    </xf>
    <xf numFmtId="1" fontId="11" fillId="5" borderId="2" xfId="4" applyNumberFormat="1" applyFont="1" applyFill="1" applyBorder="1" applyAlignment="1" applyProtection="1">
      <alignment horizontal="center" vertical="center" wrapText="1"/>
    </xf>
    <xf numFmtId="176" fontId="11" fillId="10" borderId="2" xfId="4" applyNumberFormat="1" applyFont="1" applyFill="1" applyBorder="1" applyAlignment="1" applyProtection="1">
      <alignment horizontal="center" vertical="center"/>
    </xf>
    <xf numFmtId="10" fontId="11" fillId="5" borderId="2" xfId="3" applyNumberFormat="1" applyFont="1" applyFill="1" applyBorder="1" applyAlignment="1" applyProtection="1">
      <alignment horizontal="center" vertical="center" wrapText="1"/>
    </xf>
    <xf numFmtId="0" fontId="17" fillId="0" borderId="0" xfId="4" applyFont="1" applyFill="1" applyBorder="1" applyAlignment="1" applyProtection="1">
      <alignment horizontal="left" vertical="center" wrapText="1"/>
      <protection locked="0"/>
    </xf>
    <xf numFmtId="0" fontId="17" fillId="0" borderId="0" xfId="4" applyFont="1" applyFill="1" applyBorder="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Border="1" applyAlignment="1" applyProtection="1">
      <alignment horizontal="right" vertical="center"/>
    </xf>
    <xf numFmtId="14" fontId="16" fillId="3" borderId="0" xfId="4" applyNumberFormat="1" applyFont="1" applyFill="1" applyBorder="1" applyAlignment="1" applyProtection="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xmlns:c16r2="http://schemas.microsoft.com/office/drawing/2015/06/chart">
            <c:ext xmlns:c16="http://schemas.microsoft.com/office/drawing/2014/chart" uri="{C3380CC4-5D6E-409C-BE32-E72D297353CC}">
              <c16:uniqueId val="{00000000-6ADF-4377-90DF-586EBFE188BE}"/>
            </c:ext>
          </c:extLst>
        </c:ser>
        <c:dLbls>
          <c:showLegendKey val="0"/>
          <c:showVal val="0"/>
          <c:showCatName val="0"/>
          <c:showSerName val="0"/>
          <c:showPercent val="0"/>
          <c:showBubbleSize val="0"/>
        </c:dLbls>
        <c:marker val="1"/>
        <c:smooth val="0"/>
        <c:axId val="332958832"/>
        <c:axId val="332963144"/>
      </c:lineChart>
      <c:dateAx>
        <c:axId val="332958832"/>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332963144"/>
        <c:crosses val="autoZero"/>
        <c:auto val="1"/>
        <c:lblOffset val="100"/>
        <c:baseTimeUnit val="days"/>
      </c:dateAx>
      <c:valAx>
        <c:axId val="332963144"/>
        <c:scaling>
          <c:orientation val="minMax"/>
        </c:scaling>
        <c:delete val="0"/>
        <c:axPos val="l"/>
        <c:majorGridlines/>
        <c:numFmt formatCode="0.00%" sourceLinked="1"/>
        <c:majorTickMark val="out"/>
        <c:minorTickMark val="none"/>
        <c:tickLblPos val="nextTo"/>
        <c:crossAx val="33295883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43</xdr:col>
      <xdr:colOff>761999</xdr:colOff>
      <xdr:row>3</xdr:row>
      <xdr:rowOff>59690</xdr:rowOff>
    </xdr:from>
    <xdr:to>
      <xdr:col>43</xdr:col>
      <xdr:colOff>761999</xdr:colOff>
      <xdr:row>56</xdr:row>
      <xdr:rowOff>0</xdr:rowOff>
    </xdr:to>
    <xdr:cxnSp macro="">
      <xdr:nvCxnSpPr>
        <xdr:cNvPr id="22864" name="직선 화살표 연결선 22863"/>
        <xdr:cNvCxnSpPr/>
      </xdr:nvCxnSpPr>
      <xdr:spPr>
        <a:xfrm>
          <a:off x="20741639" y="753110"/>
          <a:ext cx="0" cy="79260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103414</xdr:colOff>
      <xdr:row>55</xdr:row>
      <xdr:rowOff>19050</xdr:rowOff>
    </xdr:from>
    <xdr:to>
      <xdr:col>46</xdr:col>
      <xdr:colOff>124097</xdr:colOff>
      <xdr:row>55</xdr:row>
      <xdr:rowOff>133350</xdr:rowOff>
    </xdr:to>
    <xdr:sp macro="" textlink="">
      <xdr:nvSpPr>
        <xdr:cNvPr id="22865" name="직사각형 22864"/>
        <xdr:cNvSpPr/>
      </xdr:nvSpPr>
      <xdr:spPr>
        <a:xfrm>
          <a:off x="11259094" y="8545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103414</xdr:colOff>
      <xdr:row>55</xdr:row>
      <xdr:rowOff>76200</xdr:rowOff>
    </xdr:from>
    <xdr:to>
      <xdr:col>46</xdr:col>
      <xdr:colOff>103414</xdr:colOff>
      <xdr:row>55</xdr:row>
      <xdr:rowOff>76200</xdr:rowOff>
    </xdr:to>
    <xdr:cxnSp macro="">
      <xdr:nvCxnSpPr>
        <xdr:cNvPr id="22866" name="직선 화살표 연결선 22865"/>
        <xdr:cNvCxnSpPr/>
      </xdr:nvCxnSpPr>
      <xdr:spPr>
        <a:xfrm>
          <a:off x="11259094" y="860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41366</xdr:colOff>
      <xdr:row>54</xdr:row>
      <xdr:rowOff>19050</xdr:rowOff>
    </xdr:from>
    <xdr:to>
      <xdr:col>46</xdr:col>
      <xdr:colOff>103414</xdr:colOff>
      <xdr:row>54</xdr:row>
      <xdr:rowOff>133350</xdr:rowOff>
    </xdr:to>
    <xdr:sp macro="" textlink="">
      <xdr:nvSpPr>
        <xdr:cNvPr id="22867" name="직사각형 22866"/>
        <xdr:cNvSpPr/>
      </xdr:nvSpPr>
      <xdr:spPr>
        <a:xfrm>
          <a:off x="11197046" y="83934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41366</xdr:colOff>
      <xdr:row>54</xdr:row>
      <xdr:rowOff>76200</xdr:rowOff>
    </xdr:from>
    <xdr:to>
      <xdr:col>46</xdr:col>
      <xdr:colOff>41366</xdr:colOff>
      <xdr:row>54</xdr:row>
      <xdr:rowOff>76200</xdr:rowOff>
    </xdr:to>
    <xdr:cxnSp macro="">
      <xdr:nvCxnSpPr>
        <xdr:cNvPr id="22868" name="직선 화살표 연결선 22867"/>
        <xdr:cNvCxnSpPr/>
      </xdr:nvCxnSpPr>
      <xdr:spPr>
        <a:xfrm>
          <a:off x="11197046" y="845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41366</xdr:colOff>
      <xdr:row>53</xdr:row>
      <xdr:rowOff>19050</xdr:rowOff>
    </xdr:from>
    <xdr:to>
      <xdr:col>46</xdr:col>
      <xdr:colOff>103414</xdr:colOff>
      <xdr:row>53</xdr:row>
      <xdr:rowOff>133350</xdr:rowOff>
    </xdr:to>
    <xdr:sp macro="" textlink="">
      <xdr:nvSpPr>
        <xdr:cNvPr id="22869" name="직사각형 22868"/>
        <xdr:cNvSpPr/>
      </xdr:nvSpPr>
      <xdr:spPr>
        <a:xfrm>
          <a:off x="11197046" y="82410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41366</xdr:colOff>
      <xdr:row>53</xdr:row>
      <xdr:rowOff>76200</xdr:rowOff>
    </xdr:from>
    <xdr:to>
      <xdr:col>46</xdr:col>
      <xdr:colOff>41366</xdr:colOff>
      <xdr:row>53</xdr:row>
      <xdr:rowOff>76200</xdr:rowOff>
    </xdr:to>
    <xdr:cxnSp macro="">
      <xdr:nvCxnSpPr>
        <xdr:cNvPr id="22870" name="직선 화살표 연결선 22869"/>
        <xdr:cNvCxnSpPr/>
      </xdr:nvCxnSpPr>
      <xdr:spPr>
        <a:xfrm>
          <a:off x="11197046" y="8298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41366</xdr:colOff>
      <xdr:row>52</xdr:row>
      <xdr:rowOff>19050</xdr:rowOff>
    </xdr:from>
    <xdr:to>
      <xdr:col>46</xdr:col>
      <xdr:colOff>103414</xdr:colOff>
      <xdr:row>52</xdr:row>
      <xdr:rowOff>133350</xdr:rowOff>
    </xdr:to>
    <xdr:sp macro="" textlink="">
      <xdr:nvSpPr>
        <xdr:cNvPr id="22871" name="직사각형 22870"/>
        <xdr:cNvSpPr/>
      </xdr:nvSpPr>
      <xdr:spPr>
        <a:xfrm>
          <a:off x="11197046" y="80886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41366</xdr:colOff>
      <xdr:row>52</xdr:row>
      <xdr:rowOff>76200</xdr:rowOff>
    </xdr:from>
    <xdr:to>
      <xdr:col>46</xdr:col>
      <xdr:colOff>41366</xdr:colOff>
      <xdr:row>52</xdr:row>
      <xdr:rowOff>76200</xdr:rowOff>
    </xdr:to>
    <xdr:cxnSp macro="">
      <xdr:nvCxnSpPr>
        <xdr:cNvPr id="22872" name="직선 화살표 연결선 22871"/>
        <xdr:cNvCxnSpPr/>
      </xdr:nvCxnSpPr>
      <xdr:spPr>
        <a:xfrm>
          <a:off x="11197046" y="8145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41366</xdr:colOff>
      <xdr:row>51</xdr:row>
      <xdr:rowOff>19050</xdr:rowOff>
    </xdr:from>
    <xdr:to>
      <xdr:col>46</xdr:col>
      <xdr:colOff>124097</xdr:colOff>
      <xdr:row>51</xdr:row>
      <xdr:rowOff>133350</xdr:rowOff>
    </xdr:to>
    <xdr:sp macro="" textlink="">
      <xdr:nvSpPr>
        <xdr:cNvPr id="22873" name="직사각형 22872"/>
        <xdr:cNvSpPr/>
      </xdr:nvSpPr>
      <xdr:spPr>
        <a:xfrm>
          <a:off x="11197046" y="7936230"/>
          <a:ext cx="827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41366</xdr:colOff>
      <xdr:row>51</xdr:row>
      <xdr:rowOff>76200</xdr:rowOff>
    </xdr:from>
    <xdr:to>
      <xdr:col>46</xdr:col>
      <xdr:colOff>41366</xdr:colOff>
      <xdr:row>51</xdr:row>
      <xdr:rowOff>76200</xdr:rowOff>
    </xdr:to>
    <xdr:cxnSp macro="">
      <xdr:nvCxnSpPr>
        <xdr:cNvPr id="22874" name="직선 화살표 연결선 22873"/>
        <xdr:cNvCxnSpPr/>
      </xdr:nvCxnSpPr>
      <xdr:spPr>
        <a:xfrm>
          <a:off x="11197046" y="7993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103415</xdr:colOff>
      <xdr:row>50</xdr:row>
      <xdr:rowOff>19050</xdr:rowOff>
    </xdr:from>
    <xdr:to>
      <xdr:col>46</xdr:col>
      <xdr:colOff>20683</xdr:colOff>
      <xdr:row>50</xdr:row>
      <xdr:rowOff>133350</xdr:rowOff>
    </xdr:to>
    <xdr:sp macro="" textlink="">
      <xdr:nvSpPr>
        <xdr:cNvPr id="22875" name="직사각형 22874"/>
        <xdr:cNvSpPr/>
      </xdr:nvSpPr>
      <xdr:spPr>
        <a:xfrm>
          <a:off x="11114315" y="7783830"/>
          <a:ext cx="620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103415</xdr:colOff>
      <xdr:row>50</xdr:row>
      <xdr:rowOff>76200</xdr:rowOff>
    </xdr:from>
    <xdr:to>
      <xdr:col>45</xdr:col>
      <xdr:colOff>103415</xdr:colOff>
      <xdr:row>50</xdr:row>
      <xdr:rowOff>76200</xdr:rowOff>
    </xdr:to>
    <xdr:cxnSp macro="">
      <xdr:nvCxnSpPr>
        <xdr:cNvPr id="22876" name="직선 화살표 연결선 22875"/>
        <xdr:cNvCxnSpPr/>
      </xdr:nvCxnSpPr>
      <xdr:spPr>
        <a:xfrm>
          <a:off x="11114315" y="7840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103415</xdr:colOff>
      <xdr:row>49</xdr:row>
      <xdr:rowOff>19050</xdr:rowOff>
    </xdr:from>
    <xdr:to>
      <xdr:col>46</xdr:col>
      <xdr:colOff>20683</xdr:colOff>
      <xdr:row>49</xdr:row>
      <xdr:rowOff>133350</xdr:rowOff>
    </xdr:to>
    <xdr:sp macro="" textlink="">
      <xdr:nvSpPr>
        <xdr:cNvPr id="22877" name="직사각형 22876"/>
        <xdr:cNvSpPr/>
      </xdr:nvSpPr>
      <xdr:spPr>
        <a:xfrm>
          <a:off x="11114315" y="7631430"/>
          <a:ext cx="620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103415</xdr:colOff>
      <xdr:row>49</xdr:row>
      <xdr:rowOff>76200</xdr:rowOff>
    </xdr:from>
    <xdr:to>
      <xdr:col>45</xdr:col>
      <xdr:colOff>103415</xdr:colOff>
      <xdr:row>49</xdr:row>
      <xdr:rowOff>76200</xdr:rowOff>
    </xdr:to>
    <xdr:cxnSp macro="">
      <xdr:nvCxnSpPr>
        <xdr:cNvPr id="22878" name="직선 화살표 연결선 22877"/>
        <xdr:cNvCxnSpPr/>
      </xdr:nvCxnSpPr>
      <xdr:spPr>
        <a:xfrm>
          <a:off x="11114315" y="7688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103415</xdr:colOff>
      <xdr:row>48</xdr:row>
      <xdr:rowOff>19050</xdr:rowOff>
    </xdr:from>
    <xdr:to>
      <xdr:col>46</xdr:col>
      <xdr:colOff>124097</xdr:colOff>
      <xdr:row>48</xdr:row>
      <xdr:rowOff>133350</xdr:rowOff>
    </xdr:to>
    <xdr:sp macro="" textlink="">
      <xdr:nvSpPr>
        <xdr:cNvPr id="22879" name="직사각형 22878"/>
        <xdr:cNvSpPr/>
      </xdr:nvSpPr>
      <xdr:spPr>
        <a:xfrm>
          <a:off x="11114315" y="7479030"/>
          <a:ext cx="16546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103415</xdr:colOff>
      <xdr:row>48</xdr:row>
      <xdr:rowOff>76200</xdr:rowOff>
    </xdr:from>
    <xdr:to>
      <xdr:col>45</xdr:col>
      <xdr:colOff>103415</xdr:colOff>
      <xdr:row>48</xdr:row>
      <xdr:rowOff>76200</xdr:rowOff>
    </xdr:to>
    <xdr:cxnSp macro="">
      <xdr:nvCxnSpPr>
        <xdr:cNvPr id="22633" name="직선 화살표 연결선 22632"/>
        <xdr:cNvCxnSpPr/>
      </xdr:nvCxnSpPr>
      <xdr:spPr>
        <a:xfrm>
          <a:off x="11114315" y="7536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103415</xdr:colOff>
      <xdr:row>47</xdr:row>
      <xdr:rowOff>19050</xdr:rowOff>
    </xdr:from>
    <xdr:to>
      <xdr:col>46</xdr:col>
      <xdr:colOff>62048</xdr:colOff>
      <xdr:row>47</xdr:row>
      <xdr:rowOff>133350</xdr:rowOff>
    </xdr:to>
    <xdr:sp macro="" textlink="">
      <xdr:nvSpPr>
        <xdr:cNvPr id="22634" name="직사각형 22633"/>
        <xdr:cNvSpPr/>
      </xdr:nvSpPr>
      <xdr:spPr>
        <a:xfrm>
          <a:off x="11114315" y="7326630"/>
          <a:ext cx="1034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103415</xdr:colOff>
      <xdr:row>47</xdr:row>
      <xdr:rowOff>76200</xdr:rowOff>
    </xdr:from>
    <xdr:to>
      <xdr:col>45</xdr:col>
      <xdr:colOff>103415</xdr:colOff>
      <xdr:row>47</xdr:row>
      <xdr:rowOff>76200</xdr:rowOff>
    </xdr:to>
    <xdr:cxnSp macro="">
      <xdr:nvCxnSpPr>
        <xdr:cNvPr id="22635" name="직선 화살표 연결선 22634"/>
        <xdr:cNvCxnSpPr/>
      </xdr:nvCxnSpPr>
      <xdr:spPr>
        <a:xfrm>
          <a:off x="11114315" y="7383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103414</xdr:colOff>
      <xdr:row>46</xdr:row>
      <xdr:rowOff>19050</xdr:rowOff>
    </xdr:from>
    <xdr:to>
      <xdr:col>45</xdr:col>
      <xdr:colOff>62049</xdr:colOff>
      <xdr:row>46</xdr:row>
      <xdr:rowOff>133350</xdr:rowOff>
    </xdr:to>
    <xdr:sp macro="" textlink="">
      <xdr:nvSpPr>
        <xdr:cNvPr id="22636" name="직사각형 22635"/>
        <xdr:cNvSpPr/>
      </xdr:nvSpPr>
      <xdr:spPr>
        <a:xfrm>
          <a:off x="10679974" y="7174230"/>
          <a:ext cx="3929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103414</xdr:colOff>
      <xdr:row>46</xdr:row>
      <xdr:rowOff>76200</xdr:rowOff>
    </xdr:from>
    <xdr:to>
      <xdr:col>42</xdr:col>
      <xdr:colOff>103414</xdr:colOff>
      <xdr:row>46</xdr:row>
      <xdr:rowOff>76200</xdr:rowOff>
    </xdr:to>
    <xdr:cxnSp macro="">
      <xdr:nvCxnSpPr>
        <xdr:cNvPr id="22637" name="직선 화살표 연결선 22636"/>
        <xdr:cNvCxnSpPr/>
      </xdr:nvCxnSpPr>
      <xdr:spPr>
        <a:xfrm>
          <a:off x="10679974" y="7231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103414</xdr:colOff>
      <xdr:row>45</xdr:row>
      <xdr:rowOff>19050</xdr:rowOff>
    </xdr:from>
    <xdr:to>
      <xdr:col>46</xdr:col>
      <xdr:colOff>62048</xdr:colOff>
      <xdr:row>45</xdr:row>
      <xdr:rowOff>133350</xdr:rowOff>
    </xdr:to>
    <xdr:sp macro="" textlink="">
      <xdr:nvSpPr>
        <xdr:cNvPr id="22638" name="직사각형 22637"/>
        <xdr:cNvSpPr/>
      </xdr:nvSpPr>
      <xdr:spPr>
        <a:xfrm>
          <a:off x="10679974" y="7021830"/>
          <a:ext cx="5377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103414</xdr:colOff>
      <xdr:row>45</xdr:row>
      <xdr:rowOff>76200</xdr:rowOff>
    </xdr:from>
    <xdr:to>
      <xdr:col>42</xdr:col>
      <xdr:colOff>103414</xdr:colOff>
      <xdr:row>45</xdr:row>
      <xdr:rowOff>76200</xdr:rowOff>
    </xdr:to>
    <xdr:cxnSp macro="">
      <xdr:nvCxnSpPr>
        <xdr:cNvPr id="22639" name="직선 화살표 연결선 22638"/>
        <xdr:cNvCxnSpPr/>
      </xdr:nvCxnSpPr>
      <xdr:spPr>
        <a:xfrm>
          <a:off x="10679974" y="707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103414</xdr:colOff>
      <xdr:row>44</xdr:row>
      <xdr:rowOff>19050</xdr:rowOff>
    </xdr:from>
    <xdr:to>
      <xdr:col>45</xdr:col>
      <xdr:colOff>41366</xdr:colOff>
      <xdr:row>44</xdr:row>
      <xdr:rowOff>133350</xdr:rowOff>
    </xdr:to>
    <xdr:sp macro="" textlink="">
      <xdr:nvSpPr>
        <xdr:cNvPr id="22640" name="직사각형 22639"/>
        <xdr:cNvSpPr/>
      </xdr:nvSpPr>
      <xdr:spPr>
        <a:xfrm>
          <a:off x="10100854" y="6869430"/>
          <a:ext cx="951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103414</xdr:colOff>
      <xdr:row>44</xdr:row>
      <xdr:rowOff>76200</xdr:rowOff>
    </xdr:from>
    <xdr:to>
      <xdr:col>38</xdr:col>
      <xdr:colOff>103414</xdr:colOff>
      <xdr:row>44</xdr:row>
      <xdr:rowOff>76200</xdr:rowOff>
    </xdr:to>
    <xdr:cxnSp macro="">
      <xdr:nvCxnSpPr>
        <xdr:cNvPr id="22641" name="직선 화살표 연결선 22640"/>
        <xdr:cNvCxnSpPr/>
      </xdr:nvCxnSpPr>
      <xdr:spPr>
        <a:xfrm>
          <a:off x="10100854" y="692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43</xdr:row>
      <xdr:rowOff>19050</xdr:rowOff>
    </xdr:from>
    <xdr:to>
      <xdr:col>45</xdr:col>
      <xdr:colOff>41366</xdr:colOff>
      <xdr:row>43</xdr:row>
      <xdr:rowOff>133350</xdr:rowOff>
    </xdr:to>
    <xdr:sp macro="" textlink="">
      <xdr:nvSpPr>
        <xdr:cNvPr id="22642" name="직사각형 22641"/>
        <xdr:cNvSpPr/>
      </xdr:nvSpPr>
      <xdr:spPr>
        <a:xfrm>
          <a:off x="9811294" y="6717030"/>
          <a:ext cx="124097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43</xdr:row>
      <xdr:rowOff>76200</xdr:rowOff>
    </xdr:from>
    <xdr:to>
      <xdr:col>36</xdr:col>
      <xdr:colOff>103414</xdr:colOff>
      <xdr:row>43</xdr:row>
      <xdr:rowOff>76200</xdr:rowOff>
    </xdr:to>
    <xdr:cxnSp macro="">
      <xdr:nvCxnSpPr>
        <xdr:cNvPr id="22643" name="직선 화살표 연결선 22642"/>
        <xdr:cNvCxnSpPr/>
      </xdr:nvCxnSpPr>
      <xdr:spPr>
        <a:xfrm>
          <a:off x="9811294" y="677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42</xdr:row>
      <xdr:rowOff>19050</xdr:rowOff>
    </xdr:from>
    <xdr:to>
      <xdr:col>45</xdr:col>
      <xdr:colOff>41366</xdr:colOff>
      <xdr:row>42</xdr:row>
      <xdr:rowOff>133350</xdr:rowOff>
    </xdr:to>
    <xdr:sp macro="" textlink="">
      <xdr:nvSpPr>
        <xdr:cNvPr id="22644" name="직사각형 22643"/>
        <xdr:cNvSpPr/>
      </xdr:nvSpPr>
      <xdr:spPr>
        <a:xfrm>
          <a:off x="9811294" y="6564630"/>
          <a:ext cx="124097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42</xdr:row>
      <xdr:rowOff>76200</xdr:rowOff>
    </xdr:from>
    <xdr:to>
      <xdr:col>36</xdr:col>
      <xdr:colOff>103414</xdr:colOff>
      <xdr:row>42</xdr:row>
      <xdr:rowOff>76200</xdr:rowOff>
    </xdr:to>
    <xdr:cxnSp macro="">
      <xdr:nvCxnSpPr>
        <xdr:cNvPr id="22645" name="직선 화살표 연결선 22644"/>
        <xdr:cNvCxnSpPr/>
      </xdr:nvCxnSpPr>
      <xdr:spPr>
        <a:xfrm>
          <a:off x="9811294" y="662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103414</xdr:colOff>
      <xdr:row>41</xdr:row>
      <xdr:rowOff>19050</xdr:rowOff>
    </xdr:from>
    <xdr:to>
      <xdr:col>39</xdr:col>
      <xdr:colOff>62049</xdr:colOff>
      <xdr:row>41</xdr:row>
      <xdr:rowOff>133350</xdr:rowOff>
    </xdr:to>
    <xdr:sp macro="" textlink="">
      <xdr:nvSpPr>
        <xdr:cNvPr id="22646" name="직사각형 22645"/>
        <xdr:cNvSpPr/>
      </xdr:nvSpPr>
      <xdr:spPr>
        <a:xfrm>
          <a:off x="9956074" y="6412230"/>
          <a:ext cx="248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103414</xdr:colOff>
      <xdr:row>41</xdr:row>
      <xdr:rowOff>76200</xdr:rowOff>
    </xdr:from>
    <xdr:to>
      <xdr:col>37</xdr:col>
      <xdr:colOff>103414</xdr:colOff>
      <xdr:row>41</xdr:row>
      <xdr:rowOff>76200</xdr:rowOff>
    </xdr:to>
    <xdr:cxnSp macro="">
      <xdr:nvCxnSpPr>
        <xdr:cNvPr id="22750" name="직선 화살표 연결선 22749"/>
        <xdr:cNvCxnSpPr/>
      </xdr:nvCxnSpPr>
      <xdr:spPr>
        <a:xfrm>
          <a:off x="9956074" y="646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103414</xdr:colOff>
      <xdr:row>40</xdr:row>
      <xdr:rowOff>19050</xdr:rowOff>
    </xdr:from>
    <xdr:to>
      <xdr:col>38</xdr:col>
      <xdr:colOff>62048</xdr:colOff>
      <xdr:row>40</xdr:row>
      <xdr:rowOff>133350</xdr:rowOff>
    </xdr:to>
    <xdr:sp macro="" textlink="">
      <xdr:nvSpPr>
        <xdr:cNvPr id="22751" name="직사각형 22750"/>
        <xdr:cNvSpPr/>
      </xdr:nvSpPr>
      <xdr:spPr>
        <a:xfrm>
          <a:off x="9956074" y="62598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103414</xdr:colOff>
      <xdr:row>40</xdr:row>
      <xdr:rowOff>76200</xdr:rowOff>
    </xdr:from>
    <xdr:to>
      <xdr:col>37</xdr:col>
      <xdr:colOff>103414</xdr:colOff>
      <xdr:row>40</xdr:row>
      <xdr:rowOff>76200</xdr:rowOff>
    </xdr:to>
    <xdr:cxnSp macro="">
      <xdr:nvCxnSpPr>
        <xdr:cNvPr id="22816" name="직선 화살표 연결선 22815"/>
        <xdr:cNvCxnSpPr/>
      </xdr:nvCxnSpPr>
      <xdr:spPr>
        <a:xfrm>
          <a:off x="9956074" y="6316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39</xdr:row>
      <xdr:rowOff>19050</xdr:rowOff>
    </xdr:from>
    <xdr:to>
      <xdr:col>37</xdr:col>
      <xdr:colOff>62049</xdr:colOff>
      <xdr:row>39</xdr:row>
      <xdr:rowOff>133350</xdr:rowOff>
    </xdr:to>
    <xdr:sp macro="" textlink="">
      <xdr:nvSpPr>
        <xdr:cNvPr id="22817" name="직사각형 22816"/>
        <xdr:cNvSpPr/>
      </xdr:nvSpPr>
      <xdr:spPr>
        <a:xfrm>
          <a:off x="9811294" y="61074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39</xdr:row>
      <xdr:rowOff>76200</xdr:rowOff>
    </xdr:from>
    <xdr:to>
      <xdr:col>36</xdr:col>
      <xdr:colOff>103414</xdr:colOff>
      <xdr:row>39</xdr:row>
      <xdr:rowOff>76200</xdr:rowOff>
    </xdr:to>
    <xdr:cxnSp macro="">
      <xdr:nvCxnSpPr>
        <xdr:cNvPr id="22818" name="직선 화살표 연결선 22817"/>
        <xdr:cNvCxnSpPr/>
      </xdr:nvCxnSpPr>
      <xdr:spPr>
        <a:xfrm>
          <a:off x="9811294" y="616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38</xdr:row>
      <xdr:rowOff>19050</xdr:rowOff>
    </xdr:from>
    <xdr:to>
      <xdr:col>39</xdr:col>
      <xdr:colOff>62049</xdr:colOff>
      <xdr:row>38</xdr:row>
      <xdr:rowOff>133350</xdr:rowOff>
    </xdr:to>
    <xdr:sp macro="" textlink="">
      <xdr:nvSpPr>
        <xdr:cNvPr id="22819" name="직사각형 22818"/>
        <xdr:cNvSpPr/>
      </xdr:nvSpPr>
      <xdr:spPr>
        <a:xfrm>
          <a:off x="9811294" y="5955030"/>
          <a:ext cx="3929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38</xdr:row>
      <xdr:rowOff>76200</xdr:rowOff>
    </xdr:from>
    <xdr:to>
      <xdr:col>36</xdr:col>
      <xdr:colOff>103414</xdr:colOff>
      <xdr:row>38</xdr:row>
      <xdr:rowOff>76200</xdr:rowOff>
    </xdr:to>
    <xdr:cxnSp macro="">
      <xdr:nvCxnSpPr>
        <xdr:cNvPr id="22820" name="직선 화살표 연결선 22819"/>
        <xdr:cNvCxnSpPr/>
      </xdr:nvCxnSpPr>
      <xdr:spPr>
        <a:xfrm>
          <a:off x="9811294" y="601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37</xdr:row>
      <xdr:rowOff>19050</xdr:rowOff>
    </xdr:from>
    <xdr:to>
      <xdr:col>45</xdr:col>
      <xdr:colOff>41366</xdr:colOff>
      <xdr:row>37</xdr:row>
      <xdr:rowOff>133350</xdr:rowOff>
    </xdr:to>
    <xdr:sp macro="" textlink="">
      <xdr:nvSpPr>
        <xdr:cNvPr id="22821" name="직사각형 22820"/>
        <xdr:cNvSpPr/>
      </xdr:nvSpPr>
      <xdr:spPr>
        <a:xfrm>
          <a:off x="9811294" y="5802630"/>
          <a:ext cx="124097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37</xdr:row>
      <xdr:rowOff>76200</xdr:rowOff>
    </xdr:from>
    <xdr:to>
      <xdr:col>36</xdr:col>
      <xdr:colOff>103414</xdr:colOff>
      <xdr:row>37</xdr:row>
      <xdr:rowOff>76200</xdr:rowOff>
    </xdr:to>
    <xdr:cxnSp macro="">
      <xdr:nvCxnSpPr>
        <xdr:cNvPr id="22822" name="직선 화살표 연결선 22821"/>
        <xdr:cNvCxnSpPr/>
      </xdr:nvCxnSpPr>
      <xdr:spPr>
        <a:xfrm>
          <a:off x="9811294" y="585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36</xdr:row>
      <xdr:rowOff>19050</xdr:rowOff>
    </xdr:from>
    <xdr:to>
      <xdr:col>37</xdr:col>
      <xdr:colOff>62049</xdr:colOff>
      <xdr:row>36</xdr:row>
      <xdr:rowOff>133350</xdr:rowOff>
    </xdr:to>
    <xdr:sp macro="" textlink="">
      <xdr:nvSpPr>
        <xdr:cNvPr id="22823" name="직사각형 22822"/>
        <xdr:cNvSpPr/>
      </xdr:nvSpPr>
      <xdr:spPr>
        <a:xfrm>
          <a:off x="9811294" y="56502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36</xdr:row>
      <xdr:rowOff>76200</xdr:rowOff>
    </xdr:from>
    <xdr:to>
      <xdr:col>36</xdr:col>
      <xdr:colOff>103414</xdr:colOff>
      <xdr:row>36</xdr:row>
      <xdr:rowOff>76200</xdr:rowOff>
    </xdr:to>
    <xdr:cxnSp macro="">
      <xdr:nvCxnSpPr>
        <xdr:cNvPr id="22824" name="직선 화살표 연결선 22823"/>
        <xdr:cNvCxnSpPr/>
      </xdr:nvCxnSpPr>
      <xdr:spPr>
        <a:xfrm>
          <a:off x="9811294" y="570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35</xdr:row>
      <xdr:rowOff>19050</xdr:rowOff>
    </xdr:from>
    <xdr:to>
      <xdr:col>45</xdr:col>
      <xdr:colOff>41366</xdr:colOff>
      <xdr:row>35</xdr:row>
      <xdr:rowOff>133350</xdr:rowOff>
    </xdr:to>
    <xdr:sp macro="" textlink="">
      <xdr:nvSpPr>
        <xdr:cNvPr id="22825" name="직사각형 22824"/>
        <xdr:cNvSpPr/>
      </xdr:nvSpPr>
      <xdr:spPr>
        <a:xfrm>
          <a:off x="9811294" y="5497830"/>
          <a:ext cx="124097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35</xdr:row>
      <xdr:rowOff>76200</xdr:rowOff>
    </xdr:from>
    <xdr:to>
      <xdr:col>36</xdr:col>
      <xdr:colOff>103414</xdr:colOff>
      <xdr:row>35</xdr:row>
      <xdr:rowOff>76200</xdr:rowOff>
    </xdr:to>
    <xdr:cxnSp macro="">
      <xdr:nvCxnSpPr>
        <xdr:cNvPr id="22826" name="직선 화살표 연결선 22825"/>
        <xdr:cNvCxnSpPr/>
      </xdr:nvCxnSpPr>
      <xdr:spPr>
        <a:xfrm>
          <a:off x="9811294" y="555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34</xdr:row>
      <xdr:rowOff>19050</xdr:rowOff>
    </xdr:from>
    <xdr:to>
      <xdr:col>46</xdr:col>
      <xdr:colOff>62048</xdr:colOff>
      <xdr:row>34</xdr:row>
      <xdr:rowOff>133350</xdr:rowOff>
    </xdr:to>
    <xdr:sp macro="" textlink="">
      <xdr:nvSpPr>
        <xdr:cNvPr id="22827" name="직사각형 22826"/>
        <xdr:cNvSpPr/>
      </xdr:nvSpPr>
      <xdr:spPr>
        <a:xfrm>
          <a:off x="9811294" y="5345430"/>
          <a:ext cx="14064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34</xdr:row>
      <xdr:rowOff>76200</xdr:rowOff>
    </xdr:from>
    <xdr:to>
      <xdr:col>36</xdr:col>
      <xdr:colOff>103414</xdr:colOff>
      <xdr:row>34</xdr:row>
      <xdr:rowOff>76200</xdr:rowOff>
    </xdr:to>
    <xdr:cxnSp macro="">
      <xdr:nvCxnSpPr>
        <xdr:cNvPr id="22828" name="직선 화살표 연결선 22827"/>
        <xdr:cNvCxnSpPr/>
      </xdr:nvCxnSpPr>
      <xdr:spPr>
        <a:xfrm>
          <a:off x="9811294" y="540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103414</xdr:colOff>
      <xdr:row>33</xdr:row>
      <xdr:rowOff>19050</xdr:rowOff>
    </xdr:from>
    <xdr:to>
      <xdr:col>37</xdr:col>
      <xdr:colOff>62049</xdr:colOff>
      <xdr:row>33</xdr:row>
      <xdr:rowOff>133350</xdr:rowOff>
    </xdr:to>
    <xdr:sp macro="" textlink="">
      <xdr:nvSpPr>
        <xdr:cNvPr id="22829" name="직사각형 22828"/>
        <xdr:cNvSpPr/>
      </xdr:nvSpPr>
      <xdr:spPr>
        <a:xfrm>
          <a:off x="9811294" y="5193030"/>
          <a:ext cx="10341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103414</xdr:colOff>
      <xdr:row>33</xdr:row>
      <xdr:rowOff>76200</xdr:rowOff>
    </xdr:from>
    <xdr:to>
      <xdr:col>36</xdr:col>
      <xdr:colOff>103414</xdr:colOff>
      <xdr:row>33</xdr:row>
      <xdr:rowOff>76200</xdr:rowOff>
    </xdr:to>
    <xdr:cxnSp macro="">
      <xdr:nvCxnSpPr>
        <xdr:cNvPr id="22830" name="직선 화살표 연결선 22829"/>
        <xdr:cNvCxnSpPr/>
      </xdr:nvCxnSpPr>
      <xdr:spPr>
        <a:xfrm>
          <a:off x="9811294" y="5250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32</xdr:row>
      <xdr:rowOff>19050</xdr:rowOff>
    </xdr:from>
    <xdr:to>
      <xdr:col>36</xdr:col>
      <xdr:colOff>62048</xdr:colOff>
      <xdr:row>32</xdr:row>
      <xdr:rowOff>133350</xdr:rowOff>
    </xdr:to>
    <xdr:sp macro="" textlink="">
      <xdr:nvSpPr>
        <xdr:cNvPr id="22831" name="직사각형 22830"/>
        <xdr:cNvSpPr/>
      </xdr:nvSpPr>
      <xdr:spPr>
        <a:xfrm>
          <a:off x="9376954" y="504063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32</xdr:row>
      <xdr:rowOff>76200</xdr:rowOff>
    </xdr:from>
    <xdr:to>
      <xdr:col>33</xdr:col>
      <xdr:colOff>103414</xdr:colOff>
      <xdr:row>32</xdr:row>
      <xdr:rowOff>76200</xdr:rowOff>
    </xdr:to>
    <xdr:cxnSp macro="">
      <xdr:nvCxnSpPr>
        <xdr:cNvPr id="22832" name="직선 화살표 연결선 22831"/>
        <xdr:cNvCxnSpPr/>
      </xdr:nvCxnSpPr>
      <xdr:spPr>
        <a:xfrm>
          <a:off x="9376954" y="5097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103414</xdr:colOff>
      <xdr:row>31</xdr:row>
      <xdr:rowOff>19050</xdr:rowOff>
    </xdr:from>
    <xdr:to>
      <xdr:col>35</xdr:col>
      <xdr:colOff>62049</xdr:colOff>
      <xdr:row>31</xdr:row>
      <xdr:rowOff>133350</xdr:rowOff>
    </xdr:to>
    <xdr:sp macro="" textlink="">
      <xdr:nvSpPr>
        <xdr:cNvPr id="22833" name="직사각형 22832"/>
        <xdr:cNvSpPr/>
      </xdr:nvSpPr>
      <xdr:spPr>
        <a:xfrm>
          <a:off x="9376954" y="4888230"/>
          <a:ext cx="248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103414</xdr:colOff>
      <xdr:row>31</xdr:row>
      <xdr:rowOff>76200</xdr:rowOff>
    </xdr:from>
    <xdr:to>
      <xdr:col>33</xdr:col>
      <xdr:colOff>103414</xdr:colOff>
      <xdr:row>31</xdr:row>
      <xdr:rowOff>76200</xdr:rowOff>
    </xdr:to>
    <xdr:cxnSp macro="">
      <xdr:nvCxnSpPr>
        <xdr:cNvPr id="22834" name="직선 화살표 연결선 22833"/>
        <xdr:cNvCxnSpPr/>
      </xdr:nvCxnSpPr>
      <xdr:spPr>
        <a:xfrm>
          <a:off x="9376954" y="4945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30</xdr:row>
      <xdr:rowOff>19050</xdr:rowOff>
    </xdr:from>
    <xdr:to>
      <xdr:col>34</xdr:col>
      <xdr:colOff>62049</xdr:colOff>
      <xdr:row>30</xdr:row>
      <xdr:rowOff>133350</xdr:rowOff>
    </xdr:to>
    <xdr:sp macro="" textlink="">
      <xdr:nvSpPr>
        <xdr:cNvPr id="22835" name="직사각형 22834"/>
        <xdr:cNvSpPr/>
      </xdr:nvSpPr>
      <xdr:spPr>
        <a:xfrm>
          <a:off x="9232174" y="4735830"/>
          <a:ext cx="24819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30</xdr:row>
      <xdr:rowOff>76200</xdr:rowOff>
    </xdr:from>
    <xdr:to>
      <xdr:col>32</xdr:col>
      <xdr:colOff>103414</xdr:colOff>
      <xdr:row>30</xdr:row>
      <xdr:rowOff>76200</xdr:rowOff>
    </xdr:to>
    <xdr:cxnSp macro="">
      <xdr:nvCxnSpPr>
        <xdr:cNvPr id="22836" name="직선 화살표 연결선 22835"/>
        <xdr:cNvCxnSpPr/>
      </xdr:nvCxnSpPr>
      <xdr:spPr>
        <a:xfrm>
          <a:off x="9232174" y="4792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103414</xdr:colOff>
      <xdr:row>29</xdr:row>
      <xdr:rowOff>19050</xdr:rowOff>
    </xdr:from>
    <xdr:to>
      <xdr:col>36</xdr:col>
      <xdr:colOff>62048</xdr:colOff>
      <xdr:row>29</xdr:row>
      <xdr:rowOff>133350</xdr:rowOff>
    </xdr:to>
    <xdr:sp macro="" textlink="">
      <xdr:nvSpPr>
        <xdr:cNvPr id="22837" name="직사각형 22836"/>
        <xdr:cNvSpPr/>
      </xdr:nvSpPr>
      <xdr:spPr>
        <a:xfrm>
          <a:off x="9232174" y="4583430"/>
          <a:ext cx="5377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103414</xdr:colOff>
      <xdr:row>29</xdr:row>
      <xdr:rowOff>76200</xdr:rowOff>
    </xdr:from>
    <xdr:to>
      <xdr:col>32</xdr:col>
      <xdr:colOff>103414</xdr:colOff>
      <xdr:row>29</xdr:row>
      <xdr:rowOff>76200</xdr:rowOff>
    </xdr:to>
    <xdr:cxnSp macro="">
      <xdr:nvCxnSpPr>
        <xdr:cNvPr id="22838" name="직선 화살표 연결선 22837"/>
        <xdr:cNvCxnSpPr/>
      </xdr:nvCxnSpPr>
      <xdr:spPr>
        <a:xfrm>
          <a:off x="9232174" y="4640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28</xdr:row>
      <xdr:rowOff>19050</xdr:rowOff>
    </xdr:from>
    <xdr:to>
      <xdr:col>34</xdr:col>
      <xdr:colOff>62049</xdr:colOff>
      <xdr:row>28</xdr:row>
      <xdr:rowOff>133350</xdr:rowOff>
    </xdr:to>
    <xdr:sp macro="" textlink="">
      <xdr:nvSpPr>
        <xdr:cNvPr id="22880" name="직사각형 22879"/>
        <xdr:cNvSpPr/>
      </xdr:nvSpPr>
      <xdr:spPr>
        <a:xfrm>
          <a:off x="9087394" y="4431030"/>
          <a:ext cx="3929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28</xdr:row>
      <xdr:rowOff>76200</xdr:rowOff>
    </xdr:from>
    <xdr:to>
      <xdr:col>32</xdr:col>
      <xdr:colOff>88315</xdr:colOff>
      <xdr:row>28</xdr:row>
      <xdr:rowOff>76200</xdr:rowOff>
    </xdr:to>
    <xdr:cxnSp macro="">
      <xdr:nvCxnSpPr>
        <xdr:cNvPr id="22881" name="직선 화살표 연결선 22880"/>
        <xdr:cNvCxnSpPr/>
      </xdr:nvCxnSpPr>
      <xdr:spPr>
        <a:xfrm>
          <a:off x="9087394" y="4488180"/>
          <a:ext cx="1296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103414</xdr:colOff>
      <xdr:row>27</xdr:row>
      <xdr:rowOff>19050</xdr:rowOff>
    </xdr:from>
    <xdr:to>
      <xdr:col>37</xdr:col>
      <xdr:colOff>62049</xdr:colOff>
      <xdr:row>27</xdr:row>
      <xdr:rowOff>133350</xdr:rowOff>
    </xdr:to>
    <xdr:sp macro="" textlink="">
      <xdr:nvSpPr>
        <xdr:cNvPr id="22882" name="직사각형 22881"/>
        <xdr:cNvSpPr/>
      </xdr:nvSpPr>
      <xdr:spPr>
        <a:xfrm>
          <a:off x="9087394" y="4278630"/>
          <a:ext cx="82731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103414</xdr:colOff>
      <xdr:row>27</xdr:row>
      <xdr:rowOff>76200</xdr:rowOff>
    </xdr:from>
    <xdr:to>
      <xdr:col>32</xdr:col>
      <xdr:colOff>37505</xdr:colOff>
      <xdr:row>27</xdr:row>
      <xdr:rowOff>76200</xdr:rowOff>
    </xdr:to>
    <xdr:cxnSp macro="">
      <xdr:nvCxnSpPr>
        <xdr:cNvPr id="22883" name="직선 화살표 연결선 22882"/>
        <xdr:cNvCxnSpPr/>
      </xdr:nvCxnSpPr>
      <xdr:spPr>
        <a:xfrm>
          <a:off x="9087394" y="4335780"/>
          <a:ext cx="788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26</xdr:row>
      <xdr:rowOff>19050</xdr:rowOff>
    </xdr:from>
    <xdr:to>
      <xdr:col>31</xdr:col>
      <xdr:colOff>62048</xdr:colOff>
      <xdr:row>26</xdr:row>
      <xdr:rowOff>133350</xdr:rowOff>
    </xdr:to>
    <xdr:sp macro="" textlink="">
      <xdr:nvSpPr>
        <xdr:cNvPr id="22884" name="직사각형 22883"/>
        <xdr:cNvSpPr/>
      </xdr:nvSpPr>
      <xdr:spPr>
        <a:xfrm>
          <a:off x="8797834" y="41262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26</xdr:row>
      <xdr:rowOff>76200</xdr:rowOff>
    </xdr:from>
    <xdr:to>
      <xdr:col>30</xdr:col>
      <xdr:colOff>82731</xdr:colOff>
      <xdr:row>26</xdr:row>
      <xdr:rowOff>76200</xdr:rowOff>
    </xdr:to>
    <xdr:cxnSp macro="">
      <xdr:nvCxnSpPr>
        <xdr:cNvPr id="22885" name="직선 화살표 연결선 22884"/>
        <xdr:cNvCxnSpPr/>
      </xdr:nvCxnSpPr>
      <xdr:spPr>
        <a:xfrm>
          <a:off x="8797834" y="418338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25</xdr:row>
      <xdr:rowOff>19050</xdr:rowOff>
    </xdr:from>
    <xdr:to>
      <xdr:col>31</xdr:col>
      <xdr:colOff>62048</xdr:colOff>
      <xdr:row>25</xdr:row>
      <xdr:rowOff>133350</xdr:rowOff>
    </xdr:to>
    <xdr:sp macro="" textlink="">
      <xdr:nvSpPr>
        <xdr:cNvPr id="22886" name="직사각형 22885"/>
        <xdr:cNvSpPr/>
      </xdr:nvSpPr>
      <xdr:spPr>
        <a:xfrm>
          <a:off x="8797834" y="3973830"/>
          <a:ext cx="2481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25</xdr:row>
      <xdr:rowOff>76200</xdr:rowOff>
    </xdr:from>
    <xdr:to>
      <xdr:col>30</xdr:col>
      <xdr:colOff>57912</xdr:colOff>
      <xdr:row>25</xdr:row>
      <xdr:rowOff>76200</xdr:rowOff>
    </xdr:to>
    <xdr:cxnSp macro="">
      <xdr:nvCxnSpPr>
        <xdr:cNvPr id="22887" name="직선 화살표 연결선 22886"/>
        <xdr:cNvCxnSpPr/>
      </xdr:nvCxnSpPr>
      <xdr:spPr>
        <a:xfrm>
          <a:off x="8797834" y="4030980"/>
          <a:ext cx="992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103414</xdr:colOff>
      <xdr:row>24</xdr:row>
      <xdr:rowOff>19050</xdr:rowOff>
    </xdr:from>
    <xdr:to>
      <xdr:col>31</xdr:col>
      <xdr:colOff>62048</xdr:colOff>
      <xdr:row>24</xdr:row>
      <xdr:rowOff>133350</xdr:rowOff>
    </xdr:to>
    <xdr:sp macro="" textlink="">
      <xdr:nvSpPr>
        <xdr:cNvPr id="22888" name="직사각형 22887"/>
        <xdr:cNvSpPr/>
      </xdr:nvSpPr>
      <xdr:spPr>
        <a:xfrm>
          <a:off x="8797834" y="3821430"/>
          <a:ext cx="2481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103414</xdr:colOff>
      <xdr:row>24</xdr:row>
      <xdr:rowOff>76200</xdr:rowOff>
    </xdr:from>
    <xdr:to>
      <xdr:col>30</xdr:col>
      <xdr:colOff>70321</xdr:colOff>
      <xdr:row>24</xdr:row>
      <xdr:rowOff>76200</xdr:rowOff>
    </xdr:to>
    <xdr:cxnSp macro="">
      <xdr:nvCxnSpPr>
        <xdr:cNvPr id="22889" name="직선 화살표 연결선 22888"/>
        <xdr:cNvCxnSpPr/>
      </xdr:nvCxnSpPr>
      <xdr:spPr>
        <a:xfrm>
          <a:off x="8797834" y="3878580"/>
          <a:ext cx="11168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124097</xdr:colOff>
      <xdr:row>23</xdr:row>
      <xdr:rowOff>19050</xdr:rowOff>
    </xdr:from>
    <xdr:to>
      <xdr:col>31</xdr:col>
      <xdr:colOff>82732</xdr:colOff>
      <xdr:row>23</xdr:row>
      <xdr:rowOff>133350</xdr:rowOff>
    </xdr:to>
    <xdr:sp macro="" textlink="">
      <xdr:nvSpPr>
        <xdr:cNvPr id="22890" name="직사각형 22889"/>
        <xdr:cNvSpPr/>
      </xdr:nvSpPr>
      <xdr:spPr>
        <a:xfrm>
          <a:off x="8673737" y="3669030"/>
          <a:ext cx="3929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124097</xdr:colOff>
      <xdr:row>23</xdr:row>
      <xdr:rowOff>76200</xdr:rowOff>
    </xdr:from>
    <xdr:to>
      <xdr:col>30</xdr:col>
      <xdr:colOff>11376</xdr:colOff>
      <xdr:row>23</xdr:row>
      <xdr:rowOff>76200</xdr:rowOff>
    </xdr:to>
    <xdr:cxnSp macro="">
      <xdr:nvCxnSpPr>
        <xdr:cNvPr id="22891" name="직선 화살표 연결선 22890"/>
        <xdr:cNvCxnSpPr/>
      </xdr:nvCxnSpPr>
      <xdr:spPr>
        <a:xfrm>
          <a:off x="8673737" y="3726180"/>
          <a:ext cx="176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124097</xdr:colOff>
      <xdr:row>22</xdr:row>
      <xdr:rowOff>19050</xdr:rowOff>
    </xdr:from>
    <xdr:to>
      <xdr:col>31</xdr:col>
      <xdr:colOff>82732</xdr:colOff>
      <xdr:row>22</xdr:row>
      <xdr:rowOff>133350</xdr:rowOff>
    </xdr:to>
    <xdr:sp macro="" textlink="">
      <xdr:nvSpPr>
        <xdr:cNvPr id="22892" name="직사각형 22891"/>
        <xdr:cNvSpPr/>
      </xdr:nvSpPr>
      <xdr:spPr>
        <a:xfrm>
          <a:off x="8673737" y="3516630"/>
          <a:ext cx="3929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124097</xdr:colOff>
      <xdr:row>22</xdr:row>
      <xdr:rowOff>76200</xdr:rowOff>
    </xdr:from>
    <xdr:to>
      <xdr:col>30</xdr:col>
      <xdr:colOff>11376</xdr:colOff>
      <xdr:row>22</xdr:row>
      <xdr:rowOff>76200</xdr:rowOff>
    </xdr:to>
    <xdr:cxnSp macro="">
      <xdr:nvCxnSpPr>
        <xdr:cNvPr id="22893" name="직선 화살표 연결선 22892"/>
        <xdr:cNvCxnSpPr/>
      </xdr:nvCxnSpPr>
      <xdr:spPr>
        <a:xfrm>
          <a:off x="8673737" y="3573780"/>
          <a:ext cx="1768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124097</xdr:colOff>
      <xdr:row>21</xdr:row>
      <xdr:rowOff>19050</xdr:rowOff>
    </xdr:from>
    <xdr:to>
      <xdr:col>46</xdr:col>
      <xdr:colOff>124097</xdr:colOff>
      <xdr:row>21</xdr:row>
      <xdr:rowOff>133350</xdr:rowOff>
    </xdr:to>
    <xdr:sp macro="" textlink="">
      <xdr:nvSpPr>
        <xdr:cNvPr id="22894" name="직사각형 22893"/>
        <xdr:cNvSpPr/>
      </xdr:nvSpPr>
      <xdr:spPr>
        <a:xfrm>
          <a:off x="8673737" y="3364230"/>
          <a:ext cx="26060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124097</xdr:colOff>
      <xdr:row>21</xdr:row>
      <xdr:rowOff>76200</xdr:rowOff>
    </xdr:from>
    <xdr:to>
      <xdr:col>30</xdr:col>
      <xdr:colOff>35523</xdr:colOff>
      <xdr:row>21</xdr:row>
      <xdr:rowOff>76200</xdr:rowOff>
    </xdr:to>
    <xdr:cxnSp macro="">
      <xdr:nvCxnSpPr>
        <xdr:cNvPr id="22895" name="직선 화살표 연결선 22894"/>
        <xdr:cNvCxnSpPr/>
      </xdr:nvCxnSpPr>
      <xdr:spPr>
        <a:xfrm>
          <a:off x="8673737" y="3421380"/>
          <a:ext cx="2009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124097</xdr:colOff>
      <xdr:row>20</xdr:row>
      <xdr:rowOff>19050</xdr:rowOff>
    </xdr:from>
    <xdr:to>
      <xdr:col>50</xdr:col>
      <xdr:colOff>0</xdr:colOff>
      <xdr:row>20</xdr:row>
      <xdr:rowOff>133350</xdr:rowOff>
    </xdr:to>
    <xdr:sp macro="" textlink="">
      <xdr:nvSpPr>
        <xdr:cNvPr id="22896" name="직사각형 22895"/>
        <xdr:cNvSpPr/>
      </xdr:nvSpPr>
      <xdr:spPr>
        <a:xfrm>
          <a:off x="11714117" y="32118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124097</xdr:colOff>
      <xdr:row>20</xdr:row>
      <xdr:rowOff>76200</xdr:rowOff>
    </xdr:from>
    <xdr:to>
      <xdr:col>49</xdr:col>
      <xdr:colOff>124097</xdr:colOff>
      <xdr:row>20</xdr:row>
      <xdr:rowOff>76200</xdr:rowOff>
    </xdr:to>
    <xdr:cxnSp macro="">
      <xdr:nvCxnSpPr>
        <xdr:cNvPr id="22897" name="직선 화살표 연결선 22896"/>
        <xdr:cNvCxnSpPr/>
      </xdr:nvCxnSpPr>
      <xdr:spPr>
        <a:xfrm>
          <a:off x="11714117" y="3268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124097</xdr:colOff>
      <xdr:row>19</xdr:row>
      <xdr:rowOff>19050</xdr:rowOff>
    </xdr:from>
    <xdr:to>
      <xdr:col>50</xdr:col>
      <xdr:colOff>0</xdr:colOff>
      <xdr:row>19</xdr:row>
      <xdr:rowOff>133350</xdr:rowOff>
    </xdr:to>
    <xdr:sp macro="" textlink="">
      <xdr:nvSpPr>
        <xdr:cNvPr id="22898" name="직사각형 22897"/>
        <xdr:cNvSpPr/>
      </xdr:nvSpPr>
      <xdr:spPr>
        <a:xfrm>
          <a:off x="11714117" y="3059430"/>
          <a:ext cx="206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124097</xdr:colOff>
      <xdr:row>19</xdr:row>
      <xdr:rowOff>76200</xdr:rowOff>
    </xdr:from>
    <xdr:to>
      <xdr:col>49</xdr:col>
      <xdr:colOff>124097</xdr:colOff>
      <xdr:row>19</xdr:row>
      <xdr:rowOff>76200</xdr:rowOff>
    </xdr:to>
    <xdr:cxnSp macro="">
      <xdr:nvCxnSpPr>
        <xdr:cNvPr id="22899" name="직선 화살표 연결선 22898"/>
        <xdr:cNvCxnSpPr/>
      </xdr:nvCxnSpPr>
      <xdr:spPr>
        <a:xfrm>
          <a:off x="11714117" y="3116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41366</xdr:colOff>
      <xdr:row>18</xdr:row>
      <xdr:rowOff>19050</xdr:rowOff>
    </xdr:from>
    <xdr:to>
      <xdr:col>50</xdr:col>
      <xdr:colOff>0</xdr:colOff>
      <xdr:row>18</xdr:row>
      <xdr:rowOff>133350</xdr:rowOff>
    </xdr:to>
    <xdr:sp macro="" textlink="">
      <xdr:nvSpPr>
        <xdr:cNvPr id="22900" name="직사각형 22899"/>
        <xdr:cNvSpPr/>
      </xdr:nvSpPr>
      <xdr:spPr>
        <a:xfrm>
          <a:off x="11341826" y="2907030"/>
          <a:ext cx="3929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41366</xdr:colOff>
      <xdr:row>18</xdr:row>
      <xdr:rowOff>76200</xdr:rowOff>
    </xdr:from>
    <xdr:to>
      <xdr:col>47</xdr:col>
      <xdr:colOff>41366</xdr:colOff>
      <xdr:row>18</xdr:row>
      <xdr:rowOff>76200</xdr:rowOff>
    </xdr:to>
    <xdr:cxnSp macro="">
      <xdr:nvCxnSpPr>
        <xdr:cNvPr id="22901" name="직선 화살표 연결선 22900"/>
        <xdr:cNvCxnSpPr/>
      </xdr:nvCxnSpPr>
      <xdr:spPr>
        <a:xfrm>
          <a:off x="11341826" y="2964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41366</xdr:colOff>
      <xdr:row>17</xdr:row>
      <xdr:rowOff>19050</xdr:rowOff>
    </xdr:from>
    <xdr:to>
      <xdr:col>47</xdr:col>
      <xdr:colOff>0</xdr:colOff>
      <xdr:row>17</xdr:row>
      <xdr:rowOff>133350</xdr:rowOff>
    </xdr:to>
    <xdr:sp macro="" textlink="">
      <xdr:nvSpPr>
        <xdr:cNvPr id="22902" name="직사각형 22901"/>
        <xdr:cNvSpPr/>
      </xdr:nvSpPr>
      <xdr:spPr>
        <a:xfrm>
          <a:off x="11197046" y="27546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41366</xdr:colOff>
      <xdr:row>17</xdr:row>
      <xdr:rowOff>76200</xdr:rowOff>
    </xdr:from>
    <xdr:to>
      <xdr:col>46</xdr:col>
      <xdr:colOff>41366</xdr:colOff>
      <xdr:row>17</xdr:row>
      <xdr:rowOff>76200</xdr:rowOff>
    </xdr:to>
    <xdr:cxnSp macro="">
      <xdr:nvCxnSpPr>
        <xdr:cNvPr id="22903" name="직선 화살표 연결선 22902"/>
        <xdr:cNvCxnSpPr/>
      </xdr:nvCxnSpPr>
      <xdr:spPr>
        <a:xfrm>
          <a:off x="11197046" y="2811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41366</xdr:colOff>
      <xdr:row>16</xdr:row>
      <xdr:rowOff>19050</xdr:rowOff>
    </xdr:from>
    <xdr:to>
      <xdr:col>50</xdr:col>
      <xdr:colOff>0</xdr:colOff>
      <xdr:row>16</xdr:row>
      <xdr:rowOff>133350</xdr:rowOff>
    </xdr:to>
    <xdr:sp macro="" textlink="">
      <xdr:nvSpPr>
        <xdr:cNvPr id="22904" name="직사각형 22903"/>
        <xdr:cNvSpPr/>
      </xdr:nvSpPr>
      <xdr:spPr>
        <a:xfrm>
          <a:off x="11197046" y="2602230"/>
          <a:ext cx="5377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41366</xdr:colOff>
      <xdr:row>16</xdr:row>
      <xdr:rowOff>76200</xdr:rowOff>
    </xdr:from>
    <xdr:to>
      <xdr:col>46</xdr:col>
      <xdr:colOff>41366</xdr:colOff>
      <xdr:row>16</xdr:row>
      <xdr:rowOff>76200</xdr:rowOff>
    </xdr:to>
    <xdr:cxnSp macro="">
      <xdr:nvCxnSpPr>
        <xdr:cNvPr id="22905" name="직선 화살표 연결선 22904"/>
        <xdr:cNvCxnSpPr/>
      </xdr:nvCxnSpPr>
      <xdr:spPr>
        <a:xfrm>
          <a:off x="11197046" y="2659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14</xdr:row>
      <xdr:rowOff>19050</xdr:rowOff>
    </xdr:from>
    <xdr:to>
      <xdr:col>31</xdr:col>
      <xdr:colOff>82732</xdr:colOff>
      <xdr:row>14</xdr:row>
      <xdr:rowOff>133350</xdr:rowOff>
    </xdr:to>
    <xdr:sp macro="" textlink="">
      <xdr:nvSpPr>
        <xdr:cNvPr id="22906" name="직사각형 22905"/>
        <xdr:cNvSpPr/>
      </xdr:nvSpPr>
      <xdr:spPr>
        <a:xfrm>
          <a:off x="9046028" y="22974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14</xdr:row>
      <xdr:rowOff>76200</xdr:rowOff>
    </xdr:from>
    <xdr:to>
      <xdr:col>31</xdr:col>
      <xdr:colOff>62048</xdr:colOff>
      <xdr:row>14</xdr:row>
      <xdr:rowOff>76200</xdr:rowOff>
    </xdr:to>
    <xdr:cxnSp macro="">
      <xdr:nvCxnSpPr>
        <xdr:cNvPr id="22907" name="직선 화살표 연결선 22906"/>
        <xdr:cNvCxnSpPr/>
      </xdr:nvCxnSpPr>
      <xdr:spPr>
        <a:xfrm>
          <a:off x="9046028" y="2354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82732</xdr:colOff>
      <xdr:row>13</xdr:row>
      <xdr:rowOff>19050</xdr:rowOff>
    </xdr:from>
    <xdr:to>
      <xdr:col>45</xdr:col>
      <xdr:colOff>41366</xdr:colOff>
      <xdr:row>13</xdr:row>
      <xdr:rowOff>133350</xdr:rowOff>
    </xdr:to>
    <xdr:sp macro="" textlink="">
      <xdr:nvSpPr>
        <xdr:cNvPr id="22908" name="직사각형 22907"/>
        <xdr:cNvSpPr/>
      </xdr:nvSpPr>
      <xdr:spPr>
        <a:xfrm>
          <a:off x="10514512" y="2145030"/>
          <a:ext cx="5377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82732</xdr:colOff>
      <xdr:row>13</xdr:row>
      <xdr:rowOff>76200</xdr:rowOff>
    </xdr:from>
    <xdr:to>
      <xdr:col>41</xdr:col>
      <xdr:colOff>82732</xdr:colOff>
      <xdr:row>13</xdr:row>
      <xdr:rowOff>76200</xdr:rowOff>
    </xdr:to>
    <xdr:cxnSp macro="">
      <xdr:nvCxnSpPr>
        <xdr:cNvPr id="22909" name="직선 화살표 연결선 22908"/>
        <xdr:cNvCxnSpPr/>
      </xdr:nvCxnSpPr>
      <xdr:spPr>
        <a:xfrm>
          <a:off x="10514512" y="22021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62048</xdr:colOff>
      <xdr:row>12</xdr:row>
      <xdr:rowOff>19050</xdr:rowOff>
    </xdr:from>
    <xdr:to>
      <xdr:col>36</xdr:col>
      <xdr:colOff>82732</xdr:colOff>
      <xdr:row>12</xdr:row>
      <xdr:rowOff>133350</xdr:rowOff>
    </xdr:to>
    <xdr:sp macro="" textlink="">
      <xdr:nvSpPr>
        <xdr:cNvPr id="22910" name="직사각형 22909"/>
        <xdr:cNvSpPr/>
      </xdr:nvSpPr>
      <xdr:spPr>
        <a:xfrm>
          <a:off x="9769928" y="19926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62048</xdr:colOff>
      <xdr:row>12</xdr:row>
      <xdr:rowOff>76200</xdr:rowOff>
    </xdr:from>
    <xdr:to>
      <xdr:col>36</xdr:col>
      <xdr:colOff>62048</xdr:colOff>
      <xdr:row>12</xdr:row>
      <xdr:rowOff>76200</xdr:rowOff>
    </xdr:to>
    <xdr:cxnSp macro="">
      <xdr:nvCxnSpPr>
        <xdr:cNvPr id="22911" name="직선 화살표 연결선 22910"/>
        <xdr:cNvCxnSpPr/>
      </xdr:nvCxnSpPr>
      <xdr:spPr>
        <a:xfrm>
          <a:off x="9769928" y="20497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124097</xdr:colOff>
      <xdr:row>11</xdr:row>
      <xdr:rowOff>19050</xdr:rowOff>
    </xdr:from>
    <xdr:to>
      <xdr:col>32</xdr:col>
      <xdr:colOff>82731</xdr:colOff>
      <xdr:row>11</xdr:row>
      <xdr:rowOff>133350</xdr:rowOff>
    </xdr:to>
    <xdr:sp macro="" textlink="">
      <xdr:nvSpPr>
        <xdr:cNvPr id="22912" name="직사각형 22911"/>
        <xdr:cNvSpPr/>
      </xdr:nvSpPr>
      <xdr:spPr>
        <a:xfrm>
          <a:off x="9108077" y="1840230"/>
          <a:ext cx="10341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124097</xdr:colOff>
      <xdr:row>11</xdr:row>
      <xdr:rowOff>76200</xdr:rowOff>
    </xdr:from>
    <xdr:to>
      <xdr:col>31</xdr:col>
      <xdr:colOff>124097</xdr:colOff>
      <xdr:row>11</xdr:row>
      <xdr:rowOff>76200</xdr:rowOff>
    </xdr:to>
    <xdr:cxnSp macro="">
      <xdr:nvCxnSpPr>
        <xdr:cNvPr id="22913" name="직선 화살표 연결선 22912"/>
        <xdr:cNvCxnSpPr/>
      </xdr:nvCxnSpPr>
      <xdr:spPr>
        <a:xfrm>
          <a:off x="9108077" y="18973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10</xdr:row>
      <xdr:rowOff>19050</xdr:rowOff>
    </xdr:from>
    <xdr:to>
      <xdr:col>45</xdr:col>
      <xdr:colOff>41366</xdr:colOff>
      <xdr:row>10</xdr:row>
      <xdr:rowOff>133350</xdr:rowOff>
    </xdr:to>
    <xdr:sp macro="" textlink="">
      <xdr:nvSpPr>
        <xdr:cNvPr id="22914" name="직사각형 22913"/>
        <xdr:cNvSpPr/>
      </xdr:nvSpPr>
      <xdr:spPr>
        <a:xfrm>
          <a:off x="9046028" y="1687830"/>
          <a:ext cx="20062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10</xdr:row>
      <xdr:rowOff>76200</xdr:rowOff>
    </xdr:from>
    <xdr:to>
      <xdr:col>31</xdr:col>
      <xdr:colOff>62048</xdr:colOff>
      <xdr:row>10</xdr:row>
      <xdr:rowOff>76200</xdr:rowOff>
    </xdr:to>
    <xdr:cxnSp macro="">
      <xdr:nvCxnSpPr>
        <xdr:cNvPr id="22915" name="직선 화살표 연결선 22914"/>
        <xdr:cNvCxnSpPr/>
      </xdr:nvCxnSpPr>
      <xdr:spPr>
        <a:xfrm>
          <a:off x="9046028" y="17449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62048</xdr:colOff>
      <xdr:row>9</xdr:row>
      <xdr:rowOff>19050</xdr:rowOff>
    </xdr:from>
    <xdr:to>
      <xdr:col>31</xdr:col>
      <xdr:colOff>82732</xdr:colOff>
      <xdr:row>9</xdr:row>
      <xdr:rowOff>133350</xdr:rowOff>
    </xdr:to>
    <xdr:sp macro="" textlink="">
      <xdr:nvSpPr>
        <xdr:cNvPr id="22916" name="직사각형 22915"/>
        <xdr:cNvSpPr/>
      </xdr:nvSpPr>
      <xdr:spPr>
        <a:xfrm>
          <a:off x="9046028" y="1535430"/>
          <a:ext cx="2068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62048</xdr:colOff>
      <xdr:row>9</xdr:row>
      <xdr:rowOff>76200</xdr:rowOff>
    </xdr:from>
    <xdr:to>
      <xdr:col>31</xdr:col>
      <xdr:colOff>62048</xdr:colOff>
      <xdr:row>9</xdr:row>
      <xdr:rowOff>76200</xdr:rowOff>
    </xdr:to>
    <xdr:cxnSp macro="">
      <xdr:nvCxnSpPr>
        <xdr:cNvPr id="22917" name="직선 화살표 연결선 22916"/>
        <xdr:cNvCxnSpPr/>
      </xdr:nvCxnSpPr>
      <xdr:spPr>
        <a:xfrm>
          <a:off x="9046028" y="159258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124097</xdr:colOff>
      <xdr:row>8</xdr:row>
      <xdr:rowOff>19050</xdr:rowOff>
    </xdr:from>
    <xdr:to>
      <xdr:col>29</xdr:col>
      <xdr:colOff>124097</xdr:colOff>
      <xdr:row>8</xdr:row>
      <xdr:rowOff>133350</xdr:rowOff>
    </xdr:to>
    <xdr:sp macro="" textlink="">
      <xdr:nvSpPr>
        <xdr:cNvPr id="22918" name="직사각형 22917"/>
        <xdr:cNvSpPr/>
      </xdr:nvSpPr>
      <xdr:spPr>
        <a:xfrm>
          <a:off x="8673737" y="1383030"/>
          <a:ext cx="1447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124097</xdr:colOff>
      <xdr:row>8</xdr:row>
      <xdr:rowOff>76200</xdr:rowOff>
    </xdr:from>
    <xdr:to>
      <xdr:col>29</xdr:col>
      <xdr:colOff>124097</xdr:colOff>
      <xdr:row>8</xdr:row>
      <xdr:rowOff>76200</xdr:rowOff>
    </xdr:to>
    <xdr:cxnSp macro="">
      <xdr:nvCxnSpPr>
        <xdr:cNvPr id="22919" name="직선 화살표 연결선 22918"/>
        <xdr:cNvCxnSpPr/>
      </xdr:nvCxnSpPr>
      <xdr:spPr>
        <a:xfrm>
          <a:off x="8673737" y="1440180"/>
          <a:ext cx="14478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124097</xdr:colOff>
      <xdr:row>7</xdr:row>
      <xdr:rowOff>19050</xdr:rowOff>
    </xdr:from>
    <xdr:to>
      <xdr:col>31</xdr:col>
      <xdr:colOff>82732</xdr:colOff>
      <xdr:row>7</xdr:row>
      <xdr:rowOff>133350</xdr:rowOff>
    </xdr:to>
    <xdr:sp macro="" textlink="">
      <xdr:nvSpPr>
        <xdr:cNvPr id="22920" name="직사각형 22919"/>
        <xdr:cNvSpPr/>
      </xdr:nvSpPr>
      <xdr:spPr>
        <a:xfrm>
          <a:off x="8673737" y="1230630"/>
          <a:ext cx="39297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124097</xdr:colOff>
      <xdr:row>7</xdr:row>
      <xdr:rowOff>76200</xdr:rowOff>
    </xdr:from>
    <xdr:to>
      <xdr:col>31</xdr:col>
      <xdr:colOff>4136</xdr:colOff>
      <xdr:row>7</xdr:row>
      <xdr:rowOff>76200</xdr:rowOff>
    </xdr:to>
    <xdr:cxnSp macro="">
      <xdr:nvCxnSpPr>
        <xdr:cNvPr id="22921" name="직선 화살표 연결선 22920"/>
        <xdr:cNvCxnSpPr/>
      </xdr:nvCxnSpPr>
      <xdr:spPr>
        <a:xfrm>
          <a:off x="8673737" y="1287780"/>
          <a:ext cx="3143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41366</xdr:colOff>
      <xdr:row>6</xdr:row>
      <xdr:rowOff>19050</xdr:rowOff>
    </xdr:from>
    <xdr:to>
      <xdr:col>28</xdr:col>
      <xdr:colOff>82732</xdr:colOff>
      <xdr:row>6</xdr:row>
      <xdr:rowOff>133350</xdr:rowOff>
    </xdr:to>
    <xdr:sp macro="" textlink="">
      <xdr:nvSpPr>
        <xdr:cNvPr id="22922" name="직사각형 22921"/>
        <xdr:cNvSpPr/>
      </xdr:nvSpPr>
      <xdr:spPr>
        <a:xfrm>
          <a:off x="8591006" y="1078230"/>
          <a:ext cx="41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41366</xdr:colOff>
      <xdr:row>6</xdr:row>
      <xdr:rowOff>76200</xdr:rowOff>
    </xdr:from>
    <xdr:to>
      <xdr:col>28</xdr:col>
      <xdr:colOff>82732</xdr:colOff>
      <xdr:row>6</xdr:row>
      <xdr:rowOff>76200</xdr:rowOff>
    </xdr:to>
    <xdr:cxnSp macro="">
      <xdr:nvCxnSpPr>
        <xdr:cNvPr id="22923" name="직선 화살표 연결선 22922"/>
        <xdr:cNvCxnSpPr/>
      </xdr:nvCxnSpPr>
      <xdr:spPr>
        <a:xfrm>
          <a:off x="8591006" y="1135380"/>
          <a:ext cx="4136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41366</xdr:colOff>
      <xdr:row>5</xdr:row>
      <xdr:rowOff>19050</xdr:rowOff>
    </xdr:from>
    <xdr:to>
      <xdr:col>31</xdr:col>
      <xdr:colOff>82732</xdr:colOff>
      <xdr:row>5</xdr:row>
      <xdr:rowOff>133350</xdr:rowOff>
    </xdr:to>
    <xdr:sp macro="" textlink="">
      <xdr:nvSpPr>
        <xdr:cNvPr id="22924" name="직사각형 22923"/>
        <xdr:cNvSpPr/>
      </xdr:nvSpPr>
      <xdr:spPr>
        <a:xfrm>
          <a:off x="8591006" y="925830"/>
          <a:ext cx="4757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41366</xdr:colOff>
      <xdr:row>5</xdr:row>
      <xdr:rowOff>76200</xdr:rowOff>
    </xdr:from>
    <xdr:to>
      <xdr:col>31</xdr:col>
      <xdr:colOff>3447</xdr:colOff>
      <xdr:row>5</xdr:row>
      <xdr:rowOff>76200</xdr:rowOff>
    </xdr:to>
    <xdr:cxnSp macro="">
      <xdr:nvCxnSpPr>
        <xdr:cNvPr id="22925" name="직선 화살표 연결선 22924"/>
        <xdr:cNvCxnSpPr/>
      </xdr:nvCxnSpPr>
      <xdr:spPr>
        <a:xfrm>
          <a:off x="8591006" y="982980"/>
          <a:ext cx="3964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41366</xdr:colOff>
      <xdr:row>4</xdr:row>
      <xdr:rowOff>19050</xdr:rowOff>
    </xdr:from>
    <xdr:to>
      <xdr:col>50</xdr:col>
      <xdr:colOff>0</xdr:colOff>
      <xdr:row>4</xdr:row>
      <xdr:rowOff>133350</xdr:rowOff>
    </xdr:to>
    <xdr:sp macro="" textlink="">
      <xdr:nvSpPr>
        <xdr:cNvPr id="22926" name="직사각형 22925"/>
        <xdr:cNvSpPr/>
      </xdr:nvSpPr>
      <xdr:spPr>
        <a:xfrm>
          <a:off x="8591006" y="773430"/>
          <a:ext cx="314379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41366</xdr:colOff>
      <xdr:row>4</xdr:row>
      <xdr:rowOff>76200</xdr:rowOff>
    </xdr:from>
    <xdr:to>
      <xdr:col>30</xdr:col>
      <xdr:colOff>109055</xdr:colOff>
      <xdr:row>4</xdr:row>
      <xdr:rowOff>76200</xdr:rowOff>
    </xdr:to>
    <xdr:cxnSp macro="">
      <xdr:nvCxnSpPr>
        <xdr:cNvPr id="22927" name="직선 화살표 연결선 22926"/>
        <xdr:cNvCxnSpPr/>
      </xdr:nvCxnSpPr>
      <xdr:spPr>
        <a:xfrm>
          <a:off x="8591006" y="830580"/>
          <a:ext cx="3572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115" zoomScaleNormal="115" workbookViewId="0">
      <selection activeCell="B19" sqref="B19"/>
    </sheetView>
  </sheetViews>
  <sheetFormatPr defaultColWidth="10" defaultRowHeight="13.8"/>
  <cols>
    <col min="1" max="1" width="28.19921875" style="102" bestFit="1" customWidth="1"/>
    <col min="2" max="2" width="23.09765625" style="99" bestFit="1" customWidth="1"/>
    <col min="3" max="3" width="21.69921875" style="99" customWidth="1"/>
    <col min="4" max="4" width="27.3984375" style="99" bestFit="1" customWidth="1"/>
    <col min="5" max="5" width="12.8984375" style="99" bestFit="1" customWidth="1"/>
    <col min="6" max="6" width="17.69921875" style="99" bestFit="1" customWidth="1"/>
    <col min="7" max="7" width="21.8984375" style="102" bestFit="1" customWidth="1"/>
    <col min="8" max="8" width="23.69921875" style="102" bestFit="1" customWidth="1"/>
    <col min="9" max="9" width="9.69921875" style="102" bestFit="1" customWidth="1"/>
    <col min="10" max="10" width="25.09765625" style="102" bestFit="1" customWidth="1"/>
    <col min="11" max="11" width="4.8984375" style="102" bestFit="1" customWidth="1"/>
    <col min="12" max="12" width="25.09765625" style="102" bestFit="1" customWidth="1"/>
    <col min="13" max="13" width="4.8984375" style="102" bestFit="1" customWidth="1"/>
    <col min="14" max="14" width="23" style="102" bestFit="1" customWidth="1"/>
    <col min="15" max="15" width="14.5" style="102" customWidth="1"/>
    <col min="16" max="16" width="28.3984375" style="102" bestFit="1" customWidth="1"/>
    <col min="17" max="17" width="9.5" style="102" bestFit="1" customWidth="1"/>
    <col min="18" max="18" width="27.69921875" style="102" bestFit="1" customWidth="1"/>
    <col min="19" max="19" width="4.8984375" style="102" bestFit="1" customWidth="1"/>
    <col min="20" max="20" width="25" style="102" bestFit="1" customWidth="1"/>
    <col min="21" max="21" width="4.3984375" style="102" bestFit="1" customWidth="1"/>
    <col min="22" max="22" width="23" style="102" bestFit="1" customWidth="1"/>
    <col min="23" max="23" width="8.09765625" style="102" bestFit="1" customWidth="1"/>
    <col min="24" max="24" width="22.59765625" style="102" bestFit="1" customWidth="1"/>
    <col min="25" max="25" width="9.5" style="102" bestFit="1" customWidth="1"/>
    <col min="26" max="26" width="26.19921875" style="102" bestFit="1" customWidth="1"/>
    <col min="27" max="27" width="7.8984375" style="102" bestFit="1" customWidth="1"/>
    <col min="28" max="28" width="21.19921875" style="102" bestFit="1" customWidth="1"/>
    <col min="29" max="29" width="15.59765625" style="102" bestFit="1" customWidth="1"/>
    <col min="30" max="30" width="23.5" style="102" bestFit="1" customWidth="1"/>
    <col min="31" max="31" width="15.19921875" style="102" bestFit="1" customWidth="1"/>
    <col min="32" max="32" width="22.59765625" style="102" bestFit="1" customWidth="1"/>
    <col min="33" max="33" width="60.8984375" style="102" bestFit="1" customWidth="1"/>
    <col min="34" max="34" width="28.3984375" style="102" bestFit="1" customWidth="1"/>
    <col min="35" max="35" width="11.5" style="102" bestFit="1" customWidth="1"/>
    <col min="36" max="36" width="25.09765625" style="102" bestFit="1" customWidth="1"/>
    <col min="37" max="37" width="4" style="102" bestFit="1" customWidth="1"/>
    <col min="38" max="38" width="14.8984375" style="102" bestFit="1" customWidth="1"/>
    <col min="39" max="39" width="11.59765625" style="102" bestFit="1" customWidth="1"/>
    <col min="40" max="40" width="22.59765625" style="102" bestFit="1" customWidth="1"/>
    <col min="41" max="41" width="5.8984375" style="102" bestFit="1" customWidth="1"/>
    <col min="42" max="42" width="15.8984375" style="102" bestFit="1" customWidth="1"/>
    <col min="43" max="43" width="6.3984375" style="102" bestFit="1" customWidth="1"/>
    <col min="44" max="44" width="13.19921875" style="102" bestFit="1" customWidth="1"/>
    <col min="45" max="45" width="3.19921875" style="102" bestFit="1" customWidth="1"/>
    <col min="46" max="46" width="14.8984375" style="102" bestFit="1" customWidth="1"/>
    <col min="47" max="47" width="28.59765625" style="102" bestFit="1" customWidth="1"/>
    <col min="48" max="48" width="22.59765625" style="102" bestFit="1" customWidth="1"/>
    <col min="49" max="49" width="5.3984375" style="102" bestFit="1" customWidth="1"/>
    <col min="50" max="50" width="15.8984375" style="102" bestFit="1" customWidth="1"/>
    <col min="51" max="51" width="10" style="102"/>
    <col min="52" max="52" width="13.19921875" style="102" bestFit="1" customWidth="1"/>
    <col min="53" max="53" width="10" style="102"/>
    <col min="54" max="54" width="14.8984375" style="102" bestFit="1" customWidth="1"/>
    <col min="55" max="55" width="10" style="102"/>
    <col min="56" max="56" width="22.59765625" style="102" bestFit="1" customWidth="1"/>
    <col min="57" max="57" width="10" style="102"/>
    <col min="58" max="58" width="15.8984375" style="102" bestFit="1" customWidth="1"/>
    <col min="59" max="59" width="10" style="102"/>
    <col min="60" max="60" width="13.19921875" style="102" bestFit="1" customWidth="1"/>
    <col min="61" max="61" width="10" style="102"/>
    <col min="62" max="62" width="14.8984375" style="102" bestFit="1" customWidth="1"/>
    <col min="63" max="63" width="10" style="102"/>
    <col min="64" max="64" width="22.59765625" style="102" bestFit="1" customWidth="1"/>
    <col min="65" max="65" width="10" style="102"/>
    <col min="66" max="66" width="33.69921875" style="102" bestFit="1" customWidth="1"/>
    <col min="67" max="16384" width="10" style="102"/>
  </cols>
  <sheetData>
    <row r="1" spans="1:64" s="99" customFormat="1">
      <c r="A1" s="98" t="s">
        <v>5</v>
      </c>
      <c r="B1" s="98" t="s">
        <v>6</v>
      </c>
      <c r="C1" s="98" t="s">
        <v>7</v>
      </c>
      <c r="D1" s="98" t="s">
        <v>8</v>
      </c>
      <c r="E1" s="98" t="s">
        <v>9</v>
      </c>
      <c r="F1" s="98" t="s">
        <v>10</v>
      </c>
    </row>
    <row r="2" spans="1:64">
      <c r="A2" s="100" t="s">
        <v>11</v>
      </c>
      <c r="B2" s="101" t="s">
        <v>12</v>
      </c>
      <c r="C2" s="101"/>
      <c r="D2" s="101"/>
      <c r="E2" s="101" t="s">
        <v>13</v>
      </c>
      <c r="F2" s="101"/>
    </row>
    <row r="3" spans="1:64">
      <c r="A3" s="100" t="s">
        <v>399</v>
      </c>
      <c r="B3" s="101" t="s">
        <v>12</v>
      </c>
      <c r="C3" s="101"/>
      <c r="D3" s="101"/>
      <c r="E3" s="101" t="s">
        <v>13</v>
      </c>
      <c r="F3" s="101"/>
    </row>
    <row r="4" spans="1:64">
      <c r="A4" s="100" t="s">
        <v>14</v>
      </c>
      <c r="B4" s="111" t="s">
        <v>400</v>
      </c>
      <c r="C4" s="101"/>
      <c r="D4" s="101"/>
      <c r="E4" s="101" t="s">
        <v>13</v>
      </c>
      <c r="F4" s="101"/>
    </row>
    <row r="5" spans="1:64">
      <c r="A5" s="100" t="s">
        <v>15</v>
      </c>
      <c r="B5" s="101" t="s">
        <v>16</v>
      </c>
      <c r="C5" s="101"/>
      <c r="D5" s="101"/>
      <c r="E5" s="101" t="s">
        <v>13</v>
      </c>
      <c r="F5" s="101"/>
    </row>
    <row r="6" spans="1:64">
      <c r="A6" s="100" t="s">
        <v>17</v>
      </c>
      <c r="B6" s="111" t="s">
        <v>18</v>
      </c>
      <c r="C6" s="101"/>
      <c r="D6" s="101"/>
      <c r="E6" s="101" t="s">
        <v>13</v>
      </c>
      <c r="F6" s="101"/>
    </row>
    <row r="7" spans="1:64">
      <c r="A7" s="100" t="s">
        <v>19</v>
      </c>
      <c r="B7" s="100" t="s">
        <v>12</v>
      </c>
      <c r="C7" s="101"/>
      <c r="D7" s="101"/>
      <c r="E7" s="101" t="s">
        <v>13</v>
      </c>
      <c r="F7" s="101"/>
    </row>
    <row r="8" spans="1:64">
      <c r="A8" s="100" t="s">
        <v>20</v>
      </c>
      <c r="B8" s="103" t="s">
        <v>992</v>
      </c>
      <c r="C8" s="101" t="s">
        <v>1166</v>
      </c>
      <c r="D8" s="101">
        <v>82</v>
      </c>
      <c r="E8" s="101" t="s">
        <v>21</v>
      </c>
      <c r="F8" s="101"/>
    </row>
    <row r="9" spans="1:64">
      <c r="A9" s="100" t="s">
        <v>22</v>
      </c>
      <c r="B9" s="104">
        <v>43387</v>
      </c>
      <c r="C9" s="101"/>
      <c r="D9" s="101"/>
      <c r="E9" s="101" t="s">
        <v>13</v>
      </c>
      <c r="F9" s="101"/>
    </row>
    <row r="10" spans="1:64">
      <c r="A10" s="105" t="s">
        <v>23</v>
      </c>
      <c r="B10" s="106" t="s">
        <v>24</v>
      </c>
      <c r="C10" s="106"/>
      <c r="D10" s="106"/>
      <c r="E10" s="106" t="s">
        <v>13</v>
      </c>
      <c r="F10" s="106"/>
    </row>
    <row r="11" spans="1:64">
      <c r="A11" s="102" t="s">
        <v>401</v>
      </c>
      <c r="B11" s="107" t="s">
        <v>25</v>
      </c>
      <c r="C11" s="99" t="s">
        <v>1144</v>
      </c>
      <c r="D11" s="99" t="s">
        <v>26</v>
      </c>
      <c r="E11" s="108">
        <v>1</v>
      </c>
      <c r="F11" s="109" t="s">
        <v>27</v>
      </c>
      <c r="G11" s="110">
        <v>43375</v>
      </c>
      <c r="H11" s="109" t="s">
        <v>28</v>
      </c>
      <c r="I11" s="110">
        <v>43526</v>
      </c>
      <c r="J11" s="102" t="s">
        <v>418</v>
      </c>
      <c r="K11" s="102" t="s">
        <v>1167</v>
      </c>
      <c r="L11" s="102" t="s">
        <v>415</v>
      </c>
      <c r="M11" s="102">
        <v>1</v>
      </c>
      <c r="N11" s="107" t="s">
        <v>29</v>
      </c>
      <c r="O11" s="99">
        <v>0</v>
      </c>
      <c r="P11" s="99" t="s">
        <v>30</v>
      </c>
      <c r="Q11" s="107" t="s">
        <v>1145</v>
      </c>
      <c r="R11" s="102" t="s">
        <v>420</v>
      </c>
      <c r="S11" s="102">
        <v>1</v>
      </c>
      <c r="T11" s="102" t="s">
        <v>425</v>
      </c>
      <c r="U11" s="102">
        <v>1</v>
      </c>
      <c r="V11" s="102" t="s">
        <v>426</v>
      </c>
      <c r="W11" s="102">
        <v>0</v>
      </c>
      <c r="X11" s="102" t="s">
        <v>430</v>
      </c>
      <c r="Y11" s="102">
        <v>1</v>
      </c>
    </row>
    <row r="12" spans="1:64">
      <c r="A12" s="102" t="s">
        <v>404</v>
      </c>
      <c r="B12" s="102" t="s">
        <v>405</v>
      </c>
      <c r="C12" s="102">
        <v>1</v>
      </c>
      <c r="D12" s="102" t="s">
        <v>406</v>
      </c>
      <c r="E12" s="102">
        <v>1</v>
      </c>
      <c r="F12" s="102" t="s">
        <v>407</v>
      </c>
      <c r="G12" s="102">
        <v>0</v>
      </c>
      <c r="H12" s="102" t="s">
        <v>408</v>
      </c>
      <c r="I12" s="102">
        <v>1</v>
      </c>
      <c r="J12" s="102" t="s">
        <v>409</v>
      </c>
      <c r="K12" s="102">
        <v>0.7</v>
      </c>
      <c r="L12" s="102" t="s">
        <v>410</v>
      </c>
      <c r="M12" s="102">
        <v>2</v>
      </c>
      <c r="N12" s="102" t="s">
        <v>411</v>
      </c>
      <c r="O12" s="102">
        <v>1</v>
      </c>
      <c r="P12" s="102" t="s">
        <v>414</v>
      </c>
      <c r="Q12" s="102">
        <v>1</v>
      </c>
      <c r="R12" s="102" t="s">
        <v>421</v>
      </c>
      <c r="S12" s="102">
        <v>7</v>
      </c>
      <c r="T12" s="102" t="s">
        <v>422</v>
      </c>
      <c r="U12" s="102">
        <v>0</v>
      </c>
      <c r="V12" s="102" t="s">
        <v>423</v>
      </c>
      <c r="W12" s="102">
        <v>100</v>
      </c>
      <c r="X12" s="102" t="s">
        <v>424</v>
      </c>
      <c r="Y12" s="102">
        <v>0</v>
      </c>
      <c r="Z12" s="102" t="s">
        <v>428</v>
      </c>
      <c r="AA12" s="102">
        <v>1</v>
      </c>
      <c r="AB12" s="102" t="s">
        <v>429</v>
      </c>
      <c r="AC12" s="102">
        <v>1</v>
      </c>
      <c r="AD12" s="102" t="s">
        <v>988</v>
      </c>
      <c r="AE12" s="102">
        <v>1</v>
      </c>
    </row>
    <row r="13" spans="1:64">
      <c r="A13" s="101" t="s">
        <v>402</v>
      </c>
      <c r="B13" s="107" t="s">
        <v>31</v>
      </c>
      <c r="C13" s="99">
        <v>1</v>
      </c>
      <c r="D13" s="107" t="s">
        <v>32</v>
      </c>
      <c r="E13" s="99" t="s">
        <v>1146</v>
      </c>
      <c r="F13" s="99" t="s">
        <v>33</v>
      </c>
      <c r="G13" s="109" t="s">
        <v>1149</v>
      </c>
      <c r="H13" s="109" t="s">
        <v>34</v>
      </c>
      <c r="I13" s="102" t="s">
        <v>1070</v>
      </c>
    </row>
    <row r="14" spans="1:64">
      <c r="A14" s="101" t="s">
        <v>403</v>
      </c>
      <c r="B14" s="108" t="s">
        <v>35</v>
      </c>
      <c r="C14" s="108" t="s">
        <v>1150</v>
      </c>
      <c r="D14" s="108" t="s">
        <v>36</v>
      </c>
      <c r="E14" s="108" t="s">
        <v>1151</v>
      </c>
      <c r="F14" s="108" t="s">
        <v>37</v>
      </c>
      <c r="G14" s="108" t="s">
        <v>1152</v>
      </c>
      <c r="H14" s="108" t="s">
        <v>38</v>
      </c>
      <c r="I14" s="108" t="b">
        <v>0</v>
      </c>
      <c r="J14" s="108" t="s">
        <v>39</v>
      </c>
      <c r="K14" s="108" t="s">
        <v>1153</v>
      </c>
      <c r="L14" s="108" t="s">
        <v>40</v>
      </c>
      <c r="M14" s="108" t="s">
        <v>1141</v>
      </c>
      <c r="N14" s="108" t="s">
        <v>41</v>
      </c>
      <c r="O14" s="108" t="s">
        <v>1140</v>
      </c>
      <c r="P14" s="108" t="s">
        <v>42</v>
      </c>
      <c r="Q14" s="108" t="b">
        <v>0</v>
      </c>
      <c r="R14" s="108" t="s">
        <v>43</v>
      </c>
      <c r="S14" s="108" t="s">
        <v>1154</v>
      </c>
      <c r="T14" s="108" t="s">
        <v>44</v>
      </c>
      <c r="U14" s="108" t="s">
        <v>1155</v>
      </c>
      <c r="V14" s="108" t="s">
        <v>45</v>
      </c>
      <c r="W14" s="108" t="s">
        <v>1140</v>
      </c>
      <c r="X14" s="108" t="s">
        <v>46</v>
      </c>
      <c r="Y14" s="108" t="b">
        <v>1</v>
      </c>
      <c r="Z14" s="108" t="s">
        <v>47</v>
      </c>
      <c r="AA14" s="108" t="s">
        <v>1142</v>
      </c>
      <c r="AB14" s="108" t="s">
        <v>48</v>
      </c>
      <c r="AC14" s="108" t="s">
        <v>1156</v>
      </c>
      <c r="AD14" s="108" t="s">
        <v>49</v>
      </c>
      <c r="AE14" s="108" t="s">
        <v>1157</v>
      </c>
      <c r="AF14" s="108" t="s">
        <v>50</v>
      </c>
      <c r="AG14" s="108" t="b">
        <v>1</v>
      </c>
      <c r="AH14" s="108" t="s">
        <v>51</v>
      </c>
      <c r="AI14" s="108" t="s">
        <v>1147</v>
      </c>
      <c r="AJ14" s="108" t="s">
        <v>52</v>
      </c>
      <c r="AK14" s="108" t="s">
        <v>1108</v>
      </c>
      <c r="AL14" s="108" t="s">
        <v>53</v>
      </c>
      <c r="AM14" s="108" t="s">
        <v>1158</v>
      </c>
      <c r="AN14" s="108" t="s">
        <v>54</v>
      </c>
      <c r="AO14" s="108" t="b">
        <v>0</v>
      </c>
      <c r="AP14" s="108" t="s">
        <v>55</v>
      </c>
      <c r="AQ14" s="108" t="s">
        <v>1106</v>
      </c>
      <c r="AR14" s="108" t="s">
        <v>56</v>
      </c>
      <c r="AS14" s="108" t="s">
        <v>1109</v>
      </c>
      <c r="AT14" s="108" t="s">
        <v>57</v>
      </c>
      <c r="AU14" s="108" t="s">
        <v>1148</v>
      </c>
      <c r="AV14" s="108" t="s">
        <v>58</v>
      </c>
      <c r="AW14" s="108" t="b">
        <v>1</v>
      </c>
      <c r="AX14" s="102" t="s">
        <v>59</v>
      </c>
      <c r="AZ14" s="102" t="s">
        <v>60</v>
      </c>
      <c r="BB14" s="102" t="s">
        <v>61</v>
      </c>
      <c r="BD14" s="102" t="s">
        <v>62</v>
      </c>
      <c r="BF14" s="102" t="s">
        <v>63</v>
      </c>
      <c r="BH14" s="102" t="s">
        <v>64</v>
      </c>
      <c r="BJ14" s="102" t="s">
        <v>65</v>
      </c>
      <c r="BL14" s="102" t="s">
        <v>66</v>
      </c>
    </row>
    <row r="15" spans="1:64">
      <c r="A15" s="101" t="s">
        <v>419</v>
      </c>
      <c r="B15" s="102" t="s">
        <v>412</v>
      </c>
      <c r="C15" s="102">
        <v>0</v>
      </c>
      <c r="D15" s="102" t="s">
        <v>413</v>
      </c>
      <c r="E15" s="102">
        <v>1</v>
      </c>
      <c r="F15" s="102" t="s">
        <v>416</v>
      </c>
      <c r="G15" s="102" t="s">
        <v>1111</v>
      </c>
      <c r="H15" s="102" t="s">
        <v>417</v>
      </c>
      <c r="I15" s="102">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35"/>
  <sheetViews>
    <sheetView zoomScaleNormal="100" workbookViewId="0">
      <pane ySplit="1" topLeftCell="A103" activePane="bottomLeft" state="frozen"/>
      <selection pane="bottomLeft" activeCell="D116" sqref="D116"/>
    </sheetView>
  </sheetViews>
  <sheetFormatPr defaultColWidth="73.3984375" defaultRowHeight="13.2"/>
  <cols>
    <col min="1" max="1" width="7.59765625" style="126" bestFit="1" customWidth="1"/>
    <col min="2" max="2" width="8.3984375" style="139" bestFit="1" customWidth="1"/>
    <col min="3" max="3" width="15.69921875" style="136" customWidth="1"/>
    <col min="4" max="4" width="60.59765625" style="127" customWidth="1"/>
    <col min="5" max="5" width="60.59765625" style="140" customWidth="1"/>
    <col min="6" max="16384" width="73.3984375" style="126"/>
  </cols>
  <sheetData>
    <row r="1" spans="1:5" s="124" customFormat="1" ht="24.75" customHeight="1">
      <c r="A1" s="124" t="s">
        <v>934</v>
      </c>
      <c r="B1" s="124" t="s">
        <v>935</v>
      </c>
      <c r="C1" s="125" t="s">
        <v>936</v>
      </c>
      <c r="D1" s="125" t="s">
        <v>67</v>
      </c>
      <c r="E1" s="125" t="s">
        <v>68</v>
      </c>
    </row>
    <row r="2" spans="1:5" ht="79.2">
      <c r="A2" s="126" t="s">
        <v>1143</v>
      </c>
      <c r="B2" s="139">
        <v>1</v>
      </c>
      <c r="D2" s="127" t="s">
        <v>937</v>
      </c>
      <c r="E2" s="140" t="s">
        <v>611</v>
      </c>
    </row>
    <row r="3" spans="1:5" ht="112.5" customHeight="1">
      <c r="A3" s="128">
        <v>450</v>
      </c>
      <c r="B3" s="139">
        <v>2</v>
      </c>
      <c r="D3" s="127" t="s">
        <v>537</v>
      </c>
      <c r="E3" s="140" t="s">
        <v>938</v>
      </c>
    </row>
    <row r="4" spans="1:5" ht="52.8">
      <c r="B4" s="139">
        <v>3</v>
      </c>
      <c r="D4" s="127" t="s">
        <v>939</v>
      </c>
      <c r="E4" s="140" t="s">
        <v>612</v>
      </c>
    </row>
    <row r="5" spans="1:5" ht="52.8">
      <c r="B5" s="139">
        <v>4</v>
      </c>
      <c r="D5" s="127" t="s">
        <v>940</v>
      </c>
      <c r="E5" s="140" t="s">
        <v>613</v>
      </c>
    </row>
    <row r="6" spans="1:5" ht="52.8">
      <c r="B6" s="139">
        <v>5</v>
      </c>
      <c r="D6" s="127" t="s">
        <v>941</v>
      </c>
      <c r="E6" s="140" t="s">
        <v>614</v>
      </c>
    </row>
    <row r="7" spans="1:5" ht="39.6">
      <c r="B7" s="139">
        <v>6</v>
      </c>
      <c r="D7" s="127" t="s">
        <v>942</v>
      </c>
      <c r="E7" s="140" t="s">
        <v>615</v>
      </c>
    </row>
    <row r="8" spans="1:5">
      <c r="B8" s="139">
        <v>7</v>
      </c>
      <c r="D8" s="127" t="s">
        <v>928</v>
      </c>
      <c r="E8" s="140" t="s">
        <v>943</v>
      </c>
    </row>
    <row r="9" spans="1:5">
      <c r="B9" s="139">
        <v>101</v>
      </c>
      <c r="D9" s="127" t="s">
        <v>69</v>
      </c>
      <c r="E9" s="140" t="s">
        <v>616</v>
      </c>
    </row>
    <row r="10" spans="1:5">
      <c r="B10" s="139">
        <v>102</v>
      </c>
      <c r="D10" s="127" t="s">
        <v>70</v>
      </c>
      <c r="E10" s="140" t="s">
        <v>617</v>
      </c>
    </row>
    <row r="11" spans="1:5">
      <c r="B11" s="139">
        <v>103</v>
      </c>
      <c r="D11" s="127" t="s">
        <v>71</v>
      </c>
      <c r="E11" s="140" t="s">
        <v>618</v>
      </c>
    </row>
    <row r="12" spans="1:5">
      <c r="B12" s="139">
        <v>104</v>
      </c>
      <c r="D12" s="127" t="s">
        <v>72</v>
      </c>
      <c r="E12" s="140" t="s">
        <v>619</v>
      </c>
    </row>
    <row r="13" spans="1:5">
      <c r="B13" s="139">
        <v>105</v>
      </c>
      <c r="D13" s="127" t="s">
        <v>73</v>
      </c>
      <c r="E13" s="140" t="s">
        <v>620</v>
      </c>
    </row>
    <row r="14" spans="1:5">
      <c r="B14" s="139">
        <v>106</v>
      </c>
      <c r="D14" s="127" t="s">
        <v>455</v>
      </c>
      <c r="E14" s="140" t="s">
        <v>621</v>
      </c>
    </row>
    <row r="15" spans="1:5" ht="26.4">
      <c r="B15" s="139">
        <v>107</v>
      </c>
      <c r="D15" s="127" t="s">
        <v>456</v>
      </c>
      <c r="E15" s="140" t="s">
        <v>622</v>
      </c>
    </row>
    <row r="16" spans="1:5" ht="39.6">
      <c r="B16" s="139">
        <v>108</v>
      </c>
      <c r="D16" s="127" t="s">
        <v>457</v>
      </c>
      <c r="E16" s="140" t="s">
        <v>623</v>
      </c>
    </row>
    <row r="17" spans="1:6">
      <c r="B17" s="139">
        <v>109</v>
      </c>
      <c r="D17" s="127" t="s">
        <v>74</v>
      </c>
      <c r="E17" s="140" t="s">
        <v>541</v>
      </c>
    </row>
    <row r="18" spans="1:6">
      <c r="B18" s="139">
        <v>110</v>
      </c>
      <c r="D18" s="127" t="s">
        <v>75</v>
      </c>
      <c r="E18" s="140" t="s">
        <v>624</v>
      </c>
    </row>
    <row r="19" spans="1:6">
      <c r="B19" s="139">
        <v>111</v>
      </c>
      <c r="D19" s="127" t="s">
        <v>76</v>
      </c>
      <c r="E19" s="140" t="s">
        <v>625</v>
      </c>
    </row>
    <row r="20" spans="1:6">
      <c r="A20" s="129"/>
      <c r="B20" s="139">
        <v>112</v>
      </c>
      <c r="C20" s="138" t="s">
        <v>944</v>
      </c>
      <c r="D20" s="128" t="s">
        <v>945</v>
      </c>
      <c r="E20" s="128" t="s">
        <v>539</v>
      </c>
      <c r="F20" s="130"/>
    </row>
    <row r="21" spans="1:6">
      <c r="B21" s="139">
        <v>113</v>
      </c>
      <c r="D21" s="127" t="s">
        <v>77</v>
      </c>
      <c r="E21" s="140" t="s">
        <v>542</v>
      </c>
    </row>
    <row r="22" spans="1:6">
      <c r="B22" s="139">
        <v>114</v>
      </c>
      <c r="D22" s="127" t="s">
        <v>78</v>
      </c>
      <c r="E22" s="140" t="s">
        <v>626</v>
      </c>
    </row>
    <row r="23" spans="1:6">
      <c r="B23" s="139">
        <v>115</v>
      </c>
      <c r="D23" s="127" t="s">
        <v>79</v>
      </c>
      <c r="E23" s="140" t="s">
        <v>627</v>
      </c>
    </row>
    <row r="24" spans="1:6" ht="26.4">
      <c r="B24" s="139">
        <v>116</v>
      </c>
      <c r="D24" s="127" t="s">
        <v>458</v>
      </c>
      <c r="E24" s="140" t="s">
        <v>628</v>
      </c>
    </row>
    <row r="25" spans="1:6">
      <c r="B25" s="139">
        <v>117</v>
      </c>
      <c r="D25" s="127" t="s">
        <v>459</v>
      </c>
      <c r="E25" s="140" t="s">
        <v>629</v>
      </c>
    </row>
    <row r="26" spans="1:6" ht="26.4">
      <c r="B26" s="139">
        <v>118</v>
      </c>
      <c r="D26" s="127" t="s">
        <v>80</v>
      </c>
      <c r="E26" s="140" t="s">
        <v>630</v>
      </c>
    </row>
    <row r="27" spans="1:6">
      <c r="B27" s="139">
        <v>119</v>
      </c>
      <c r="D27" s="127" t="s">
        <v>81</v>
      </c>
      <c r="E27" s="140" t="s">
        <v>631</v>
      </c>
    </row>
    <row r="28" spans="1:6">
      <c r="B28" s="139">
        <v>120</v>
      </c>
      <c r="D28" s="127" t="s">
        <v>453</v>
      </c>
      <c r="E28" s="140" t="s">
        <v>632</v>
      </c>
    </row>
    <row r="29" spans="1:6">
      <c r="B29" s="139">
        <v>121</v>
      </c>
      <c r="D29" s="127" t="s">
        <v>82</v>
      </c>
      <c r="E29" s="140" t="s">
        <v>633</v>
      </c>
    </row>
    <row r="30" spans="1:6">
      <c r="B30" s="139">
        <v>122</v>
      </c>
      <c r="D30" s="127" t="s">
        <v>83</v>
      </c>
      <c r="E30" s="140" t="s">
        <v>634</v>
      </c>
    </row>
    <row r="31" spans="1:6">
      <c r="B31" s="139">
        <v>123</v>
      </c>
      <c r="D31" s="127" t="s">
        <v>84</v>
      </c>
      <c r="E31" s="140" t="s">
        <v>635</v>
      </c>
    </row>
    <row r="32" spans="1:6">
      <c r="B32" s="139">
        <v>124</v>
      </c>
      <c r="D32" s="127" t="s">
        <v>85</v>
      </c>
      <c r="E32" s="140" t="s">
        <v>636</v>
      </c>
    </row>
    <row r="33" spans="2:5" ht="26.4">
      <c r="B33" s="139">
        <v>125</v>
      </c>
      <c r="D33" s="127" t="s">
        <v>454</v>
      </c>
      <c r="E33" s="140" t="s">
        <v>637</v>
      </c>
    </row>
    <row r="34" spans="2:5">
      <c r="B34" s="139">
        <v>126</v>
      </c>
      <c r="D34" s="127" t="s">
        <v>86</v>
      </c>
      <c r="E34" s="140" t="s">
        <v>638</v>
      </c>
    </row>
    <row r="35" spans="2:5">
      <c r="B35" s="139">
        <v>127</v>
      </c>
      <c r="D35" s="127" t="s">
        <v>87</v>
      </c>
      <c r="E35" s="140" t="s">
        <v>639</v>
      </c>
    </row>
    <row r="36" spans="2:5">
      <c r="B36" s="139">
        <v>128</v>
      </c>
      <c r="D36" s="127" t="s">
        <v>460</v>
      </c>
      <c r="E36" s="140" t="s">
        <v>640</v>
      </c>
    </row>
    <row r="37" spans="2:5">
      <c r="B37" s="139">
        <v>129</v>
      </c>
      <c r="D37" s="127" t="s">
        <v>88</v>
      </c>
      <c r="E37" s="140" t="s">
        <v>641</v>
      </c>
    </row>
    <row r="38" spans="2:5">
      <c r="B38" s="139">
        <v>130</v>
      </c>
      <c r="D38" s="127" t="s">
        <v>89</v>
      </c>
      <c r="E38" s="140" t="s">
        <v>543</v>
      </c>
    </row>
    <row r="39" spans="2:5">
      <c r="B39" s="139">
        <v>131</v>
      </c>
      <c r="D39" s="127" t="s">
        <v>90</v>
      </c>
      <c r="E39" s="140" t="s">
        <v>544</v>
      </c>
    </row>
    <row r="40" spans="2:5">
      <c r="B40" s="139">
        <v>132</v>
      </c>
      <c r="D40" s="132" t="s">
        <v>461</v>
      </c>
      <c r="E40" s="133">
        <v>43435</v>
      </c>
    </row>
    <row r="41" spans="2:5">
      <c r="B41" s="139">
        <v>133</v>
      </c>
      <c r="D41" s="132" t="s">
        <v>461</v>
      </c>
      <c r="E41" s="133">
        <v>43435</v>
      </c>
    </row>
    <row r="42" spans="2:5">
      <c r="B42" s="139">
        <v>134</v>
      </c>
      <c r="D42" s="132" t="s">
        <v>462</v>
      </c>
      <c r="E42" s="133">
        <v>43465</v>
      </c>
    </row>
    <row r="43" spans="2:5">
      <c r="B43" s="139">
        <v>135</v>
      </c>
      <c r="D43" s="132" t="s">
        <v>462</v>
      </c>
      <c r="E43" s="133">
        <v>43465</v>
      </c>
    </row>
    <row r="44" spans="2:5">
      <c r="B44" s="139">
        <v>136</v>
      </c>
      <c r="D44" s="127" t="s">
        <v>91</v>
      </c>
      <c r="E44" s="140" t="s">
        <v>91</v>
      </c>
    </row>
    <row r="45" spans="2:5">
      <c r="B45" s="139">
        <v>137</v>
      </c>
      <c r="D45" s="127" t="s">
        <v>92</v>
      </c>
      <c r="E45" s="140" t="s">
        <v>642</v>
      </c>
    </row>
    <row r="46" spans="2:5">
      <c r="B46" s="139">
        <v>138</v>
      </c>
      <c r="C46" s="136" t="s">
        <v>946</v>
      </c>
      <c r="D46" s="127" t="s">
        <v>947</v>
      </c>
      <c r="E46" s="166" t="s">
        <v>948</v>
      </c>
    </row>
    <row r="47" spans="2:5">
      <c r="B47" s="139">
        <v>139</v>
      </c>
      <c r="D47" s="127" t="s">
        <v>93</v>
      </c>
      <c r="E47" s="140" t="s">
        <v>643</v>
      </c>
    </row>
    <row r="48" spans="2:5">
      <c r="B48" s="139">
        <v>140</v>
      </c>
      <c r="D48" s="127" t="s">
        <v>94</v>
      </c>
      <c r="E48" s="140" t="s">
        <v>644</v>
      </c>
    </row>
    <row r="49" spans="1:6">
      <c r="B49" s="139">
        <v>141</v>
      </c>
      <c r="D49" s="127" t="s">
        <v>463</v>
      </c>
      <c r="E49" s="140" t="s">
        <v>545</v>
      </c>
    </row>
    <row r="50" spans="1:6">
      <c r="B50" s="139">
        <v>142</v>
      </c>
      <c r="D50" s="127" t="s">
        <v>95</v>
      </c>
      <c r="E50" s="140" t="s">
        <v>546</v>
      </c>
    </row>
    <row r="51" spans="1:6">
      <c r="B51" s="139">
        <v>143</v>
      </c>
      <c r="D51" s="127" t="s">
        <v>96</v>
      </c>
      <c r="E51" s="140" t="s">
        <v>645</v>
      </c>
    </row>
    <row r="52" spans="1:6">
      <c r="B52" s="139">
        <v>144</v>
      </c>
      <c r="D52" s="127" t="s">
        <v>97</v>
      </c>
      <c r="E52" s="140" t="s">
        <v>646</v>
      </c>
    </row>
    <row r="53" spans="1:6">
      <c r="B53" s="139">
        <v>145</v>
      </c>
      <c r="D53" s="127" t="s">
        <v>98</v>
      </c>
      <c r="E53" s="140" t="s">
        <v>647</v>
      </c>
    </row>
    <row r="54" spans="1:6">
      <c r="B54" s="139">
        <v>146</v>
      </c>
      <c r="D54" s="127" t="s">
        <v>99</v>
      </c>
      <c r="E54" s="140" t="s">
        <v>648</v>
      </c>
    </row>
    <row r="55" spans="1:6">
      <c r="B55" s="139">
        <v>147</v>
      </c>
      <c r="D55" s="127" t="s">
        <v>464</v>
      </c>
      <c r="E55" s="140" t="s">
        <v>547</v>
      </c>
    </row>
    <row r="56" spans="1:6">
      <c r="B56" s="139">
        <v>148</v>
      </c>
      <c r="D56" s="127" t="s">
        <v>100</v>
      </c>
      <c r="E56" s="140" t="s">
        <v>548</v>
      </c>
    </row>
    <row r="57" spans="1:6">
      <c r="B57" s="139">
        <v>149</v>
      </c>
      <c r="D57" s="127" t="s">
        <v>101</v>
      </c>
      <c r="E57" s="140" t="s">
        <v>649</v>
      </c>
    </row>
    <row r="58" spans="1:6">
      <c r="B58" s="139">
        <v>150</v>
      </c>
      <c r="D58" s="127" t="s">
        <v>102</v>
      </c>
      <c r="E58" s="140" t="s">
        <v>650</v>
      </c>
    </row>
    <row r="59" spans="1:6">
      <c r="B59" s="139">
        <v>151</v>
      </c>
      <c r="D59" s="127" t="s">
        <v>103</v>
      </c>
      <c r="E59" s="140" t="s">
        <v>651</v>
      </c>
    </row>
    <row r="60" spans="1:6">
      <c r="B60" s="139">
        <v>152</v>
      </c>
      <c r="D60" s="127" t="s">
        <v>465</v>
      </c>
      <c r="E60" s="140" t="s">
        <v>652</v>
      </c>
    </row>
    <row r="61" spans="1:6">
      <c r="A61" s="131"/>
      <c r="B61" s="139">
        <v>153</v>
      </c>
      <c r="C61" s="138" t="s">
        <v>532</v>
      </c>
      <c r="D61" s="128" t="s">
        <v>949</v>
      </c>
      <c r="E61" s="128" t="s">
        <v>950</v>
      </c>
      <c r="F61" s="130"/>
    </row>
    <row r="62" spans="1:6" ht="14.4">
      <c r="B62" s="139">
        <v>154</v>
      </c>
      <c r="D62" s="127" t="s">
        <v>104</v>
      </c>
      <c r="E62" s="168" t="s">
        <v>932</v>
      </c>
    </row>
    <row r="63" spans="1:6" ht="14.4">
      <c r="B63" s="139">
        <v>155</v>
      </c>
      <c r="D63" s="127" t="s">
        <v>105</v>
      </c>
      <c r="E63" s="168" t="s">
        <v>951</v>
      </c>
    </row>
    <row r="64" spans="1:6">
      <c r="A64" s="131"/>
      <c r="B64" s="139">
        <v>156</v>
      </c>
      <c r="C64" s="138" t="s">
        <v>952</v>
      </c>
      <c r="D64" s="128" t="s">
        <v>953</v>
      </c>
      <c r="E64" s="128" t="s">
        <v>954</v>
      </c>
      <c r="F64" s="130"/>
    </row>
    <row r="65" spans="1:6">
      <c r="A65" s="131"/>
      <c r="B65" s="139">
        <v>157</v>
      </c>
      <c r="C65" s="138" t="s">
        <v>532</v>
      </c>
      <c r="D65" s="128" t="s">
        <v>955</v>
      </c>
      <c r="E65" s="128" t="s">
        <v>956</v>
      </c>
      <c r="F65" s="130"/>
    </row>
    <row r="66" spans="1:6">
      <c r="A66" s="131"/>
      <c r="B66" s="139">
        <v>158</v>
      </c>
      <c r="C66" s="138" t="s">
        <v>532</v>
      </c>
      <c r="D66" s="128" t="s">
        <v>957</v>
      </c>
      <c r="E66" s="128" t="s">
        <v>958</v>
      </c>
      <c r="F66" s="130"/>
    </row>
    <row r="67" spans="1:6">
      <c r="A67" s="131"/>
      <c r="B67" s="139">
        <v>159</v>
      </c>
      <c r="C67" s="138" t="s">
        <v>952</v>
      </c>
      <c r="D67" s="128" t="s">
        <v>929</v>
      </c>
      <c r="E67" s="128" t="s">
        <v>959</v>
      </c>
      <c r="F67" s="130"/>
    </row>
    <row r="68" spans="1:6">
      <c r="B68" s="139">
        <v>160</v>
      </c>
      <c r="D68" s="127" t="s">
        <v>106</v>
      </c>
      <c r="E68" s="140" t="s">
        <v>960</v>
      </c>
    </row>
    <row r="69" spans="1:6">
      <c r="B69" s="139">
        <v>161</v>
      </c>
      <c r="D69" s="127" t="s">
        <v>107</v>
      </c>
      <c r="E69" s="140" t="s">
        <v>961</v>
      </c>
    </row>
    <row r="70" spans="1:6">
      <c r="B70" s="139">
        <v>162</v>
      </c>
      <c r="D70" s="127" t="s">
        <v>962</v>
      </c>
      <c r="E70" s="140" t="s">
        <v>930</v>
      </c>
    </row>
    <row r="71" spans="1:6">
      <c r="B71" s="139">
        <v>163</v>
      </c>
      <c r="D71" s="127" t="s">
        <v>108</v>
      </c>
      <c r="E71" s="140" t="s">
        <v>963</v>
      </c>
    </row>
    <row r="72" spans="1:6">
      <c r="B72" s="139">
        <v>164</v>
      </c>
      <c r="D72" s="127" t="s">
        <v>109</v>
      </c>
      <c r="E72" s="140" t="s">
        <v>653</v>
      </c>
    </row>
    <row r="73" spans="1:6">
      <c r="B73" s="139">
        <v>165</v>
      </c>
      <c r="D73" s="127" t="s">
        <v>110</v>
      </c>
      <c r="E73" s="140" t="s">
        <v>654</v>
      </c>
    </row>
    <row r="74" spans="1:6">
      <c r="B74" s="139">
        <v>166</v>
      </c>
      <c r="D74" s="127" t="s">
        <v>111</v>
      </c>
      <c r="E74" s="140" t="s">
        <v>655</v>
      </c>
    </row>
    <row r="75" spans="1:6" ht="26.4">
      <c r="B75" s="139">
        <v>167</v>
      </c>
      <c r="D75" s="127" t="s">
        <v>112</v>
      </c>
      <c r="E75" s="140" t="s">
        <v>656</v>
      </c>
    </row>
    <row r="76" spans="1:6">
      <c r="B76" s="139">
        <v>168</v>
      </c>
      <c r="D76" s="127" t="s">
        <v>113</v>
      </c>
      <c r="E76" s="140" t="s">
        <v>657</v>
      </c>
    </row>
    <row r="77" spans="1:6">
      <c r="B77" s="139">
        <v>169</v>
      </c>
      <c r="D77" s="127" t="s">
        <v>114</v>
      </c>
      <c r="E77" s="140" t="s">
        <v>658</v>
      </c>
    </row>
    <row r="78" spans="1:6">
      <c r="B78" s="139">
        <v>170</v>
      </c>
      <c r="D78" s="127" t="s">
        <v>115</v>
      </c>
      <c r="E78" s="140" t="s">
        <v>659</v>
      </c>
    </row>
    <row r="79" spans="1:6">
      <c r="B79" s="139">
        <v>171</v>
      </c>
      <c r="D79" s="127" t="s">
        <v>466</v>
      </c>
      <c r="E79" s="140" t="s">
        <v>660</v>
      </c>
    </row>
    <row r="80" spans="1:6">
      <c r="B80" s="139">
        <v>172</v>
      </c>
      <c r="D80" s="127" t="s">
        <v>116</v>
      </c>
      <c r="E80" s="140" t="s">
        <v>661</v>
      </c>
    </row>
    <row r="81" spans="2:5">
      <c r="B81" s="139">
        <v>173</v>
      </c>
      <c r="D81" s="127" t="s">
        <v>117</v>
      </c>
      <c r="E81" s="140" t="s">
        <v>662</v>
      </c>
    </row>
    <row r="82" spans="2:5">
      <c r="B82" s="139">
        <v>174</v>
      </c>
      <c r="D82" s="127" t="s">
        <v>118</v>
      </c>
      <c r="E82" s="140" t="s">
        <v>663</v>
      </c>
    </row>
    <row r="83" spans="2:5">
      <c r="B83" s="139">
        <v>175</v>
      </c>
      <c r="D83" s="127" t="s">
        <v>119</v>
      </c>
      <c r="E83" s="140" t="s">
        <v>664</v>
      </c>
    </row>
    <row r="84" spans="2:5">
      <c r="B84" s="139">
        <v>176</v>
      </c>
      <c r="D84" s="127" t="s">
        <v>120</v>
      </c>
      <c r="E84" s="140" t="s">
        <v>665</v>
      </c>
    </row>
    <row r="85" spans="2:5">
      <c r="B85" s="139">
        <v>177</v>
      </c>
      <c r="D85" s="127" t="s">
        <v>121</v>
      </c>
      <c r="E85" s="140" t="s">
        <v>549</v>
      </c>
    </row>
    <row r="86" spans="2:5">
      <c r="B86" s="139">
        <v>178</v>
      </c>
      <c r="D86" s="127" t="s">
        <v>122</v>
      </c>
      <c r="E86" s="140" t="s">
        <v>550</v>
      </c>
    </row>
    <row r="87" spans="2:5">
      <c r="B87" s="139">
        <v>179</v>
      </c>
      <c r="D87" s="127" t="s">
        <v>123</v>
      </c>
      <c r="E87" s="140" t="s">
        <v>666</v>
      </c>
    </row>
    <row r="88" spans="2:5">
      <c r="B88" s="139">
        <v>180</v>
      </c>
      <c r="D88" s="127" t="s">
        <v>467</v>
      </c>
      <c r="E88" s="140" t="s">
        <v>667</v>
      </c>
    </row>
    <row r="89" spans="2:5" ht="26.4">
      <c r="B89" s="139">
        <v>181</v>
      </c>
      <c r="D89" s="127" t="s">
        <v>468</v>
      </c>
      <c r="E89" s="140" t="s">
        <v>668</v>
      </c>
    </row>
    <row r="90" spans="2:5" ht="26.4">
      <c r="B90" s="139">
        <v>182</v>
      </c>
      <c r="D90" s="127" t="s">
        <v>124</v>
      </c>
      <c r="E90" s="140" t="s">
        <v>669</v>
      </c>
    </row>
    <row r="91" spans="2:5">
      <c r="B91" s="139">
        <v>183</v>
      </c>
      <c r="D91" s="127" t="s">
        <v>125</v>
      </c>
      <c r="E91" s="140" t="s">
        <v>126</v>
      </c>
    </row>
    <row r="92" spans="2:5">
      <c r="B92" s="139">
        <v>184</v>
      </c>
      <c r="D92" s="127" t="s">
        <v>469</v>
      </c>
      <c r="E92" s="140" t="s">
        <v>551</v>
      </c>
    </row>
    <row r="93" spans="2:5">
      <c r="B93" s="139">
        <v>185</v>
      </c>
      <c r="D93" s="127" t="s">
        <v>470</v>
      </c>
      <c r="E93" s="140" t="s">
        <v>552</v>
      </c>
    </row>
    <row r="94" spans="2:5">
      <c r="B94" s="139">
        <v>186</v>
      </c>
      <c r="D94" s="127" t="s">
        <v>471</v>
      </c>
      <c r="E94" s="140" t="s">
        <v>964</v>
      </c>
    </row>
    <row r="95" spans="2:5">
      <c r="B95" s="139">
        <v>187</v>
      </c>
      <c r="D95" s="127" t="s">
        <v>127</v>
      </c>
      <c r="E95" s="140" t="s">
        <v>670</v>
      </c>
    </row>
    <row r="96" spans="2:5" ht="26.4">
      <c r="B96" s="139">
        <v>188</v>
      </c>
      <c r="D96" s="127" t="s">
        <v>128</v>
      </c>
      <c r="E96" s="140" t="s">
        <v>671</v>
      </c>
    </row>
    <row r="97" spans="2:5" ht="26.4">
      <c r="B97" s="139">
        <v>189</v>
      </c>
      <c r="D97" s="127" t="s">
        <v>129</v>
      </c>
      <c r="E97" s="140" t="s">
        <v>672</v>
      </c>
    </row>
    <row r="98" spans="2:5">
      <c r="B98" s="139">
        <v>190</v>
      </c>
      <c r="D98" s="127" t="s">
        <v>130</v>
      </c>
      <c r="E98" s="140" t="s">
        <v>130</v>
      </c>
    </row>
    <row r="99" spans="2:5">
      <c r="B99" s="139">
        <v>191</v>
      </c>
      <c r="D99" s="127" t="s">
        <v>131</v>
      </c>
      <c r="E99" s="140" t="s">
        <v>553</v>
      </c>
    </row>
    <row r="100" spans="2:5">
      <c r="B100" s="139">
        <v>192</v>
      </c>
      <c r="D100" s="127" t="s">
        <v>132</v>
      </c>
      <c r="E100" s="140" t="s">
        <v>554</v>
      </c>
    </row>
    <row r="101" spans="2:5">
      <c r="B101" s="139">
        <v>193</v>
      </c>
      <c r="D101" s="127" t="s">
        <v>133</v>
      </c>
      <c r="E101" s="140" t="s">
        <v>555</v>
      </c>
    </row>
    <row r="102" spans="2:5">
      <c r="B102" s="139">
        <v>194</v>
      </c>
      <c r="D102" s="127" t="s">
        <v>472</v>
      </c>
      <c r="E102" s="140" t="s">
        <v>673</v>
      </c>
    </row>
    <row r="103" spans="2:5">
      <c r="B103" s="139">
        <v>195</v>
      </c>
      <c r="D103" s="127" t="s">
        <v>134</v>
      </c>
      <c r="E103" s="140" t="s">
        <v>674</v>
      </c>
    </row>
    <row r="104" spans="2:5">
      <c r="B104" s="139">
        <v>196</v>
      </c>
      <c r="D104" s="127" t="s">
        <v>473</v>
      </c>
      <c r="E104" s="140" t="s">
        <v>675</v>
      </c>
    </row>
    <row r="105" spans="2:5">
      <c r="B105" s="139">
        <v>197</v>
      </c>
      <c r="D105" s="127" t="s">
        <v>135</v>
      </c>
      <c r="E105" s="140" t="s">
        <v>676</v>
      </c>
    </row>
    <row r="106" spans="2:5">
      <c r="B106" s="139">
        <v>198</v>
      </c>
      <c r="D106" s="127" t="s">
        <v>136</v>
      </c>
      <c r="E106" s="140" t="s">
        <v>677</v>
      </c>
    </row>
    <row r="107" spans="2:5">
      <c r="B107" s="139">
        <v>199</v>
      </c>
      <c r="D107" s="127" t="s">
        <v>137</v>
      </c>
      <c r="E107" s="140" t="s">
        <v>678</v>
      </c>
    </row>
    <row r="108" spans="2:5">
      <c r="B108" s="139">
        <v>200</v>
      </c>
      <c r="D108" s="127" t="s">
        <v>474</v>
      </c>
      <c r="E108" s="140" t="s">
        <v>679</v>
      </c>
    </row>
    <row r="109" spans="2:5">
      <c r="B109" s="139">
        <v>201</v>
      </c>
      <c r="D109" s="127" t="s">
        <v>138</v>
      </c>
      <c r="E109" s="140" t="s">
        <v>680</v>
      </c>
    </row>
    <row r="110" spans="2:5">
      <c r="B110" s="139">
        <v>202</v>
      </c>
      <c r="D110" s="127" t="s">
        <v>139</v>
      </c>
      <c r="E110" s="140" t="s">
        <v>681</v>
      </c>
    </row>
    <row r="111" spans="2:5">
      <c r="B111" s="139">
        <v>203</v>
      </c>
      <c r="D111" s="127" t="s">
        <v>140</v>
      </c>
      <c r="E111" s="140" t="s">
        <v>556</v>
      </c>
    </row>
    <row r="112" spans="2:5">
      <c r="B112" s="139">
        <v>204</v>
      </c>
      <c r="D112" s="127" t="s">
        <v>475</v>
      </c>
      <c r="E112" s="140" t="s">
        <v>557</v>
      </c>
    </row>
    <row r="113" spans="2:5">
      <c r="B113" s="139">
        <v>205</v>
      </c>
      <c r="D113" s="127" t="s">
        <v>476</v>
      </c>
      <c r="E113" s="140" t="s">
        <v>558</v>
      </c>
    </row>
    <row r="114" spans="2:5">
      <c r="B114" s="139">
        <v>206</v>
      </c>
      <c r="D114" s="127" t="s">
        <v>477</v>
      </c>
      <c r="E114" s="140" t="s">
        <v>682</v>
      </c>
    </row>
    <row r="115" spans="2:5">
      <c r="B115" s="139">
        <v>207</v>
      </c>
      <c r="D115" s="127" t="s">
        <v>478</v>
      </c>
      <c r="E115" s="140" t="s">
        <v>559</v>
      </c>
    </row>
    <row r="116" spans="2:5">
      <c r="B116" s="139">
        <v>208</v>
      </c>
      <c r="D116" s="127" t="s">
        <v>479</v>
      </c>
      <c r="E116" s="140" t="s">
        <v>560</v>
      </c>
    </row>
    <row r="117" spans="2:5">
      <c r="B117" s="139">
        <v>209</v>
      </c>
      <c r="D117" s="127" t="s">
        <v>141</v>
      </c>
      <c r="E117" s="140" t="s">
        <v>683</v>
      </c>
    </row>
    <row r="118" spans="2:5">
      <c r="B118" s="139">
        <v>210</v>
      </c>
      <c r="D118" s="127" t="s">
        <v>480</v>
      </c>
      <c r="E118" s="140" t="s">
        <v>684</v>
      </c>
    </row>
    <row r="119" spans="2:5">
      <c r="B119" s="139">
        <v>211</v>
      </c>
      <c r="D119" s="127" t="s">
        <v>142</v>
      </c>
      <c r="E119" s="140" t="s">
        <v>561</v>
      </c>
    </row>
    <row r="120" spans="2:5">
      <c r="B120" s="139">
        <v>212</v>
      </c>
      <c r="D120" s="127" t="s">
        <v>143</v>
      </c>
      <c r="E120" s="140" t="s">
        <v>685</v>
      </c>
    </row>
    <row r="121" spans="2:5">
      <c r="B121" s="139">
        <v>213</v>
      </c>
      <c r="D121" s="127" t="s">
        <v>144</v>
      </c>
      <c r="E121" s="140" t="s">
        <v>686</v>
      </c>
    </row>
    <row r="122" spans="2:5">
      <c r="B122" s="139">
        <v>214</v>
      </c>
      <c r="D122" s="127" t="s">
        <v>481</v>
      </c>
      <c r="E122" s="140" t="s">
        <v>687</v>
      </c>
    </row>
    <row r="123" spans="2:5">
      <c r="B123" s="139">
        <v>215</v>
      </c>
      <c r="D123" s="127" t="s">
        <v>482</v>
      </c>
      <c r="E123" s="140" t="s">
        <v>688</v>
      </c>
    </row>
    <row r="124" spans="2:5">
      <c r="B124" s="139">
        <v>216</v>
      </c>
      <c r="D124" s="127" t="s">
        <v>1107</v>
      </c>
      <c r="E124" s="140" t="s">
        <v>689</v>
      </c>
    </row>
    <row r="125" spans="2:5">
      <c r="B125" s="139">
        <v>217</v>
      </c>
      <c r="D125" s="127" t="s">
        <v>483</v>
      </c>
      <c r="E125" s="140" t="s">
        <v>690</v>
      </c>
    </row>
    <row r="126" spans="2:5">
      <c r="B126" s="139">
        <v>218</v>
      </c>
      <c r="D126" s="127" t="s">
        <v>484</v>
      </c>
      <c r="E126" s="140" t="s">
        <v>691</v>
      </c>
    </row>
    <row r="127" spans="2:5">
      <c r="B127" s="139">
        <v>219</v>
      </c>
      <c r="D127" s="127" t="s">
        <v>485</v>
      </c>
      <c r="E127" s="140" t="s">
        <v>692</v>
      </c>
    </row>
    <row r="128" spans="2:5">
      <c r="B128" s="139">
        <v>220</v>
      </c>
      <c r="D128" s="127" t="s">
        <v>486</v>
      </c>
      <c r="E128" s="140" t="s">
        <v>693</v>
      </c>
    </row>
    <row r="129" spans="2:5">
      <c r="B129" s="139">
        <v>221</v>
      </c>
      <c r="D129" s="127" t="s">
        <v>145</v>
      </c>
      <c r="E129" s="140" t="s">
        <v>694</v>
      </c>
    </row>
    <row r="130" spans="2:5">
      <c r="B130" s="139">
        <v>222</v>
      </c>
      <c r="D130" s="127" t="s">
        <v>146</v>
      </c>
      <c r="E130" s="140" t="s">
        <v>695</v>
      </c>
    </row>
    <row r="131" spans="2:5">
      <c r="B131" s="139">
        <v>223</v>
      </c>
      <c r="D131" s="127" t="s">
        <v>147</v>
      </c>
      <c r="E131" s="140" t="s">
        <v>696</v>
      </c>
    </row>
    <row r="132" spans="2:5">
      <c r="B132" s="139">
        <v>224</v>
      </c>
      <c r="D132" s="127" t="s">
        <v>148</v>
      </c>
      <c r="E132" s="140" t="s">
        <v>697</v>
      </c>
    </row>
    <row r="133" spans="2:5">
      <c r="B133" s="139">
        <v>225</v>
      </c>
      <c r="D133" s="127" t="s">
        <v>487</v>
      </c>
      <c r="E133" s="140" t="s">
        <v>698</v>
      </c>
    </row>
    <row r="134" spans="2:5">
      <c r="B134" s="139">
        <v>226</v>
      </c>
      <c r="D134" s="127" t="s">
        <v>488</v>
      </c>
      <c r="E134" s="140" t="s">
        <v>699</v>
      </c>
    </row>
    <row r="135" spans="2:5">
      <c r="B135" s="139">
        <v>227</v>
      </c>
      <c r="D135" s="127" t="s">
        <v>489</v>
      </c>
      <c r="E135" s="140" t="s">
        <v>700</v>
      </c>
    </row>
    <row r="136" spans="2:5">
      <c r="B136" s="139">
        <v>228</v>
      </c>
      <c r="D136" s="127" t="s">
        <v>149</v>
      </c>
      <c r="E136" s="140" t="s">
        <v>701</v>
      </c>
    </row>
    <row r="137" spans="2:5">
      <c r="B137" s="139">
        <v>229</v>
      </c>
      <c r="D137" s="127" t="s">
        <v>150</v>
      </c>
      <c r="E137" s="140" t="s">
        <v>702</v>
      </c>
    </row>
    <row r="138" spans="2:5">
      <c r="B138" s="139">
        <v>230</v>
      </c>
      <c r="D138" s="127" t="s">
        <v>490</v>
      </c>
      <c r="E138" s="140" t="s">
        <v>562</v>
      </c>
    </row>
    <row r="139" spans="2:5">
      <c r="B139" s="139">
        <v>231</v>
      </c>
      <c r="D139" s="127" t="s">
        <v>151</v>
      </c>
      <c r="E139" s="140" t="s">
        <v>703</v>
      </c>
    </row>
    <row r="140" spans="2:5" ht="39.6">
      <c r="B140" s="139">
        <v>232</v>
      </c>
      <c r="D140" s="127" t="s">
        <v>152</v>
      </c>
      <c r="E140" s="140" t="s">
        <v>704</v>
      </c>
    </row>
    <row r="141" spans="2:5">
      <c r="B141" s="139">
        <v>233</v>
      </c>
      <c r="D141" s="127" t="s">
        <v>153</v>
      </c>
      <c r="E141" s="140" t="s">
        <v>705</v>
      </c>
    </row>
    <row r="142" spans="2:5">
      <c r="B142" s="139">
        <v>234</v>
      </c>
      <c r="D142" s="127" t="s">
        <v>154</v>
      </c>
      <c r="E142" s="140" t="s">
        <v>965</v>
      </c>
    </row>
    <row r="143" spans="2:5">
      <c r="B143" s="139">
        <v>235</v>
      </c>
      <c r="D143" s="127" t="s">
        <v>155</v>
      </c>
      <c r="E143" s="140" t="s">
        <v>563</v>
      </c>
    </row>
    <row r="144" spans="2:5">
      <c r="B144" s="139">
        <v>236</v>
      </c>
      <c r="D144" s="127" t="s">
        <v>156</v>
      </c>
      <c r="E144" s="140" t="s">
        <v>706</v>
      </c>
    </row>
    <row r="145" spans="2:5">
      <c r="B145" s="139">
        <v>237</v>
      </c>
      <c r="D145" s="127" t="s">
        <v>157</v>
      </c>
      <c r="E145" s="140" t="s">
        <v>564</v>
      </c>
    </row>
    <row r="146" spans="2:5">
      <c r="B146" s="139">
        <v>238</v>
      </c>
      <c r="D146" s="127" t="s">
        <v>158</v>
      </c>
      <c r="E146" s="140" t="s">
        <v>707</v>
      </c>
    </row>
    <row r="147" spans="2:5">
      <c r="B147" s="139">
        <v>239</v>
      </c>
      <c r="D147" s="127" t="s">
        <v>159</v>
      </c>
      <c r="E147" s="140" t="s">
        <v>708</v>
      </c>
    </row>
    <row r="148" spans="2:5">
      <c r="B148" s="139">
        <v>240</v>
      </c>
      <c r="D148" s="127" t="s">
        <v>160</v>
      </c>
      <c r="E148" s="140" t="s">
        <v>565</v>
      </c>
    </row>
    <row r="149" spans="2:5">
      <c r="B149" s="139">
        <v>241</v>
      </c>
      <c r="D149" s="127" t="s">
        <v>161</v>
      </c>
      <c r="E149" s="140" t="s">
        <v>566</v>
      </c>
    </row>
    <row r="150" spans="2:5">
      <c r="B150" s="139">
        <v>242</v>
      </c>
      <c r="D150" s="127" t="s">
        <v>162</v>
      </c>
      <c r="E150" s="140" t="s">
        <v>709</v>
      </c>
    </row>
    <row r="151" spans="2:5">
      <c r="B151" s="139">
        <v>243</v>
      </c>
      <c r="D151" s="127" t="s">
        <v>163</v>
      </c>
      <c r="E151" s="140" t="s">
        <v>710</v>
      </c>
    </row>
    <row r="152" spans="2:5">
      <c r="B152" s="139">
        <v>244</v>
      </c>
      <c r="D152" s="127" t="s">
        <v>164</v>
      </c>
      <c r="E152" s="140" t="s">
        <v>711</v>
      </c>
    </row>
    <row r="153" spans="2:5">
      <c r="B153" s="139">
        <v>245</v>
      </c>
      <c r="D153" s="127" t="s">
        <v>491</v>
      </c>
      <c r="E153" s="140" t="s">
        <v>712</v>
      </c>
    </row>
    <row r="154" spans="2:5">
      <c r="B154" s="139">
        <v>246</v>
      </c>
      <c r="D154" s="127" t="s">
        <v>165</v>
      </c>
      <c r="E154" s="140" t="s">
        <v>713</v>
      </c>
    </row>
    <row r="155" spans="2:5">
      <c r="B155" s="139">
        <v>247</v>
      </c>
      <c r="D155" s="127" t="s">
        <v>166</v>
      </c>
      <c r="E155" s="140" t="s">
        <v>567</v>
      </c>
    </row>
    <row r="156" spans="2:5">
      <c r="B156" s="139">
        <v>248</v>
      </c>
      <c r="D156" s="127" t="s">
        <v>167</v>
      </c>
      <c r="E156" s="140" t="s">
        <v>714</v>
      </c>
    </row>
    <row r="157" spans="2:5">
      <c r="B157" s="139">
        <v>249</v>
      </c>
      <c r="D157" s="127" t="s">
        <v>492</v>
      </c>
      <c r="E157" s="140" t="s">
        <v>715</v>
      </c>
    </row>
    <row r="158" spans="2:5">
      <c r="B158" s="139">
        <v>250</v>
      </c>
      <c r="D158" s="127" t="s">
        <v>493</v>
      </c>
      <c r="E158" s="140" t="s">
        <v>716</v>
      </c>
    </row>
    <row r="159" spans="2:5">
      <c r="B159" s="139">
        <v>251</v>
      </c>
      <c r="D159" s="127" t="s">
        <v>494</v>
      </c>
      <c r="E159" s="140" t="s">
        <v>717</v>
      </c>
    </row>
    <row r="160" spans="2:5">
      <c r="B160" s="139">
        <v>252</v>
      </c>
      <c r="D160" s="127" t="s">
        <v>495</v>
      </c>
      <c r="E160" s="140" t="s">
        <v>718</v>
      </c>
    </row>
    <row r="161" spans="2:5">
      <c r="B161" s="139">
        <v>253</v>
      </c>
      <c r="D161" s="127" t="s">
        <v>168</v>
      </c>
      <c r="E161" s="140" t="s">
        <v>966</v>
      </c>
    </row>
    <row r="162" spans="2:5" ht="26.4">
      <c r="B162" s="139">
        <v>254</v>
      </c>
      <c r="D162" s="127" t="s">
        <v>169</v>
      </c>
      <c r="E162" s="140" t="s">
        <v>719</v>
      </c>
    </row>
    <row r="163" spans="2:5" ht="26.4">
      <c r="B163" s="139">
        <v>255</v>
      </c>
      <c r="D163" s="127" t="s">
        <v>170</v>
      </c>
      <c r="E163" s="140" t="s">
        <v>720</v>
      </c>
    </row>
    <row r="164" spans="2:5" ht="26.4">
      <c r="B164" s="139">
        <v>256</v>
      </c>
      <c r="D164" s="127" t="s">
        <v>171</v>
      </c>
      <c r="E164" s="140" t="s">
        <v>721</v>
      </c>
    </row>
    <row r="165" spans="2:5">
      <c r="B165" s="139">
        <v>257</v>
      </c>
      <c r="D165" s="127" t="s">
        <v>172</v>
      </c>
      <c r="E165" s="140" t="s">
        <v>568</v>
      </c>
    </row>
    <row r="166" spans="2:5">
      <c r="B166" s="139">
        <v>258</v>
      </c>
      <c r="D166" s="127" t="s">
        <v>173</v>
      </c>
      <c r="E166" s="140" t="s">
        <v>722</v>
      </c>
    </row>
    <row r="167" spans="2:5">
      <c r="B167" s="139">
        <v>259</v>
      </c>
      <c r="D167" s="127" t="s">
        <v>174</v>
      </c>
      <c r="E167" s="140" t="s">
        <v>723</v>
      </c>
    </row>
    <row r="168" spans="2:5">
      <c r="B168" s="139">
        <v>260</v>
      </c>
      <c r="D168" s="127" t="s">
        <v>175</v>
      </c>
      <c r="E168" s="140" t="s">
        <v>724</v>
      </c>
    </row>
    <row r="169" spans="2:5">
      <c r="B169" s="139">
        <v>261</v>
      </c>
      <c r="D169" s="127" t="s">
        <v>176</v>
      </c>
      <c r="E169" s="140" t="s">
        <v>725</v>
      </c>
    </row>
    <row r="170" spans="2:5" ht="26.4">
      <c r="B170" s="139">
        <v>262</v>
      </c>
      <c r="D170" s="127" t="s">
        <v>177</v>
      </c>
      <c r="E170" s="140" t="s">
        <v>726</v>
      </c>
    </row>
    <row r="171" spans="2:5">
      <c r="B171" s="139">
        <v>263</v>
      </c>
      <c r="D171" s="127" t="s">
        <v>178</v>
      </c>
      <c r="E171" s="140" t="s">
        <v>727</v>
      </c>
    </row>
    <row r="172" spans="2:5">
      <c r="B172" s="139">
        <v>264</v>
      </c>
      <c r="D172" s="127" t="s">
        <v>179</v>
      </c>
      <c r="E172" s="140" t="s">
        <v>728</v>
      </c>
    </row>
    <row r="173" spans="2:5">
      <c r="B173" s="139">
        <v>265</v>
      </c>
      <c r="D173" s="127" t="s">
        <v>180</v>
      </c>
      <c r="E173" s="140" t="s">
        <v>729</v>
      </c>
    </row>
    <row r="174" spans="2:5">
      <c r="B174" s="139">
        <v>266</v>
      </c>
      <c r="D174" s="127" t="s">
        <v>181</v>
      </c>
      <c r="E174" s="140" t="s">
        <v>730</v>
      </c>
    </row>
    <row r="175" spans="2:5">
      <c r="B175" s="139">
        <v>267</v>
      </c>
      <c r="D175" s="127" t="s">
        <v>182</v>
      </c>
      <c r="E175" s="140" t="s">
        <v>731</v>
      </c>
    </row>
    <row r="176" spans="2:5">
      <c r="B176" s="139">
        <v>268</v>
      </c>
      <c r="D176" s="127" t="s">
        <v>183</v>
      </c>
      <c r="E176" s="140" t="s">
        <v>732</v>
      </c>
    </row>
    <row r="177" spans="2:5">
      <c r="B177" s="139">
        <v>269</v>
      </c>
      <c r="D177" s="127" t="s">
        <v>496</v>
      </c>
      <c r="E177" s="140" t="s">
        <v>733</v>
      </c>
    </row>
    <row r="178" spans="2:5">
      <c r="B178" s="139">
        <v>270</v>
      </c>
      <c r="D178" s="127" t="s">
        <v>184</v>
      </c>
      <c r="E178" s="140" t="s">
        <v>734</v>
      </c>
    </row>
    <row r="179" spans="2:5">
      <c r="B179" s="139">
        <v>271</v>
      </c>
      <c r="D179" s="127" t="s">
        <v>497</v>
      </c>
      <c r="E179" s="140" t="s">
        <v>569</v>
      </c>
    </row>
    <row r="180" spans="2:5" ht="26.4">
      <c r="B180" s="139">
        <v>272</v>
      </c>
      <c r="D180" s="127" t="s">
        <v>185</v>
      </c>
    </row>
    <row r="181" spans="2:5">
      <c r="B181" s="139">
        <v>273</v>
      </c>
      <c r="D181" s="127" t="s">
        <v>186</v>
      </c>
      <c r="E181" s="140" t="s">
        <v>735</v>
      </c>
    </row>
    <row r="182" spans="2:5">
      <c r="B182" s="139">
        <v>274</v>
      </c>
      <c r="D182" s="127" t="s">
        <v>187</v>
      </c>
      <c r="E182" s="140" t="s">
        <v>570</v>
      </c>
    </row>
    <row r="183" spans="2:5">
      <c r="B183" s="139">
        <v>275</v>
      </c>
      <c r="D183" s="127" t="s">
        <v>188</v>
      </c>
      <c r="E183" s="140" t="s">
        <v>571</v>
      </c>
    </row>
    <row r="184" spans="2:5">
      <c r="B184" s="139">
        <v>276</v>
      </c>
      <c r="D184" s="127" t="s">
        <v>189</v>
      </c>
      <c r="E184" s="140" t="s">
        <v>967</v>
      </c>
    </row>
    <row r="185" spans="2:5">
      <c r="B185" s="139">
        <v>277</v>
      </c>
      <c r="D185" s="127" t="s">
        <v>498</v>
      </c>
      <c r="E185" s="140" t="s">
        <v>572</v>
      </c>
    </row>
    <row r="186" spans="2:5">
      <c r="B186" s="139">
        <v>278</v>
      </c>
      <c r="D186" s="127" t="s">
        <v>190</v>
      </c>
      <c r="E186" s="140" t="s">
        <v>573</v>
      </c>
    </row>
    <row r="187" spans="2:5">
      <c r="B187" s="139">
        <v>279</v>
      </c>
      <c r="D187" s="127" t="s">
        <v>191</v>
      </c>
      <c r="E187" s="140" t="s">
        <v>736</v>
      </c>
    </row>
    <row r="188" spans="2:5">
      <c r="B188" s="139">
        <v>280</v>
      </c>
      <c r="D188" s="127" t="s">
        <v>2</v>
      </c>
      <c r="E188" s="140" t="s">
        <v>2</v>
      </c>
    </row>
    <row r="189" spans="2:5">
      <c r="B189" s="139">
        <v>281</v>
      </c>
      <c r="D189" s="127" t="s">
        <v>3</v>
      </c>
      <c r="E189" s="140" t="s">
        <v>3</v>
      </c>
    </row>
    <row r="190" spans="2:5">
      <c r="B190" s="139">
        <v>282</v>
      </c>
      <c r="D190" s="127" t="s">
        <v>192</v>
      </c>
      <c r="E190" s="140" t="s">
        <v>193</v>
      </c>
    </row>
    <row r="191" spans="2:5">
      <c r="B191" s="139">
        <v>283</v>
      </c>
      <c r="D191" s="127" t="s">
        <v>194</v>
      </c>
      <c r="E191" s="140" t="s">
        <v>968</v>
      </c>
    </row>
    <row r="192" spans="2:5">
      <c r="B192" s="139">
        <v>284</v>
      </c>
      <c r="D192" s="127" t="s">
        <v>195</v>
      </c>
      <c r="E192" s="140" t="s">
        <v>737</v>
      </c>
    </row>
    <row r="193" spans="2:5">
      <c r="B193" s="139">
        <v>285</v>
      </c>
      <c r="D193" s="127" t="s">
        <v>196</v>
      </c>
      <c r="E193" s="140" t="s">
        <v>574</v>
      </c>
    </row>
    <row r="194" spans="2:5">
      <c r="B194" s="139">
        <v>286</v>
      </c>
      <c r="D194" s="127" t="s">
        <v>499</v>
      </c>
      <c r="E194" s="140" t="s">
        <v>575</v>
      </c>
    </row>
    <row r="195" spans="2:5">
      <c r="B195" s="139">
        <v>287</v>
      </c>
      <c r="D195" s="127" t="s">
        <v>500</v>
      </c>
      <c r="E195" s="140" t="s">
        <v>576</v>
      </c>
    </row>
    <row r="196" spans="2:5">
      <c r="B196" s="139">
        <v>288</v>
      </c>
      <c r="D196" s="127" t="s">
        <v>501</v>
      </c>
      <c r="E196" s="140" t="s">
        <v>575</v>
      </c>
    </row>
    <row r="197" spans="2:5">
      <c r="B197" s="139">
        <v>289</v>
      </c>
      <c r="D197" s="127" t="s">
        <v>197</v>
      </c>
      <c r="E197" s="140" t="s">
        <v>577</v>
      </c>
    </row>
    <row r="198" spans="2:5">
      <c r="B198" s="139">
        <v>290</v>
      </c>
      <c r="D198" s="127" t="s">
        <v>502</v>
      </c>
      <c r="E198" s="140" t="s">
        <v>738</v>
      </c>
    </row>
    <row r="199" spans="2:5">
      <c r="B199" s="139">
        <v>291</v>
      </c>
      <c r="D199" s="127" t="s">
        <v>198</v>
      </c>
      <c r="E199" s="140" t="s">
        <v>739</v>
      </c>
    </row>
    <row r="200" spans="2:5">
      <c r="B200" s="139">
        <v>292</v>
      </c>
      <c r="D200" s="127" t="s">
        <v>533</v>
      </c>
      <c r="E200" s="140" t="s">
        <v>740</v>
      </c>
    </row>
    <row r="201" spans="2:5">
      <c r="B201" s="139">
        <v>293</v>
      </c>
      <c r="D201" s="127" t="s">
        <v>534</v>
      </c>
      <c r="E201" s="140" t="s">
        <v>969</v>
      </c>
    </row>
    <row r="202" spans="2:5">
      <c r="B202" s="139">
        <v>294</v>
      </c>
      <c r="D202" s="127" t="s">
        <v>199</v>
      </c>
      <c r="E202" s="140" t="s">
        <v>578</v>
      </c>
    </row>
    <row r="203" spans="2:5">
      <c r="B203" s="139">
        <v>295</v>
      </c>
      <c r="D203" s="127" t="s">
        <v>503</v>
      </c>
      <c r="E203" s="140" t="s">
        <v>579</v>
      </c>
    </row>
    <row r="204" spans="2:5">
      <c r="B204" s="139">
        <v>296</v>
      </c>
      <c r="D204" s="127" t="s">
        <v>200</v>
      </c>
      <c r="E204" s="140" t="s">
        <v>741</v>
      </c>
    </row>
    <row r="205" spans="2:5">
      <c r="B205" s="139">
        <v>297</v>
      </c>
      <c r="D205" s="127" t="s">
        <v>201</v>
      </c>
      <c r="E205" s="140" t="s">
        <v>742</v>
      </c>
    </row>
    <row r="206" spans="2:5">
      <c r="B206" s="139">
        <v>298</v>
      </c>
      <c r="D206" s="127" t="s">
        <v>202</v>
      </c>
      <c r="E206" s="140" t="s">
        <v>580</v>
      </c>
    </row>
    <row r="207" spans="2:5" ht="26.4">
      <c r="B207" s="139">
        <v>299</v>
      </c>
      <c r="D207" s="127" t="s">
        <v>203</v>
      </c>
      <c r="E207" s="140" t="s">
        <v>743</v>
      </c>
    </row>
    <row r="208" spans="2:5" ht="26.4">
      <c r="B208" s="139">
        <v>300</v>
      </c>
      <c r="D208" s="127" t="s">
        <v>535</v>
      </c>
      <c r="E208" s="140" t="s">
        <v>744</v>
      </c>
    </row>
    <row r="209" spans="2:5">
      <c r="B209" s="139">
        <v>301</v>
      </c>
      <c r="D209" s="127" t="s">
        <v>536</v>
      </c>
      <c r="E209" s="140" t="s">
        <v>970</v>
      </c>
    </row>
    <row r="210" spans="2:5">
      <c r="B210" s="139">
        <v>302</v>
      </c>
      <c r="D210" s="127" t="s">
        <v>504</v>
      </c>
      <c r="E210" s="140" t="s">
        <v>971</v>
      </c>
    </row>
    <row r="211" spans="2:5">
      <c r="B211" s="139">
        <v>303</v>
      </c>
      <c r="D211" s="127" t="s">
        <v>204</v>
      </c>
      <c r="E211" s="140" t="s">
        <v>745</v>
      </c>
    </row>
    <row r="212" spans="2:5">
      <c r="B212" s="139">
        <v>304</v>
      </c>
      <c r="D212" s="127" t="s">
        <v>505</v>
      </c>
      <c r="E212" s="140" t="s">
        <v>746</v>
      </c>
    </row>
    <row r="213" spans="2:5">
      <c r="B213" s="139">
        <v>305</v>
      </c>
      <c r="D213" s="127" t="s">
        <v>506</v>
      </c>
      <c r="E213" s="140" t="s">
        <v>581</v>
      </c>
    </row>
    <row r="214" spans="2:5">
      <c r="B214" s="139">
        <v>306</v>
      </c>
      <c r="D214" s="127" t="s">
        <v>205</v>
      </c>
      <c r="E214" s="140" t="s">
        <v>747</v>
      </c>
    </row>
    <row r="215" spans="2:5">
      <c r="B215" s="139">
        <v>307</v>
      </c>
      <c r="D215" s="127" t="s">
        <v>206</v>
      </c>
      <c r="E215" s="140" t="s">
        <v>582</v>
      </c>
    </row>
    <row r="216" spans="2:5">
      <c r="B216" s="139">
        <v>308</v>
      </c>
      <c r="D216" s="127" t="s">
        <v>507</v>
      </c>
      <c r="E216" s="140" t="s">
        <v>748</v>
      </c>
    </row>
    <row r="217" spans="2:5">
      <c r="B217" s="139">
        <v>309</v>
      </c>
      <c r="D217" s="127" t="s">
        <v>207</v>
      </c>
      <c r="E217" s="140" t="s">
        <v>749</v>
      </c>
    </row>
    <row r="218" spans="2:5">
      <c r="B218" s="139">
        <v>310</v>
      </c>
      <c r="D218" s="127" t="s">
        <v>208</v>
      </c>
      <c r="E218" s="140" t="s">
        <v>750</v>
      </c>
    </row>
    <row r="219" spans="2:5" ht="26.4">
      <c r="B219" s="139">
        <v>311</v>
      </c>
      <c r="D219" s="127" t="s">
        <v>209</v>
      </c>
      <c r="E219" s="140" t="s">
        <v>751</v>
      </c>
    </row>
    <row r="220" spans="2:5">
      <c r="B220" s="139">
        <v>312</v>
      </c>
      <c r="D220" s="127" t="s">
        <v>210</v>
      </c>
      <c r="E220" s="140" t="s">
        <v>752</v>
      </c>
    </row>
    <row r="221" spans="2:5">
      <c r="B221" s="139">
        <v>313</v>
      </c>
      <c r="C221" s="136" t="s">
        <v>946</v>
      </c>
      <c r="D221" s="127" t="s">
        <v>972</v>
      </c>
      <c r="E221" s="166" t="s">
        <v>973</v>
      </c>
    </row>
    <row r="222" spans="2:5">
      <c r="B222" s="139">
        <v>314</v>
      </c>
      <c r="D222" s="127" t="s">
        <v>211</v>
      </c>
      <c r="E222" s="140" t="s">
        <v>974</v>
      </c>
    </row>
    <row r="223" spans="2:5">
      <c r="B223" s="139">
        <v>315</v>
      </c>
      <c r="D223" s="127" t="s">
        <v>212</v>
      </c>
      <c r="E223" s="140" t="s">
        <v>753</v>
      </c>
    </row>
    <row r="224" spans="2:5">
      <c r="B224" s="139">
        <v>316</v>
      </c>
      <c r="D224" s="127" t="s">
        <v>213</v>
      </c>
      <c r="E224" s="140" t="s">
        <v>754</v>
      </c>
    </row>
    <row r="225" spans="1:6">
      <c r="B225" s="139">
        <v>317</v>
      </c>
      <c r="D225" s="127" t="s">
        <v>214</v>
      </c>
      <c r="E225" s="140" t="s">
        <v>755</v>
      </c>
    </row>
    <row r="226" spans="1:6">
      <c r="B226" s="139">
        <v>318</v>
      </c>
      <c r="D226" s="127" t="s">
        <v>215</v>
      </c>
      <c r="E226" s="140" t="s">
        <v>583</v>
      </c>
    </row>
    <row r="227" spans="1:6">
      <c r="B227" s="139">
        <v>319</v>
      </c>
      <c r="D227" s="127" t="s">
        <v>508</v>
      </c>
      <c r="E227" s="140" t="s">
        <v>756</v>
      </c>
    </row>
    <row r="228" spans="1:6">
      <c r="B228" s="139">
        <v>320</v>
      </c>
      <c r="D228" s="127" t="s">
        <v>216</v>
      </c>
      <c r="E228" s="140" t="s">
        <v>757</v>
      </c>
    </row>
    <row r="229" spans="1:6" ht="39.6">
      <c r="B229" s="139">
        <v>321</v>
      </c>
      <c r="D229" s="127" t="s">
        <v>217</v>
      </c>
      <c r="E229" s="140" t="s">
        <v>758</v>
      </c>
    </row>
    <row r="230" spans="1:6">
      <c r="B230" s="139">
        <v>322</v>
      </c>
      <c r="D230" s="127" t="s">
        <v>218</v>
      </c>
      <c r="E230" s="140" t="s">
        <v>759</v>
      </c>
    </row>
    <row r="231" spans="1:6" ht="26.4">
      <c r="B231" s="139">
        <v>323</v>
      </c>
      <c r="D231" s="127" t="s">
        <v>219</v>
      </c>
      <c r="E231" s="140" t="s">
        <v>760</v>
      </c>
    </row>
    <row r="232" spans="1:6">
      <c r="A232" s="129"/>
      <c r="B232" s="139">
        <v>324</v>
      </c>
      <c r="C232" s="138" t="s">
        <v>532</v>
      </c>
      <c r="D232" s="128" t="s">
        <v>975</v>
      </c>
      <c r="E232" s="128" t="s">
        <v>540</v>
      </c>
      <c r="F232" s="130"/>
    </row>
    <row r="233" spans="1:6">
      <c r="A233" s="129"/>
      <c r="B233" s="139">
        <v>325</v>
      </c>
      <c r="C233" s="138" t="s">
        <v>532</v>
      </c>
      <c r="D233" s="128" t="s">
        <v>976</v>
      </c>
      <c r="E233" s="128" t="s">
        <v>925</v>
      </c>
      <c r="F233" s="130"/>
    </row>
    <row r="234" spans="1:6">
      <c r="A234" s="129"/>
      <c r="B234" s="139">
        <v>326</v>
      </c>
      <c r="C234" s="138" t="s">
        <v>944</v>
      </c>
      <c r="D234" s="128" t="s">
        <v>977</v>
      </c>
      <c r="E234" s="128" t="s">
        <v>978</v>
      </c>
      <c r="F234" s="130"/>
    </row>
    <row r="235" spans="1:6">
      <c r="B235" s="139">
        <v>327</v>
      </c>
      <c r="D235" s="127" t="s">
        <v>220</v>
      </c>
      <c r="E235" s="140" t="s">
        <v>584</v>
      </c>
    </row>
    <row r="236" spans="1:6" ht="14.4">
      <c r="B236" s="139">
        <v>328</v>
      </c>
      <c r="D236" s="127" t="s">
        <v>221</v>
      </c>
      <c r="E236" s="168" t="s">
        <v>931</v>
      </c>
    </row>
    <row r="237" spans="1:6">
      <c r="B237" s="139">
        <v>329</v>
      </c>
      <c r="D237" s="127" t="s">
        <v>222</v>
      </c>
      <c r="E237" s="140" t="s">
        <v>761</v>
      </c>
    </row>
    <row r="238" spans="1:6">
      <c r="B238" s="139">
        <v>330</v>
      </c>
      <c r="D238" s="127" t="s">
        <v>223</v>
      </c>
      <c r="E238" s="140" t="s">
        <v>762</v>
      </c>
    </row>
    <row r="239" spans="1:6">
      <c r="B239" s="139">
        <v>331</v>
      </c>
      <c r="D239" s="127" t="s">
        <v>224</v>
      </c>
      <c r="E239" s="140" t="s">
        <v>763</v>
      </c>
    </row>
    <row r="240" spans="1:6">
      <c r="B240" s="139">
        <v>332</v>
      </c>
      <c r="D240" s="127" t="s">
        <v>225</v>
      </c>
      <c r="E240" s="140" t="s">
        <v>764</v>
      </c>
    </row>
    <row r="241" spans="2:5">
      <c r="B241" s="139">
        <v>333</v>
      </c>
      <c r="D241" s="127" t="s">
        <v>226</v>
      </c>
      <c r="E241" s="140" t="s">
        <v>765</v>
      </c>
    </row>
    <row r="242" spans="2:5">
      <c r="B242" s="139">
        <v>334</v>
      </c>
      <c r="D242" s="127" t="s">
        <v>227</v>
      </c>
      <c r="E242" s="140" t="s">
        <v>766</v>
      </c>
    </row>
    <row r="243" spans="2:5">
      <c r="B243" s="139">
        <v>335</v>
      </c>
      <c r="D243" s="127" t="s">
        <v>228</v>
      </c>
      <c r="E243" s="140" t="s">
        <v>767</v>
      </c>
    </row>
    <row r="244" spans="2:5">
      <c r="B244" s="139">
        <v>336</v>
      </c>
      <c r="D244" s="127" t="s">
        <v>229</v>
      </c>
      <c r="E244" s="140" t="s">
        <v>585</v>
      </c>
    </row>
    <row r="245" spans="2:5">
      <c r="B245" s="139">
        <v>337</v>
      </c>
      <c r="D245" s="127" t="s">
        <v>230</v>
      </c>
      <c r="E245" s="140" t="s">
        <v>768</v>
      </c>
    </row>
    <row r="246" spans="2:5">
      <c r="B246" s="139">
        <v>338</v>
      </c>
      <c r="D246" s="127" t="s">
        <v>231</v>
      </c>
      <c r="E246" s="140" t="s">
        <v>586</v>
      </c>
    </row>
    <row r="247" spans="2:5">
      <c r="B247" s="139">
        <v>339</v>
      </c>
      <c r="D247" s="127" t="s">
        <v>232</v>
      </c>
      <c r="E247" s="140" t="s">
        <v>769</v>
      </c>
    </row>
    <row r="248" spans="2:5">
      <c r="B248" s="139">
        <v>340</v>
      </c>
      <c r="D248" s="127" t="s">
        <v>233</v>
      </c>
      <c r="E248" s="140" t="s">
        <v>587</v>
      </c>
    </row>
    <row r="249" spans="2:5">
      <c r="B249" s="139">
        <v>341</v>
      </c>
      <c r="D249" s="127" t="s">
        <v>234</v>
      </c>
      <c r="E249" s="140" t="s">
        <v>770</v>
      </c>
    </row>
    <row r="250" spans="2:5">
      <c r="B250" s="139">
        <v>342</v>
      </c>
      <c r="D250" s="127" t="s">
        <v>235</v>
      </c>
      <c r="E250" s="140" t="s">
        <v>588</v>
      </c>
    </row>
    <row r="251" spans="2:5">
      <c r="B251" s="139">
        <v>343</v>
      </c>
      <c r="D251" s="127" t="s">
        <v>236</v>
      </c>
      <c r="E251" s="140" t="s">
        <v>771</v>
      </c>
    </row>
    <row r="252" spans="2:5">
      <c r="B252" s="139">
        <v>344</v>
      </c>
      <c r="D252" s="127" t="s">
        <v>237</v>
      </c>
      <c r="E252" s="140" t="s">
        <v>589</v>
      </c>
    </row>
    <row r="253" spans="2:5">
      <c r="B253" s="139">
        <v>345</v>
      </c>
      <c r="D253" s="127" t="s">
        <v>238</v>
      </c>
      <c r="E253" s="140" t="s">
        <v>772</v>
      </c>
    </row>
    <row r="254" spans="2:5">
      <c r="B254" s="139">
        <v>346</v>
      </c>
      <c r="D254" s="127" t="s">
        <v>239</v>
      </c>
      <c r="E254" s="140" t="s">
        <v>773</v>
      </c>
    </row>
    <row r="255" spans="2:5">
      <c r="B255" s="139">
        <v>347</v>
      </c>
      <c r="D255" s="127" t="s">
        <v>509</v>
      </c>
      <c r="E255" s="140" t="s">
        <v>509</v>
      </c>
    </row>
    <row r="256" spans="2:5">
      <c r="B256" s="139">
        <v>348</v>
      </c>
      <c r="D256" s="127" t="s">
        <v>240</v>
      </c>
      <c r="E256" s="140" t="s">
        <v>590</v>
      </c>
    </row>
    <row r="257" spans="2:5" ht="26.4">
      <c r="B257" s="139">
        <v>349</v>
      </c>
      <c r="D257" s="127" t="s">
        <v>241</v>
      </c>
      <c r="E257" s="140" t="s">
        <v>774</v>
      </c>
    </row>
    <row r="258" spans="2:5">
      <c r="B258" s="139">
        <v>350</v>
      </c>
      <c r="D258" s="127" t="s">
        <v>242</v>
      </c>
      <c r="E258" s="140" t="s">
        <v>775</v>
      </c>
    </row>
    <row r="259" spans="2:5" ht="26.4">
      <c r="B259" s="139">
        <v>351</v>
      </c>
      <c r="D259" s="127" t="s">
        <v>243</v>
      </c>
      <c r="E259" s="140" t="s">
        <v>776</v>
      </c>
    </row>
    <row r="260" spans="2:5" ht="13.8">
      <c r="B260" s="139">
        <v>352</v>
      </c>
      <c r="D260" s="134" t="s">
        <v>979</v>
      </c>
      <c r="E260" s="167" t="s">
        <v>980</v>
      </c>
    </row>
    <row r="261" spans="2:5">
      <c r="B261" s="139">
        <v>353</v>
      </c>
      <c r="D261" s="127" t="s">
        <v>510</v>
      </c>
      <c r="E261" s="140" t="s">
        <v>591</v>
      </c>
    </row>
    <row r="262" spans="2:5">
      <c r="B262" s="139">
        <v>354</v>
      </c>
      <c r="D262" s="127" t="s">
        <v>244</v>
      </c>
      <c r="E262" s="140" t="s">
        <v>777</v>
      </c>
    </row>
    <row r="263" spans="2:5">
      <c r="B263" s="139">
        <v>355</v>
      </c>
      <c r="D263" s="127" t="s">
        <v>511</v>
      </c>
      <c r="E263" s="140" t="s">
        <v>778</v>
      </c>
    </row>
    <row r="264" spans="2:5">
      <c r="B264" s="139">
        <v>356</v>
      </c>
      <c r="D264" s="127" t="s">
        <v>245</v>
      </c>
      <c r="E264" s="140" t="s">
        <v>592</v>
      </c>
    </row>
    <row r="265" spans="2:5">
      <c r="B265" s="139">
        <v>357</v>
      </c>
      <c r="D265" s="127" t="s">
        <v>246</v>
      </c>
      <c r="E265" s="140" t="s">
        <v>593</v>
      </c>
    </row>
    <row r="266" spans="2:5">
      <c r="B266" s="139">
        <v>358</v>
      </c>
      <c r="D266" s="127" t="s">
        <v>247</v>
      </c>
      <c r="E266" s="140" t="s">
        <v>779</v>
      </c>
    </row>
    <row r="267" spans="2:5">
      <c r="B267" s="139">
        <v>359</v>
      </c>
      <c r="D267" s="127" t="s">
        <v>248</v>
      </c>
      <c r="E267" s="140" t="s">
        <v>780</v>
      </c>
    </row>
    <row r="268" spans="2:5">
      <c r="B268" s="139">
        <v>360</v>
      </c>
      <c r="D268" s="127" t="s">
        <v>249</v>
      </c>
      <c r="E268" s="140" t="s">
        <v>781</v>
      </c>
    </row>
    <row r="269" spans="2:5">
      <c r="B269" s="139">
        <v>361</v>
      </c>
      <c r="D269" s="127" t="s">
        <v>250</v>
      </c>
    </row>
    <row r="270" spans="2:5">
      <c r="B270" s="139">
        <v>362</v>
      </c>
      <c r="D270" s="127" t="s">
        <v>512</v>
      </c>
      <c r="E270" s="140" t="s">
        <v>782</v>
      </c>
    </row>
    <row r="271" spans="2:5" ht="26.4">
      <c r="B271" s="139">
        <v>363</v>
      </c>
      <c r="D271" s="127" t="s">
        <v>513</v>
      </c>
      <c r="E271" s="140" t="s">
        <v>783</v>
      </c>
    </row>
    <row r="272" spans="2:5" ht="26.4">
      <c r="B272" s="139">
        <v>364</v>
      </c>
      <c r="D272" s="127" t="s">
        <v>251</v>
      </c>
      <c r="E272" s="140" t="s">
        <v>784</v>
      </c>
    </row>
    <row r="273" spans="2:5">
      <c r="B273" s="139">
        <v>365</v>
      </c>
      <c r="D273" s="127" t="s">
        <v>252</v>
      </c>
      <c r="E273" s="140" t="s">
        <v>785</v>
      </c>
    </row>
    <row r="274" spans="2:5">
      <c r="B274" s="139">
        <v>366</v>
      </c>
      <c r="D274" s="127" t="s">
        <v>253</v>
      </c>
      <c r="E274" s="140" t="s">
        <v>786</v>
      </c>
    </row>
    <row r="275" spans="2:5">
      <c r="B275" s="139">
        <v>367</v>
      </c>
      <c r="D275" s="127" t="s">
        <v>254</v>
      </c>
      <c r="E275" s="140" t="s">
        <v>594</v>
      </c>
    </row>
    <row r="276" spans="2:5">
      <c r="B276" s="139">
        <v>368</v>
      </c>
      <c r="D276" s="127" t="s">
        <v>255</v>
      </c>
      <c r="E276" s="140" t="s">
        <v>595</v>
      </c>
    </row>
    <row r="277" spans="2:5">
      <c r="B277" s="139">
        <v>369</v>
      </c>
      <c r="D277" s="127" t="s">
        <v>256</v>
      </c>
      <c r="E277" s="140" t="s">
        <v>787</v>
      </c>
    </row>
    <row r="278" spans="2:5">
      <c r="B278" s="139">
        <v>370</v>
      </c>
      <c r="D278" s="127" t="s">
        <v>257</v>
      </c>
      <c r="E278" s="140" t="s">
        <v>596</v>
      </c>
    </row>
    <row r="279" spans="2:5">
      <c r="B279" s="139">
        <v>371</v>
      </c>
      <c r="D279" s="127" t="s">
        <v>258</v>
      </c>
      <c r="E279" s="140" t="s">
        <v>788</v>
      </c>
    </row>
    <row r="280" spans="2:5">
      <c r="B280" s="139">
        <v>372</v>
      </c>
      <c r="D280" s="127" t="s">
        <v>259</v>
      </c>
      <c r="E280" s="140" t="s">
        <v>597</v>
      </c>
    </row>
    <row r="281" spans="2:5">
      <c r="B281" s="139">
        <v>373</v>
      </c>
      <c r="D281" s="127" t="s">
        <v>260</v>
      </c>
      <c r="E281" s="140" t="s">
        <v>598</v>
      </c>
    </row>
    <row r="282" spans="2:5">
      <c r="B282" s="139">
        <v>374</v>
      </c>
      <c r="D282" s="127" t="s">
        <v>261</v>
      </c>
      <c r="E282" s="140" t="s">
        <v>789</v>
      </c>
    </row>
    <row r="283" spans="2:5">
      <c r="B283" s="139">
        <v>375</v>
      </c>
      <c r="D283" s="127" t="s">
        <v>262</v>
      </c>
      <c r="E283" s="140" t="s">
        <v>790</v>
      </c>
    </row>
    <row r="284" spans="2:5">
      <c r="B284" s="139">
        <v>376</v>
      </c>
      <c r="D284" s="127" t="s">
        <v>263</v>
      </c>
      <c r="E284" s="140" t="s">
        <v>791</v>
      </c>
    </row>
    <row r="285" spans="2:5">
      <c r="B285" s="139">
        <v>377</v>
      </c>
      <c r="D285" s="127" t="s">
        <v>264</v>
      </c>
      <c r="E285" s="140" t="s">
        <v>792</v>
      </c>
    </row>
    <row r="286" spans="2:5">
      <c r="B286" s="139">
        <v>378</v>
      </c>
      <c r="D286" s="127" t="s">
        <v>265</v>
      </c>
      <c r="E286" s="140" t="s">
        <v>599</v>
      </c>
    </row>
    <row r="287" spans="2:5">
      <c r="B287" s="139">
        <v>379</v>
      </c>
      <c r="D287" s="127" t="s">
        <v>266</v>
      </c>
      <c r="E287" s="140" t="s">
        <v>981</v>
      </c>
    </row>
    <row r="288" spans="2:5">
      <c r="B288" s="139">
        <v>380</v>
      </c>
      <c r="D288" s="127" t="s">
        <v>267</v>
      </c>
      <c r="E288" s="140" t="s">
        <v>793</v>
      </c>
    </row>
    <row r="289" spans="2:5">
      <c r="B289" s="139">
        <v>381</v>
      </c>
      <c r="D289" s="127" t="s">
        <v>268</v>
      </c>
      <c r="E289" s="140" t="s">
        <v>600</v>
      </c>
    </row>
    <row r="290" spans="2:5" ht="39.6">
      <c r="B290" s="139">
        <v>382</v>
      </c>
      <c r="D290" s="127" t="s">
        <v>269</v>
      </c>
      <c r="E290" s="140" t="s">
        <v>794</v>
      </c>
    </row>
    <row r="291" spans="2:5">
      <c r="B291" s="139">
        <v>383</v>
      </c>
      <c r="D291" s="127" t="s">
        <v>270</v>
      </c>
      <c r="E291" s="140" t="s">
        <v>795</v>
      </c>
    </row>
    <row r="292" spans="2:5" ht="26.4">
      <c r="B292" s="139">
        <v>384</v>
      </c>
      <c r="D292" s="127" t="s">
        <v>271</v>
      </c>
      <c r="E292" s="140" t="s">
        <v>796</v>
      </c>
    </row>
    <row r="293" spans="2:5">
      <c r="B293" s="139">
        <v>385</v>
      </c>
      <c r="D293" s="127" t="s">
        <v>272</v>
      </c>
      <c r="E293" s="140" t="s">
        <v>797</v>
      </c>
    </row>
    <row r="294" spans="2:5" ht="26.4">
      <c r="B294" s="139">
        <v>386</v>
      </c>
      <c r="D294" s="127" t="s">
        <v>273</v>
      </c>
      <c r="E294" s="140" t="s">
        <v>798</v>
      </c>
    </row>
    <row r="295" spans="2:5" ht="26.4">
      <c r="B295" s="139">
        <v>387</v>
      </c>
      <c r="D295" s="127" t="s">
        <v>274</v>
      </c>
      <c r="E295" s="140" t="s">
        <v>799</v>
      </c>
    </row>
    <row r="296" spans="2:5" ht="26.4">
      <c r="B296" s="139">
        <v>388</v>
      </c>
      <c r="D296" s="127" t="s">
        <v>275</v>
      </c>
      <c r="E296" s="140" t="s">
        <v>800</v>
      </c>
    </row>
    <row r="297" spans="2:5" ht="26.4">
      <c r="B297" s="139">
        <v>389</v>
      </c>
      <c r="D297" s="127" t="s">
        <v>276</v>
      </c>
      <c r="E297" s="140" t="s">
        <v>801</v>
      </c>
    </row>
    <row r="298" spans="2:5" ht="26.4">
      <c r="B298" s="139">
        <v>390</v>
      </c>
      <c r="D298" s="127" t="s">
        <v>277</v>
      </c>
      <c r="E298" s="140" t="s">
        <v>802</v>
      </c>
    </row>
    <row r="299" spans="2:5" ht="26.4">
      <c r="B299" s="139">
        <v>391</v>
      </c>
      <c r="D299" s="127" t="s">
        <v>278</v>
      </c>
      <c r="E299" s="140" t="s">
        <v>803</v>
      </c>
    </row>
    <row r="300" spans="2:5" ht="26.4">
      <c r="B300" s="139">
        <v>392</v>
      </c>
      <c r="D300" s="127" t="s">
        <v>279</v>
      </c>
      <c r="E300" s="140" t="s">
        <v>804</v>
      </c>
    </row>
    <row r="301" spans="2:5" ht="26.4">
      <c r="B301" s="139">
        <v>393</v>
      </c>
      <c r="D301" s="127" t="s">
        <v>280</v>
      </c>
      <c r="E301" s="140" t="s">
        <v>805</v>
      </c>
    </row>
    <row r="302" spans="2:5" ht="26.4">
      <c r="B302" s="139">
        <v>394</v>
      </c>
      <c r="D302" s="127" t="s">
        <v>281</v>
      </c>
      <c r="E302" s="140" t="s">
        <v>806</v>
      </c>
    </row>
    <row r="303" spans="2:5" ht="26.4">
      <c r="B303" s="139">
        <v>395</v>
      </c>
      <c r="D303" s="127" t="s">
        <v>282</v>
      </c>
      <c r="E303" s="140" t="s">
        <v>807</v>
      </c>
    </row>
    <row r="304" spans="2:5" ht="26.4">
      <c r="B304" s="139">
        <v>396</v>
      </c>
      <c r="D304" s="127" t="s">
        <v>283</v>
      </c>
      <c r="E304" s="140" t="s">
        <v>808</v>
      </c>
    </row>
    <row r="305" spans="2:5" ht="26.4">
      <c r="B305" s="139">
        <v>397</v>
      </c>
      <c r="D305" s="127" t="s">
        <v>284</v>
      </c>
      <c r="E305" s="140" t="s">
        <v>809</v>
      </c>
    </row>
    <row r="306" spans="2:5" ht="26.4">
      <c r="B306" s="139">
        <v>398</v>
      </c>
      <c r="D306" s="127" t="s">
        <v>285</v>
      </c>
      <c r="E306" s="140" t="s">
        <v>810</v>
      </c>
    </row>
    <row r="307" spans="2:5" ht="26.4">
      <c r="B307" s="139">
        <v>399</v>
      </c>
      <c r="D307" s="127" t="s">
        <v>286</v>
      </c>
      <c r="E307" s="140" t="s">
        <v>811</v>
      </c>
    </row>
    <row r="308" spans="2:5" ht="26.4">
      <c r="B308" s="139">
        <v>400</v>
      </c>
      <c r="D308" s="127" t="s">
        <v>287</v>
      </c>
      <c r="E308" s="140" t="s">
        <v>812</v>
      </c>
    </row>
    <row r="309" spans="2:5" ht="26.4">
      <c r="B309" s="139">
        <v>401</v>
      </c>
      <c r="D309" s="127" t="s">
        <v>288</v>
      </c>
      <c r="E309" s="140" t="s">
        <v>813</v>
      </c>
    </row>
    <row r="310" spans="2:5" ht="26.4">
      <c r="B310" s="139">
        <v>402</v>
      </c>
      <c r="D310" s="127" t="s">
        <v>289</v>
      </c>
      <c r="E310" s="140" t="s">
        <v>814</v>
      </c>
    </row>
    <row r="311" spans="2:5" ht="26.4">
      <c r="B311" s="139">
        <v>403</v>
      </c>
      <c r="D311" s="127" t="s">
        <v>290</v>
      </c>
      <c r="E311" s="140" t="s">
        <v>815</v>
      </c>
    </row>
    <row r="312" spans="2:5" ht="26.4">
      <c r="B312" s="139">
        <v>404</v>
      </c>
      <c r="D312" s="127" t="s">
        <v>291</v>
      </c>
      <c r="E312" s="140" t="s">
        <v>816</v>
      </c>
    </row>
    <row r="313" spans="2:5">
      <c r="B313" s="139">
        <v>405</v>
      </c>
      <c r="D313" s="127" t="s">
        <v>514</v>
      </c>
      <c r="E313" s="140" t="s">
        <v>817</v>
      </c>
    </row>
    <row r="314" spans="2:5">
      <c r="B314" s="139">
        <v>406</v>
      </c>
      <c r="D314" s="127" t="s">
        <v>515</v>
      </c>
      <c r="E314" s="140" t="s">
        <v>817</v>
      </c>
    </row>
    <row r="315" spans="2:5">
      <c r="B315" s="139">
        <v>407</v>
      </c>
      <c r="D315" s="127" t="s">
        <v>292</v>
      </c>
      <c r="E315" s="140" t="s">
        <v>818</v>
      </c>
    </row>
    <row r="316" spans="2:5" ht="26.4">
      <c r="B316" s="139">
        <v>408</v>
      </c>
      <c r="D316" s="127" t="s">
        <v>293</v>
      </c>
      <c r="E316" s="140" t="s">
        <v>819</v>
      </c>
    </row>
    <row r="317" spans="2:5">
      <c r="B317" s="139">
        <v>409</v>
      </c>
      <c r="D317" s="127" t="s">
        <v>294</v>
      </c>
      <c r="E317" s="140" t="s">
        <v>820</v>
      </c>
    </row>
    <row r="318" spans="2:5" ht="26.4">
      <c r="B318" s="139">
        <v>410</v>
      </c>
      <c r="D318" s="127" t="s">
        <v>295</v>
      </c>
      <c r="E318" s="140" t="s">
        <v>821</v>
      </c>
    </row>
    <row r="319" spans="2:5">
      <c r="B319" s="139">
        <v>411</v>
      </c>
      <c r="D319" s="127" t="s">
        <v>516</v>
      </c>
      <c r="E319" s="140" t="s">
        <v>822</v>
      </c>
    </row>
    <row r="320" spans="2:5" ht="26.4">
      <c r="B320" s="139">
        <v>412</v>
      </c>
      <c r="D320" s="127" t="s">
        <v>517</v>
      </c>
      <c r="E320" s="140" t="s">
        <v>823</v>
      </c>
    </row>
    <row r="321" spans="1:6">
      <c r="B321" s="139">
        <v>413</v>
      </c>
      <c r="D321" s="127" t="s">
        <v>296</v>
      </c>
      <c r="E321" s="140" t="s">
        <v>824</v>
      </c>
    </row>
    <row r="322" spans="1:6" ht="26.4">
      <c r="B322" s="139">
        <v>414</v>
      </c>
      <c r="D322" s="127" t="s">
        <v>297</v>
      </c>
      <c r="E322" s="140" t="s">
        <v>825</v>
      </c>
    </row>
    <row r="323" spans="1:6">
      <c r="B323" s="139">
        <v>415</v>
      </c>
      <c r="D323" s="127" t="s">
        <v>298</v>
      </c>
      <c r="E323" s="140" t="s">
        <v>826</v>
      </c>
    </row>
    <row r="324" spans="1:6" ht="39.6">
      <c r="B324" s="139">
        <v>416</v>
      </c>
      <c r="D324" s="127" t="s">
        <v>299</v>
      </c>
      <c r="E324" s="140" t="s">
        <v>827</v>
      </c>
    </row>
    <row r="325" spans="1:6">
      <c r="B325" s="139">
        <v>417</v>
      </c>
      <c r="D325" s="127" t="s">
        <v>300</v>
      </c>
      <c r="E325" s="140" t="s">
        <v>828</v>
      </c>
    </row>
    <row r="326" spans="1:6" ht="26.4">
      <c r="B326" s="139">
        <v>418</v>
      </c>
      <c r="D326" s="127" t="s">
        <v>301</v>
      </c>
      <c r="E326" s="140" t="s">
        <v>829</v>
      </c>
    </row>
    <row r="327" spans="1:6" ht="26.4">
      <c r="B327" s="139">
        <v>419</v>
      </c>
      <c r="D327" s="127" t="s">
        <v>302</v>
      </c>
      <c r="E327" s="140" t="s">
        <v>830</v>
      </c>
    </row>
    <row r="328" spans="1:6" ht="26.4">
      <c r="B328" s="139">
        <v>420</v>
      </c>
      <c r="D328" s="127" t="s">
        <v>303</v>
      </c>
      <c r="E328" s="140" t="s">
        <v>831</v>
      </c>
    </row>
    <row r="329" spans="1:6">
      <c r="B329" s="139">
        <v>421</v>
      </c>
      <c r="D329" s="127" t="s">
        <v>304</v>
      </c>
      <c r="E329" s="140" t="s">
        <v>832</v>
      </c>
    </row>
    <row r="330" spans="1:6">
      <c r="B330" s="139">
        <v>422</v>
      </c>
      <c r="D330" s="127" t="s">
        <v>305</v>
      </c>
      <c r="E330" s="140" t="s">
        <v>833</v>
      </c>
    </row>
    <row r="331" spans="1:6">
      <c r="B331" s="139">
        <v>423</v>
      </c>
      <c r="D331" s="127" t="s">
        <v>306</v>
      </c>
      <c r="E331" s="140" t="s">
        <v>834</v>
      </c>
    </row>
    <row r="332" spans="1:6">
      <c r="B332" s="139">
        <v>424</v>
      </c>
      <c r="D332" s="127" t="s">
        <v>307</v>
      </c>
      <c r="E332" s="140" t="s">
        <v>835</v>
      </c>
    </row>
    <row r="333" spans="1:6">
      <c r="B333" s="139">
        <v>425</v>
      </c>
      <c r="D333" s="127" t="s">
        <v>308</v>
      </c>
      <c r="E333" s="140" t="s">
        <v>836</v>
      </c>
    </row>
    <row r="334" spans="1:6">
      <c r="B334" s="139">
        <v>426</v>
      </c>
      <c r="D334" s="127" t="s">
        <v>309</v>
      </c>
      <c r="E334" s="140" t="s">
        <v>837</v>
      </c>
    </row>
    <row r="335" spans="1:6">
      <c r="B335" s="139">
        <v>427</v>
      </c>
      <c r="D335" s="127" t="s">
        <v>518</v>
      </c>
      <c r="E335" s="140" t="s">
        <v>838</v>
      </c>
    </row>
    <row r="336" spans="1:6" ht="43.2">
      <c r="A336" s="134"/>
      <c r="B336" s="139">
        <v>428</v>
      </c>
      <c r="C336" s="137" t="s">
        <v>946</v>
      </c>
      <c r="D336" s="134" t="s">
        <v>982</v>
      </c>
      <c r="E336" s="134" t="s">
        <v>983</v>
      </c>
      <c r="F336" s="135"/>
    </row>
    <row r="337" spans="2:5" ht="39.6">
      <c r="B337" s="139">
        <v>429</v>
      </c>
      <c r="D337" s="127" t="s">
        <v>310</v>
      </c>
      <c r="E337" s="140" t="s">
        <v>839</v>
      </c>
    </row>
    <row r="338" spans="2:5">
      <c r="B338" s="139">
        <v>430</v>
      </c>
      <c r="D338" s="127" t="s">
        <v>311</v>
      </c>
      <c r="E338" s="140" t="s">
        <v>840</v>
      </c>
    </row>
    <row r="339" spans="2:5">
      <c r="B339" s="139">
        <v>431</v>
      </c>
      <c r="D339" s="127" t="s">
        <v>312</v>
      </c>
      <c r="E339" s="140" t="s">
        <v>841</v>
      </c>
    </row>
    <row r="340" spans="2:5">
      <c r="B340" s="139">
        <v>432</v>
      </c>
      <c r="D340" s="127" t="s">
        <v>313</v>
      </c>
      <c r="E340" s="140" t="s">
        <v>842</v>
      </c>
    </row>
    <row r="341" spans="2:5" ht="26.4">
      <c r="B341" s="139">
        <v>433</v>
      </c>
      <c r="D341" s="127" t="s">
        <v>314</v>
      </c>
      <c r="E341" s="140" t="s">
        <v>843</v>
      </c>
    </row>
    <row r="342" spans="2:5">
      <c r="B342" s="139">
        <v>434</v>
      </c>
      <c r="D342" s="127" t="s">
        <v>315</v>
      </c>
      <c r="E342" s="140" t="s">
        <v>844</v>
      </c>
    </row>
    <row r="343" spans="2:5">
      <c r="B343" s="139">
        <v>435</v>
      </c>
      <c r="D343" s="127" t="s">
        <v>316</v>
      </c>
      <c r="E343" s="140" t="s">
        <v>845</v>
      </c>
    </row>
    <row r="344" spans="2:5">
      <c r="B344" s="139">
        <v>436</v>
      </c>
      <c r="D344" s="127" t="s">
        <v>317</v>
      </c>
      <c r="E344" s="140" t="s">
        <v>846</v>
      </c>
    </row>
    <row r="345" spans="2:5">
      <c r="B345" s="139">
        <v>437</v>
      </c>
      <c r="D345" s="127" t="s">
        <v>318</v>
      </c>
      <c r="E345" s="140" t="s">
        <v>847</v>
      </c>
    </row>
    <row r="346" spans="2:5">
      <c r="B346" s="139">
        <v>438</v>
      </c>
      <c r="D346" s="127" t="s">
        <v>519</v>
      </c>
      <c r="E346" s="140" t="s">
        <v>848</v>
      </c>
    </row>
    <row r="347" spans="2:5">
      <c r="B347" s="139">
        <v>439</v>
      </c>
      <c r="D347" s="127" t="s">
        <v>319</v>
      </c>
      <c r="E347" s="140" t="s">
        <v>849</v>
      </c>
    </row>
    <row r="348" spans="2:5">
      <c r="B348" s="139">
        <v>440</v>
      </c>
      <c r="D348" s="127" t="s">
        <v>520</v>
      </c>
      <c r="E348" s="140" t="s">
        <v>850</v>
      </c>
    </row>
    <row r="349" spans="2:5" ht="26.4">
      <c r="B349" s="139">
        <v>441</v>
      </c>
      <c r="D349" s="127" t="s">
        <v>320</v>
      </c>
      <c r="E349" s="140" t="s">
        <v>851</v>
      </c>
    </row>
    <row r="350" spans="2:5">
      <c r="B350" s="139">
        <v>442</v>
      </c>
      <c r="D350" s="127" t="s">
        <v>321</v>
      </c>
      <c r="E350" s="140" t="s">
        <v>852</v>
      </c>
    </row>
    <row r="351" spans="2:5">
      <c r="B351" s="139">
        <v>443</v>
      </c>
      <c r="D351" s="127" t="s">
        <v>322</v>
      </c>
      <c r="E351" s="140" t="s">
        <v>853</v>
      </c>
    </row>
    <row r="352" spans="2:5">
      <c r="B352" s="139">
        <v>444</v>
      </c>
      <c r="D352" s="127" t="s">
        <v>323</v>
      </c>
      <c r="E352" s="140" t="s">
        <v>854</v>
      </c>
    </row>
    <row r="353" spans="2:5" ht="39.6">
      <c r="B353" s="139">
        <v>445</v>
      </c>
      <c r="D353" s="127" t="s">
        <v>390</v>
      </c>
      <c r="E353" s="140" t="s">
        <v>855</v>
      </c>
    </row>
    <row r="354" spans="2:5">
      <c r="B354" s="139">
        <v>446</v>
      </c>
      <c r="D354" s="127" t="s">
        <v>324</v>
      </c>
      <c r="E354" s="140" t="s">
        <v>856</v>
      </c>
    </row>
    <row r="355" spans="2:5">
      <c r="B355" s="139">
        <v>447</v>
      </c>
      <c r="D355" s="127" t="s">
        <v>325</v>
      </c>
      <c r="E355" s="140" t="s">
        <v>857</v>
      </c>
    </row>
    <row r="356" spans="2:5">
      <c r="B356" s="139">
        <v>448</v>
      </c>
      <c r="D356" s="127" t="s">
        <v>326</v>
      </c>
      <c r="E356" s="140" t="s">
        <v>858</v>
      </c>
    </row>
    <row r="357" spans="2:5">
      <c r="B357" s="139">
        <v>449</v>
      </c>
      <c r="D357" s="127" t="s">
        <v>327</v>
      </c>
      <c r="E357" s="140" t="s">
        <v>859</v>
      </c>
    </row>
    <row r="358" spans="2:5">
      <c r="B358" s="139">
        <v>450</v>
      </c>
      <c r="D358" s="127" t="s">
        <v>328</v>
      </c>
      <c r="E358" s="140" t="s">
        <v>860</v>
      </c>
    </row>
    <row r="359" spans="2:5" ht="26.4">
      <c r="B359" s="139">
        <v>451</v>
      </c>
      <c r="D359" s="127" t="s">
        <v>329</v>
      </c>
      <c r="E359" s="140" t="s">
        <v>861</v>
      </c>
    </row>
    <row r="360" spans="2:5">
      <c r="B360" s="139">
        <v>452</v>
      </c>
      <c r="D360" s="127" t="s">
        <v>330</v>
      </c>
      <c r="E360" s="140" t="s">
        <v>862</v>
      </c>
    </row>
    <row r="361" spans="2:5">
      <c r="B361" s="139">
        <v>453</v>
      </c>
      <c r="D361" s="127" t="s">
        <v>331</v>
      </c>
      <c r="E361" s="140" t="s">
        <v>863</v>
      </c>
    </row>
    <row r="362" spans="2:5">
      <c r="B362" s="139">
        <v>454</v>
      </c>
      <c r="D362" s="127" t="s">
        <v>332</v>
      </c>
      <c r="E362" s="140" t="s">
        <v>864</v>
      </c>
    </row>
    <row r="363" spans="2:5" ht="26.4">
      <c r="B363" s="139">
        <v>455</v>
      </c>
      <c r="D363" s="127" t="s">
        <v>521</v>
      </c>
      <c r="E363" s="140" t="s">
        <v>865</v>
      </c>
    </row>
    <row r="364" spans="2:5">
      <c r="B364" s="139">
        <v>456</v>
      </c>
      <c r="D364" s="127" t="s">
        <v>333</v>
      </c>
      <c r="E364" s="140" t="s">
        <v>601</v>
      </c>
    </row>
    <row r="365" spans="2:5">
      <c r="B365" s="139">
        <v>457</v>
      </c>
      <c r="D365" s="127" t="s">
        <v>334</v>
      </c>
      <c r="E365" s="140" t="s">
        <v>866</v>
      </c>
    </row>
    <row r="366" spans="2:5">
      <c r="B366" s="139">
        <v>458</v>
      </c>
      <c r="D366" s="127" t="s">
        <v>335</v>
      </c>
      <c r="E366" s="140" t="s">
        <v>867</v>
      </c>
    </row>
    <row r="367" spans="2:5">
      <c r="B367" s="139">
        <v>459</v>
      </c>
      <c r="D367" s="127" t="s">
        <v>522</v>
      </c>
      <c r="E367" s="140" t="s">
        <v>868</v>
      </c>
    </row>
    <row r="368" spans="2:5" ht="26.4">
      <c r="B368" s="139">
        <v>460</v>
      </c>
      <c r="D368" s="127" t="s">
        <v>523</v>
      </c>
      <c r="E368" s="140" t="s">
        <v>869</v>
      </c>
    </row>
    <row r="369" spans="1:6">
      <c r="B369" s="139">
        <v>461</v>
      </c>
      <c r="D369" s="127" t="s">
        <v>336</v>
      </c>
      <c r="E369" s="140" t="s">
        <v>602</v>
      </c>
    </row>
    <row r="370" spans="1:6">
      <c r="B370" s="139">
        <v>462</v>
      </c>
      <c r="D370" s="127" t="s">
        <v>337</v>
      </c>
      <c r="E370" s="140" t="s">
        <v>870</v>
      </c>
    </row>
    <row r="371" spans="1:6">
      <c r="B371" s="139">
        <v>463</v>
      </c>
      <c r="D371" s="127" t="s">
        <v>338</v>
      </c>
      <c r="E371" s="140" t="s">
        <v>871</v>
      </c>
    </row>
    <row r="372" spans="1:6" ht="39.6">
      <c r="B372" s="139">
        <v>464</v>
      </c>
      <c r="D372" s="127" t="s">
        <v>339</v>
      </c>
      <c r="E372" s="140" t="s">
        <v>872</v>
      </c>
    </row>
    <row r="373" spans="1:6">
      <c r="B373" s="139">
        <v>465</v>
      </c>
      <c r="D373" s="127" t="s">
        <v>340</v>
      </c>
      <c r="E373" s="140" t="s">
        <v>873</v>
      </c>
    </row>
    <row r="374" spans="1:6">
      <c r="A374" s="129"/>
      <c r="B374" s="139">
        <v>466</v>
      </c>
      <c r="C374" s="138" t="s">
        <v>532</v>
      </c>
      <c r="D374" s="128" t="s">
        <v>926</v>
      </c>
      <c r="E374" s="128" t="s">
        <v>984</v>
      </c>
      <c r="F374" s="130"/>
    </row>
    <row r="375" spans="1:6">
      <c r="A375" s="129"/>
      <c r="B375" s="139">
        <v>467</v>
      </c>
      <c r="C375" s="138" t="s">
        <v>532</v>
      </c>
      <c r="D375" s="128" t="s">
        <v>985</v>
      </c>
      <c r="E375" s="128" t="s">
        <v>927</v>
      </c>
      <c r="F375" s="130"/>
    </row>
    <row r="376" spans="1:6" ht="14.4">
      <c r="B376" s="139">
        <v>468</v>
      </c>
      <c r="D376" s="127" t="s">
        <v>341</v>
      </c>
      <c r="E376" s="168" t="s">
        <v>933</v>
      </c>
    </row>
    <row r="377" spans="1:6">
      <c r="B377" s="139">
        <v>469</v>
      </c>
      <c r="D377" s="127" t="s">
        <v>342</v>
      </c>
      <c r="E377" s="140" t="s">
        <v>874</v>
      </c>
    </row>
    <row r="378" spans="1:6">
      <c r="B378" s="139">
        <v>470</v>
      </c>
      <c r="D378" s="127" t="s">
        <v>343</v>
      </c>
      <c r="E378" s="140" t="s">
        <v>603</v>
      </c>
    </row>
    <row r="379" spans="1:6" ht="26.4">
      <c r="B379" s="139">
        <v>471</v>
      </c>
      <c r="D379" s="127" t="s">
        <v>344</v>
      </c>
      <c r="E379" s="140" t="s">
        <v>875</v>
      </c>
    </row>
    <row r="380" spans="1:6">
      <c r="B380" s="139">
        <v>472</v>
      </c>
      <c r="D380" s="127" t="s">
        <v>345</v>
      </c>
      <c r="E380" s="140" t="s">
        <v>604</v>
      </c>
    </row>
    <row r="381" spans="1:6" ht="26.4">
      <c r="B381" s="139">
        <v>473</v>
      </c>
      <c r="D381" s="127" t="s">
        <v>346</v>
      </c>
      <c r="E381" s="140" t="s">
        <v>876</v>
      </c>
    </row>
    <row r="382" spans="1:6">
      <c r="B382" s="139">
        <v>474</v>
      </c>
      <c r="D382" s="127" t="s">
        <v>347</v>
      </c>
      <c r="E382" s="140" t="s">
        <v>605</v>
      </c>
    </row>
    <row r="383" spans="1:6">
      <c r="B383" s="139">
        <v>475</v>
      </c>
      <c r="D383" s="127" t="s">
        <v>348</v>
      </c>
      <c r="E383" s="140" t="s">
        <v>877</v>
      </c>
    </row>
    <row r="384" spans="1:6">
      <c r="B384" s="139">
        <v>476</v>
      </c>
      <c r="D384" s="127" t="s">
        <v>349</v>
      </c>
      <c r="E384" s="140" t="s">
        <v>878</v>
      </c>
    </row>
    <row r="385" spans="2:5">
      <c r="B385" s="139">
        <v>477</v>
      </c>
      <c r="D385" s="127" t="s">
        <v>350</v>
      </c>
      <c r="E385" s="140" t="s">
        <v>879</v>
      </c>
    </row>
    <row r="386" spans="2:5">
      <c r="B386" s="139">
        <v>478</v>
      </c>
      <c r="D386" s="127" t="s">
        <v>351</v>
      </c>
      <c r="E386" s="140" t="s">
        <v>880</v>
      </c>
    </row>
    <row r="387" spans="2:5">
      <c r="B387" s="139">
        <v>479</v>
      </c>
      <c r="D387" s="127" t="s">
        <v>352</v>
      </c>
      <c r="E387" s="140" t="s">
        <v>881</v>
      </c>
    </row>
    <row r="388" spans="2:5">
      <c r="B388" s="139">
        <v>480</v>
      </c>
      <c r="D388" s="127" t="s">
        <v>353</v>
      </c>
      <c r="E388" s="140" t="s">
        <v>353</v>
      </c>
    </row>
    <row r="389" spans="2:5">
      <c r="B389" s="139">
        <v>481</v>
      </c>
      <c r="D389" s="127" t="s">
        <v>524</v>
      </c>
      <c r="E389" s="140" t="s">
        <v>882</v>
      </c>
    </row>
    <row r="390" spans="2:5" ht="26.4">
      <c r="B390" s="139">
        <v>482</v>
      </c>
      <c r="D390" s="127" t="s">
        <v>354</v>
      </c>
      <c r="E390" s="140" t="s">
        <v>883</v>
      </c>
    </row>
    <row r="391" spans="2:5">
      <c r="B391" s="139">
        <v>483</v>
      </c>
      <c r="D391" s="127" t="s">
        <v>355</v>
      </c>
      <c r="E391" s="140" t="s">
        <v>355</v>
      </c>
    </row>
    <row r="392" spans="2:5">
      <c r="B392" s="139">
        <v>484</v>
      </c>
      <c r="D392" s="127" t="s">
        <v>525</v>
      </c>
    </row>
    <row r="393" spans="2:5">
      <c r="B393" s="139">
        <v>485</v>
      </c>
      <c r="D393" s="127" t="s">
        <v>356</v>
      </c>
      <c r="E393" s="140" t="s">
        <v>606</v>
      </c>
    </row>
    <row r="394" spans="2:5">
      <c r="B394" s="139">
        <v>486</v>
      </c>
      <c r="D394" s="127" t="s">
        <v>526</v>
      </c>
      <c r="E394" s="140" t="s">
        <v>607</v>
      </c>
    </row>
    <row r="395" spans="2:5">
      <c r="B395" s="139">
        <v>487</v>
      </c>
      <c r="D395" s="127" t="s">
        <v>527</v>
      </c>
      <c r="E395" s="140" t="s">
        <v>608</v>
      </c>
    </row>
    <row r="396" spans="2:5">
      <c r="B396" s="139">
        <v>488</v>
      </c>
      <c r="D396" s="127" t="s">
        <v>528</v>
      </c>
      <c r="E396" s="140" t="s">
        <v>607</v>
      </c>
    </row>
    <row r="397" spans="2:5">
      <c r="B397" s="139">
        <v>489</v>
      </c>
      <c r="D397" s="127" t="s">
        <v>357</v>
      </c>
      <c r="E397" s="140" t="s">
        <v>609</v>
      </c>
    </row>
    <row r="398" spans="2:5">
      <c r="B398" s="139">
        <v>490</v>
      </c>
      <c r="D398" s="127" t="s">
        <v>358</v>
      </c>
      <c r="E398" s="140" t="s">
        <v>884</v>
      </c>
    </row>
    <row r="399" spans="2:5">
      <c r="B399" s="139">
        <v>491</v>
      </c>
      <c r="D399" s="127" t="s">
        <v>359</v>
      </c>
      <c r="E399" s="140" t="s">
        <v>885</v>
      </c>
    </row>
    <row r="400" spans="2:5">
      <c r="B400" s="139">
        <v>492</v>
      </c>
      <c r="D400" s="127" t="s">
        <v>360</v>
      </c>
      <c r="E400" s="140" t="s">
        <v>610</v>
      </c>
    </row>
    <row r="401" spans="1:6">
      <c r="B401" s="139">
        <v>493</v>
      </c>
      <c r="D401" s="127" t="s">
        <v>361</v>
      </c>
    </row>
    <row r="402" spans="1:6">
      <c r="B402" s="139">
        <v>494</v>
      </c>
      <c r="D402" s="127" t="s">
        <v>362</v>
      </c>
    </row>
    <row r="403" spans="1:6">
      <c r="B403" s="139">
        <v>495</v>
      </c>
      <c r="D403" s="127" t="s">
        <v>363</v>
      </c>
      <c r="E403" s="140" t="s">
        <v>886</v>
      </c>
    </row>
    <row r="404" spans="1:6">
      <c r="B404" s="139">
        <v>496</v>
      </c>
      <c r="D404" s="127" t="s">
        <v>529</v>
      </c>
      <c r="E404" s="140" t="s">
        <v>887</v>
      </c>
    </row>
    <row r="405" spans="1:6">
      <c r="B405" s="139">
        <v>497</v>
      </c>
      <c r="D405" s="127" t="s">
        <v>364</v>
      </c>
      <c r="E405" s="140" t="s">
        <v>888</v>
      </c>
    </row>
    <row r="406" spans="1:6">
      <c r="B406" s="139">
        <v>498</v>
      </c>
      <c r="D406" s="127" t="s">
        <v>452</v>
      </c>
      <c r="E406" s="140" t="s">
        <v>889</v>
      </c>
    </row>
    <row r="407" spans="1:6">
      <c r="B407" s="139">
        <v>499</v>
      </c>
      <c r="D407" s="127" t="s">
        <v>365</v>
      </c>
      <c r="E407" s="140" t="s">
        <v>888</v>
      </c>
    </row>
    <row r="408" spans="1:6" ht="28.8">
      <c r="A408" s="134"/>
      <c r="B408" s="139">
        <v>500</v>
      </c>
      <c r="C408" s="134"/>
      <c r="D408" s="134" t="s">
        <v>986</v>
      </c>
      <c r="E408" s="134" t="s">
        <v>987</v>
      </c>
      <c r="F408" s="135"/>
    </row>
    <row r="409" spans="1:6">
      <c r="B409" s="139">
        <v>501</v>
      </c>
      <c r="D409" s="127" t="s">
        <v>366</v>
      </c>
      <c r="E409" s="140" t="s">
        <v>366</v>
      </c>
    </row>
    <row r="410" spans="1:6">
      <c r="B410" s="139">
        <v>502</v>
      </c>
      <c r="D410" s="127" t="s">
        <v>367</v>
      </c>
      <c r="E410" s="140" t="s">
        <v>890</v>
      </c>
    </row>
    <row r="411" spans="1:6">
      <c r="B411" s="139">
        <v>503</v>
      </c>
      <c r="D411" s="127" t="s">
        <v>368</v>
      </c>
      <c r="E411" s="140" t="s">
        <v>891</v>
      </c>
    </row>
    <row r="412" spans="1:6">
      <c r="B412" s="139">
        <v>504</v>
      </c>
      <c r="D412" s="127" t="s">
        <v>530</v>
      </c>
      <c r="E412" s="140" t="s">
        <v>892</v>
      </c>
    </row>
    <row r="413" spans="1:6">
      <c r="B413" s="139">
        <v>505</v>
      </c>
      <c r="D413" s="127" t="s">
        <v>369</v>
      </c>
      <c r="E413" s="140" t="s">
        <v>893</v>
      </c>
    </row>
    <row r="414" spans="1:6">
      <c r="B414" s="139">
        <v>506</v>
      </c>
      <c r="D414" s="127" t="s">
        <v>370</v>
      </c>
      <c r="E414" s="140" t="s">
        <v>894</v>
      </c>
    </row>
    <row r="415" spans="1:6">
      <c r="B415" s="139">
        <v>507</v>
      </c>
      <c r="D415" s="127" t="s">
        <v>371</v>
      </c>
      <c r="E415" s="140" t="s">
        <v>895</v>
      </c>
    </row>
    <row r="416" spans="1:6">
      <c r="B416" s="139">
        <v>508</v>
      </c>
      <c r="D416" s="127" t="s">
        <v>531</v>
      </c>
      <c r="E416" s="140" t="s">
        <v>896</v>
      </c>
    </row>
    <row r="417" spans="1:6" ht="26.4">
      <c r="B417" s="139">
        <v>509</v>
      </c>
      <c r="D417" s="127" t="s">
        <v>372</v>
      </c>
      <c r="E417" s="140" t="s">
        <v>897</v>
      </c>
    </row>
    <row r="418" spans="1:6">
      <c r="B418" s="139">
        <v>510</v>
      </c>
      <c r="D418" s="127" t="s">
        <v>373</v>
      </c>
      <c r="E418" s="140" t="s">
        <v>895</v>
      </c>
    </row>
    <row r="419" spans="1:6">
      <c r="B419" s="139">
        <v>511</v>
      </c>
      <c r="D419" s="127" t="s">
        <v>374</v>
      </c>
      <c r="E419" s="140" t="s">
        <v>898</v>
      </c>
    </row>
    <row r="420" spans="1:6">
      <c r="B420" s="139">
        <v>512</v>
      </c>
      <c r="D420" s="127" t="s">
        <v>375</v>
      </c>
      <c r="E420" s="140" t="s">
        <v>899</v>
      </c>
    </row>
    <row r="421" spans="1:6">
      <c r="B421" s="139">
        <v>513</v>
      </c>
      <c r="D421" s="127" t="s">
        <v>376</v>
      </c>
      <c r="E421" s="140" t="s">
        <v>900</v>
      </c>
    </row>
    <row r="422" spans="1:6" s="134" customFormat="1" ht="13.8">
      <c r="A422" s="126"/>
      <c r="B422" s="139">
        <v>514</v>
      </c>
      <c r="C422" s="136"/>
      <c r="D422" s="127" t="s">
        <v>377</v>
      </c>
      <c r="E422" s="140" t="s">
        <v>901</v>
      </c>
      <c r="F422" s="126"/>
    </row>
    <row r="423" spans="1:6" s="134" customFormat="1" ht="13.8">
      <c r="A423" s="126"/>
      <c r="B423" s="139">
        <v>515</v>
      </c>
      <c r="C423" s="136"/>
      <c r="D423" s="127" t="s">
        <v>378</v>
      </c>
      <c r="E423" s="140" t="s">
        <v>902</v>
      </c>
      <c r="F423" s="126"/>
    </row>
    <row r="424" spans="1:6" s="129" customFormat="1">
      <c r="A424" s="126"/>
      <c r="B424" s="139">
        <v>516</v>
      </c>
      <c r="C424" s="136"/>
      <c r="D424" s="127" t="s">
        <v>379</v>
      </c>
      <c r="E424" s="140" t="s">
        <v>894</v>
      </c>
      <c r="F424" s="126"/>
    </row>
    <row r="425" spans="1:6" s="129" customFormat="1" ht="26.4">
      <c r="A425" s="126"/>
      <c r="B425" s="139">
        <v>517</v>
      </c>
      <c r="C425" s="136"/>
      <c r="D425" s="127" t="s">
        <v>380</v>
      </c>
      <c r="E425" s="140" t="s">
        <v>903</v>
      </c>
      <c r="F425" s="126"/>
    </row>
    <row r="426" spans="1:6" s="129" customFormat="1" ht="39.6">
      <c r="A426" s="126"/>
      <c r="B426" s="139">
        <v>518</v>
      </c>
      <c r="C426" s="136"/>
      <c r="D426" s="127" t="s">
        <v>381</v>
      </c>
      <c r="E426" s="140" t="s">
        <v>904</v>
      </c>
      <c r="F426" s="126"/>
    </row>
    <row r="427" spans="1:6" s="129" customFormat="1">
      <c r="A427" s="126"/>
      <c r="B427" s="139">
        <v>519</v>
      </c>
      <c r="C427" s="136"/>
      <c r="D427" s="127" t="s">
        <v>382</v>
      </c>
      <c r="E427" s="140" t="s">
        <v>905</v>
      </c>
      <c r="F427" s="126"/>
    </row>
    <row r="428" spans="1:6" s="129" customFormat="1" ht="39.6">
      <c r="A428" s="126"/>
      <c r="B428" s="139">
        <v>520</v>
      </c>
      <c r="C428" s="136"/>
      <c r="D428" s="127" t="s">
        <v>383</v>
      </c>
      <c r="E428" s="140" t="s">
        <v>906</v>
      </c>
      <c r="F428" s="126"/>
    </row>
    <row r="429" spans="1:6" s="129" customFormat="1">
      <c r="A429" s="126"/>
      <c r="B429" s="139">
        <v>521</v>
      </c>
      <c r="C429" s="136"/>
      <c r="D429" s="127" t="s">
        <v>384</v>
      </c>
      <c r="E429" s="140" t="s">
        <v>907</v>
      </c>
      <c r="F429" s="126"/>
    </row>
    <row r="430" spans="1:6" s="129" customFormat="1">
      <c r="A430" s="126"/>
      <c r="B430" s="139">
        <v>522</v>
      </c>
      <c r="C430" s="136"/>
      <c r="D430" s="127" t="s">
        <v>385</v>
      </c>
      <c r="E430" s="140" t="s">
        <v>908</v>
      </c>
      <c r="F430" s="126"/>
    </row>
    <row r="431" spans="1:6" s="129" customFormat="1">
      <c r="A431" s="126"/>
      <c r="B431" s="139">
        <v>523</v>
      </c>
      <c r="C431" s="136"/>
      <c r="D431" s="127" t="s">
        <v>386</v>
      </c>
      <c r="E431" s="140" t="s">
        <v>909</v>
      </c>
      <c r="F431" s="126"/>
    </row>
    <row r="432" spans="1:6" s="129" customFormat="1">
      <c r="A432" s="126"/>
      <c r="B432" s="139">
        <v>524</v>
      </c>
      <c r="C432" s="136"/>
      <c r="D432" s="127" t="s">
        <v>387</v>
      </c>
      <c r="E432" s="140" t="s">
        <v>910</v>
      </c>
      <c r="F432" s="126"/>
    </row>
    <row r="433" spans="1:6" s="129" customFormat="1">
      <c r="A433" s="126"/>
      <c r="B433" s="139">
        <v>525</v>
      </c>
      <c r="C433" s="136"/>
      <c r="D433" s="127" t="s">
        <v>388</v>
      </c>
      <c r="E433" s="140" t="s">
        <v>911</v>
      </c>
      <c r="F433" s="126"/>
    </row>
    <row r="434" spans="1:6" s="129" customFormat="1">
      <c r="A434" s="126"/>
      <c r="B434" s="139">
        <v>526</v>
      </c>
      <c r="C434" s="136"/>
      <c r="D434" s="127" t="s">
        <v>389</v>
      </c>
      <c r="E434" s="140" t="s">
        <v>912</v>
      </c>
      <c r="F434" s="126"/>
    </row>
    <row r="435" spans="1:6">
      <c r="B435" s="139">
        <v>527</v>
      </c>
      <c r="D435" s="127" t="s">
        <v>989</v>
      </c>
      <c r="E435" s="140" t="s">
        <v>1001</v>
      </c>
    </row>
  </sheetData>
  <sortState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H121"/>
  <sheetViews>
    <sheetView topLeftCell="A94" zoomScale="85" zoomScaleNormal="85" workbookViewId="0">
      <selection activeCell="H177" sqref="H177"/>
    </sheetView>
  </sheetViews>
  <sheetFormatPr defaultColWidth="9.69921875" defaultRowHeight="13.8"/>
  <cols>
    <col min="1" max="1" width="9.69921875" style="93"/>
    <col min="2" max="2" width="9.69921875" style="94"/>
    <col min="3" max="4" width="9.69921875" style="95"/>
    <col min="5" max="5" width="9.69921875" style="94"/>
    <col min="6" max="16384" width="9.69921875" style="92"/>
  </cols>
  <sheetData>
    <row r="1" spans="1:8">
      <c r="A1" s="89" t="s">
        <v>391</v>
      </c>
      <c r="B1" s="89" t="s">
        <v>392</v>
      </c>
      <c r="C1" s="90" t="s">
        <v>393</v>
      </c>
      <c r="D1" s="90" t="s">
        <v>394</v>
      </c>
      <c r="E1" s="89" t="s">
        <v>395</v>
      </c>
      <c r="F1" s="91" t="s">
        <v>396</v>
      </c>
      <c r="G1" s="91" t="s">
        <v>397</v>
      </c>
      <c r="H1" s="91" t="s">
        <v>398</v>
      </c>
    </row>
    <row r="2" spans="1:8">
      <c r="A2" s="93" t="s">
        <v>990</v>
      </c>
      <c r="B2" s="94" t="s">
        <v>0</v>
      </c>
      <c r="C2" s="95" t="s">
        <v>995</v>
      </c>
      <c r="D2" s="95">
        <v>43375</v>
      </c>
      <c r="E2" s="96">
        <v>43376</v>
      </c>
      <c r="F2" s="95">
        <v>43375</v>
      </c>
      <c r="G2" s="95">
        <v>43379</v>
      </c>
      <c r="H2" s="92">
        <v>1</v>
      </c>
    </row>
    <row r="3" spans="1:8">
      <c r="A3" s="93" t="s">
        <v>449</v>
      </c>
      <c r="B3" s="94" t="s">
        <v>427</v>
      </c>
      <c r="C3" s="95" t="s">
        <v>995</v>
      </c>
      <c r="D3" s="95">
        <v>43379</v>
      </c>
      <c r="E3" s="96">
        <v>43385</v>
      </c>
      <c r="F3" s="95">
        <v>43375</v>
      </c>
      <c r="G3" s="95">
        <v>43379</v>
      </c>
      <c r="H3" s="92">
        <v>0</v>
      </c>
    </row>
    <row r="4" spans="1:8">
      <c r="A4" s="93" t="s">
        <v>449</v>
      </c>
      <c r="B4" s="94" t="s">
        <v>427</v>
      </c>
      <c r="C4" s="95" t="s">
        <v>991</v>
      </c>
      <c r="D4" s="95">
        <v>43379</v>
      </c>
      <c r="E4" s="96">
        <v>43385</v>
      </c>
      <c r="F4" s="95">
        <v>43375</v>
      </c>
      <c r="G4" s="95">
        <v>43379</v>
      </c>
      <c r="H4" s="92">
        <v>0</v>
      </c>
    </row>
    <row r="5" spans="1:8">
      <c r="A5" s="93" t="s">
        <v>449</v>
      </c>
      <c r="B5" s="94" t="s">
        <v>427</v>
      </c>
      <c r="C5" s="95" t="s">
        <v>1067</v>
      </c>
      <c r="D5" s="95">
        <v>43379</v>
      </c>
      <c r="E5" s="96">
        <v>43385</v>
      </c>
      <c r="F5" s="95">
        <v>43375</v>
      </c>
      <c r="G5" s="95">
        <v>43379</v>
      </c>
      <c r="H5" s="92">
        <v>0</v>
      </c>
    </row>
    <row r="6" spans="1:8">
      <c r="A6" s="93" t="s">
        <v>449</v>
      </c>
      <c r="B6" s="94" t="s">
        <v>427</v>
      </c>
      <c r="C6" s="95" t="s">
        <v>995</v>
      </c>
      <c r="D6" s="95">
        <v>43379</v>
      </c>
      <c r="E6" s="96">
        <v>43385</v>
      </c>
      <c r="F6" s="95">
        <v>43380</v>
      </c>
      <c r="G6" s="95">
        <v>43386</v>
      </c>
      <c r="H6" s="92">
        <v>1.3333333333333333</v>
      </c>
    </row>
    <row r="7" spans="1:8">
      <c r="A7" s="93" t="s">
        <v>449</v>
      </c>
      <c r="B7" s="94" t="s">
        <v>427</v>
      </c>
      <c r="C7" s="95" t="s">
        <v>991</v>
      </c>
      <c r="D7" s="95">
        <v>43379</v>
      </c>
      <c r="E7" s="96">
        <v>43385</v>
      </c>
      <c r="F7" s="95">
        <v>43380</v>
      </c>
      <c r="G7" s="95">
        <v>43386</v>
      </c>
      <c r="H7" s="92">
        <v>1.3333333333333333</v>
      </c>
    </row>
    <row r="8" spans="1:8">
      <c r="A8" s="93" t="s">
        <v>449</v>
      </c>
      <c r="B8" s="94" t="s">
        <v>427</v>
      </c>
      <c r="C8" s="95" t="s">
        <v>1067</v>
      </c>
      <c r="D8" s="95">
        <v>43379</v>
      </c>
      <c r="E8" s="96">
        <v>43385</v>
      </c>
      <c r="F8" s="95">
        <v>43380</v>
      </c>
      <c r="G8" s="95">
        <v>43386</v>
      </c>
      <c r="H8" s="92">
        <v>1.3333333333333333</v>
      </c>
    </row>
    <row r="9" spans="1:8">
      <c r="A9" s="93" t="s">
        <v>450</v>
      </c>
      <c r="B9" s="94" t="s">
        <v>438</v>
      </c>
      <c r="C9" s="95" t="s">
        <v>995</v>
      </c>
      <c r="D9" s="95">
        <v>43397</v>
      </c>
      <c r="E9" s="96">
        <v>43397</v>
      </c>
      <c r="F9" s="95">
        <v>43394</v>
      </c>
      <c r="G9" s="95">
        <v>43400</v>
      </c>
      <c r="H9" s="92">
        <v>1</v>
      </c>
    </row>
    <row r="10" spans="1:8">
      <c r="A10" s="93" t="s">
        <v>431</v>
      </c>
      <c r="B10" s="94" t="s">
        <v>439</v>
      </c>
      <c r="C10" s="95" t="s">
        <v>991</v>
      </c>
      <c r="D10" s="95">
        <v>43400</v>
      </c>
      <c r="E10" s="96">
        <v>43404</v>
      </c>
      <c r="F10" s="95">
        <v>43394</v>
      </c>
      <c r="G10" s="95">
        <v>43400</v>
      </c>
      <c r="H10" s="92">
        <v>0</v>
      </c>
    </row>
    <row r="11" spans="1:8">
      <c r="A11" s="93" t="s">
        <v>431</v>
      </c>
      <c r="B11" s="94" t="s">
        <v>439</v>
      </c>
      <c r="C11" s="95" t="s">
        <v>991</v>
      </c>
      <c r="D11" s="95">
        <v>43400</v>
      </c>
      <c r="E11" s="96">
        <v>43404</v>
      </c>
      <c r="F11" s="95">
        <v>43401</v>
      </c>
      <c r="G11" s="95">
        <v>43407</v>
      </c>
      <c r="H11" s="92">
        <v>3</v>
      </c>
    </row>
    <row r="12" spans="1:8">
      <c r="A12" s="93" t="s">
        <v>432</v>
      </c>
      <c r="B12" s="94" t="s">
        <v>440</v>
      </c>
      <c r="C12" s="95" t="s">
        <v>991</v>
      </c>
      <c r="D12" s="95">
        <v>43432</v>
      </c>
      <c r="E12" s="96">
        <v>43432</v>
      </c>
      <c r="F12" s="95">
        <v>43429</v>
      </c>
      <c r="G12" s="95">
        <v>43435</v>
      </c>
      <c r="H12" s="92">
        <v>1</v>
      </c>
    </row>
    <row r="13" spans="1:8">
      <c r="A13" s="93" t="s">
        <v>433</v>
      </c>
      <c r="B13" s="94" t="s">
        <v>441</v>
      </c>
      <c r="C13" s="95" t="s">
        <v>1129</v>
      </c>
      <c r="D13" s="95">
        <v>43468</v>
      </c>
      <c r="E13" s="96">
        <v>43493</v>
      </c>
      <c r="F13" s="95">
        <v>43464</v>
      </c>
      <c r="G13" s="95">
        <v>43470</v>
      </c>
      <c r="H13" s="92">
        <v>2</v>
      </c>
    </row>
    <row r="14" spans="1:8">
      <c r="A14" s="93" t="s">
        <v>433</v>
      </c>
      <c r="B14" s="94" t="s">
        <v>441</v>
      </c>
      <c r="C14" s="95" t="s">
        <v>1129</v>
      </c>
      <c r="D14" s="95">
        <v>43468</v>
      </c>
      <c r="E14" s="96">
        <v>43493</v>
      </c>
      <c r="F14" s="95">
        <v>43471</v>
      </c>
      <c r="G14" s="95">
        <v>43477</v>
      </c>
      <c r="H14" s="92">
        <v>5</v>
      </c>
    </row>
    <row r="15" spans="1:8">
      <c r="A15" s="93" t="s">
        <v>433</v>
      </c>
      <c r="B15" s="94" t="s">
        <v>441</v>
      </c>
      <c r="C15" s="95" t="s">
        <v>1129</v>
      </c>
      <c r="D15" s="95">
        <v>43468</v>
      </c>
      <c r="E15" s="96">
        <v>43493</v>
      </c>
      <c r="F15" s="95">
        <v>43478</v>
      </c>
      <c r="G15" s="95">
        <v>43484</v>
      </c>
      <c r="H15" s="92">
        <v>5</v>
      </c>
    </row>
    <row r="16" spans="1:8">
      <c r="A16" s="93" t="s">
        <v>433</v>
      </c>
      <c r="B16" s="94" t="s">
        <v>441</v>
      </c>
      <c r="C16" s="95" t="s">
        <v>1129</v>
      </c>
      <c r="D16" s="95">
        <v>43468</v>
      </c>
      <c r="E16" s="96">
        <v>43493</v>
      </c>
      <c r="F16" s="95">
        <v>43485</v>
      </c>
      <c r="G16" s="95">
        <v>43491</v>
      </c>
      <c r="H16" s="92">
        <v>5</v>
      </c>
    </row>
    <row r="17" spans="1:8">
      <c r="A17" s="93" t="s">
        <v>433</v>
      </c>
      <c r="B17" s="94" t="s">
        <v>441</v>
      </c>
      <c r="C17" s="95" t="s">
        <v>1129</v>
      </c>
      <c r="D17" s="95">
        <v>43468</v>
      </c>
      <c r="E17" s="96">
        <v>43493</v>
      </c>
      <c r="F17" s="95">
        <v>43492</v>
      </c>
      <c r="G17" s="95">
        <v>43498</v>
      </c>
      <c r="H17" s="92">
        <v>1</v>
      </c>
    </row>
    <row r="18" spans="1:8">
      <c r="A18" s="93" t="s">
        <v>434</v>
      </c>
      <c r="B18" s="94" t="s">
        <v>1003</v>
      </c>
      <c r="C18" s="95" t="s">
        <v>1129</v>
      </c>
      <c r="D18" s="95">
        <v>43397</v>
      </c>
      <c r="E18" s="96">
        <v>43397</v>
      </c>
      <c r="F18" s="95">
        <v>43394</v>
      </c>
      <c r="G18" s="95">
        <v>43400</v>
      </c>
      <c r="H18" s="92">
        <v>1</v>
      </c>
    </row>
    <row r="19" spans="1:8">
      <c r="A19" s="93" t="s">
        <v>435</v>
      </c>
      <c r="B19" s="94" t="s">
        <v>442</v>
      </c>
      <c r="C19" s="95" t="s">
        <v>995</v>
      </c>
      <c r="D19" s="95">
        <v>43501</v>
      </c>
      <c r="E19" s="96">
        <v>43505</v>
      </c>
      <c r="F19" s="95">
        <v>43499</v>
      </c>
      <c r="G19" s="95">
        <v>43505</v>
      </c>
      <c r="H19" s="92">
        <v>2</v>
      </c>
    </row>
    <row r="20" spans="1:8">
      <c r="A20" s="93" t="s">
        <v>436</v>
      </c>
      <c r="B20" s="94" t="s">
        <v>443</v>
      </c>
      <c r="C20" s="95" t="s">
        <v>995</v>
      </c>
      <c r="D20" s="95">
        <v>43508</v>
      </c>
      <c r="E20" s="96">
        <v>43526</v>
      </c>
      <c r="F20" s="95">
        <v>43506</v>
      </c>
      <c r="G20" s="95">
        <v>43512</v>
      </c>
      <c r="H20" s="92">
        <v>4</v>
      </c>
    </row>
    <row r="21" spans="1:8">
      <c r="A21" s="93" t="s">
        <v>436</v>
      </c>
      <c r="B21" s="94" t="s">
        <v>443</v>
      </c>
      <c r="C21" s="95" t="s">
        <v>995</v>
      </c>
      <c r="D21" s="95">
        <v>43508</v>
      </c>
      <c r="E21" s="96">
        <v>43526</v>
      </c>
      <c r="F21" s="95">
        <v>43513</v>
      </c>
      <c r="G21" s="95">
        <v>43519</v>
      </c>
      <c r="H21" s="92">
        <v>5</v>
      </c>
    </row>
    <row r="22" spans="1:8">
      <c r="A22" s="93" t="s">
        <v>436</v>
      </c>
      <c r="B22" s="94" t="s">
        <v>443</v>
      </c>
      <c r="C22" s="95" t="s">
        <v>995</v>
      </c>
      <c r="D22" s="95">
        <v>43508</v>
      </c>
      <c r="E22" s="96">
        <v>43526</v>
      </c>
      <c r="F22" s="95">
        <v>43520</v>
      </c>
      <c r="G22" s="95">
        <v>43526</v>
      </c>
      <c r="H22" s="92">
        <v>4</v>
      </c>
    </row>
    <row r="23" spans="1:8">
      <c r="A23" s="93" t="s">
        <v>437</v>
      </c>
      <c r="B23" s="94" t="s">
        <v>444</v>
      </c>
      <c r="C23" s="95" t="s">
        <v>995</v>
      </c>
      <c r="D23" s="95">
        <v>43526</v>
      </c>
      <c r="E23" s="96">
        <v>43526</v>
      </c>
      <c r="F23" s="95">
        <v>43520</v>
      </c>
      <c r="G23" s="95">
        <v>43526</v>
      </c>
      <c r="H23" s="92">
        <v>0</v>
      </c>
    </row>
    <row r="24" spans="1:8">
      <c r="A24" s="93" t="s">
        <v>451</v>
      </c>
      <c r="B24" s="94" t="s">
        <v>445</v>
      </c>
      <c r="C24" s="95" t="s">
        <v>995</v>
      </c>
      <c r="D24" s="95">
        <v>43526</v>
      </c>
      <c r="E24" s="96">
        <v>43526</v>
      </c>
      <c r="F24" s="95">
        <v>43520</v>
      </c>
      <c r="G24" s="95">
        <v>43526</v>
      </c>
      <c r="H24" s="92">
        <v>0</v>
      </c>
    </row>
    <row r="25" spans="1:8">
      <c r="A25" s="93" t="s">
        <v>996</v>
      </c>
      <c r="B25" s="94" t="s">
        <v>446</v>
      </c>
      <c r="C25" s="95" t="s">
        <v>1068</v>
      </c>
      <c r="D25" s="95">
        <v>43379</v>
      </c>
      <c r="E25" s="96">
        <v>43397</v>
      </c>
      <c r="F25" s="95">
        <v>43375</v>
      </c>
      <c r="G25" s="95">
        <v>43379</v>
      </c>
      <c r="H25" s="92">
        <v>0</v>
      </c>
    </row>
    <row r="26" spans="1:8">
      <c r="A26" s="93" t="s">
        <v>996</v>
      </c>
      <c r="B26" s="94" t="s">
        <v>446</v>
      </c>
      <c r="C26" s="95" t="s">
        <v>1055</v>
      </c>
      <c r="D26" s="95">
        <v>43379</v>
      </c>
      <c r="E26" s="96">
        <v>43397</v>
      </c>
      <c r="F26" s="95">
        <v>43375</v>
      </c>
      <c r="G26" s="95">
        <v>43379</v>
      </c>
      <c r="H26" s="92">
        <v>0</v>
      </c>
    </row>
    <row r="27" spans="1:8">
      <c r="A27" s="93" t="s">
        <v>996</v>
      </c>
      <c r="B27" s="94" t="s">
        <v>446</v>
      </c>
      <c r="C27" s="95" t="s">
        <v>1069</v>
      </c>
      <c r="D27" s="95">
        <v>43379</v>
      </c>
      <c r="E27" s="96">
        <v>43397</v>
      </c>
      <c r="F27" s="95">
        <v>43375</v>
      </c>
      <c r="G27" s="95">
        <v>43379</v>
      </c>
      <c r="H27" s="92">
        <v>0</v>
      </c>
    </row>
    <row r="28" spans="1:8">
      <c r="A28" s="93" t="s">
        <v>996</v>
      </c>
      <c r="B28" s="94" t="s">
        <v>446</v>
      </c>
      <c r="C28" s="95" t="s">
        <v>1068</v>
      </c>
      <c r="D28" s="95">
        <v>43379</v>
      </c>
      <c r="E28" s="96">
        <v>43397</v>
      </c>
      <c r="F28" s="95">
        <v>43380</v>
      </c>
      <c r="G28" s="95">
        <v>43386</v>
      </c>
      <c r="H28" s="92">
        <v>1.3333333333333333</v>
      </c>
    </row>
    <row r="29" spans="1:8">
      <c r="A29" s="93" t="s">
        <v>996</v>
      </c>
      <c r="B29" s="94" t="s">
        <v>446</v>
      </c>
      <c r="C29" s="95" t="s">
        <v>1055</v>
      </c>
      <c r="D29" s="95">
        <v>43379</v>
      </c>
      <c r="E29" s="96">
        <v>43397</v>
      </c>
      <c r="F29" s="95">
        <v>43380</v>
      </c>
      <c r="G29" s="95">
        <v>43386</v>
      </c>
      <c r="H29" s="92">
        <v>1.3333333333333333</v>
      </c>
    </row>
    <row r="30" spans="1:8">
      <c r="A30" s="93" t="s">
        <v>996</v>
      </c>
      <c r="B30" s="94" t="s">
        <v>446</v>
      </c>
      <c r="C30" s="95" t="s">
        <v>1069</v>
      </c>
      <c r="D30" s="95">
        <v>43379</v>
      </c>
      <c r="E30" s="96">
        <v>43397</v>
      </c>
      <c r="F30" s="95">
        <v>43380</v>
      </c>
      <c r="G30" s="95">
        <v>43386</v>
      </c>
      <c r="H30" s="92">
        <v>1.3333333333333333</v>
      </c>
    </row>
    <row r="31" spans="1:8">
      <c r="A31" s="93" t="s">
        <v>996</v>
      </c>
      <c r="B31" s="94" t="s">
        <v>446</v>
      </c>
      <c r="C31" s="95" t="s">
        <v>1068</v>
      </c>
      <c r="D31" s="95">
        <v>43379</v>
      </c>
      <c r="E31" s="96">
        <v>43397</v>
      </c>
      <c r="F31" s="95">
        <v>43387</v>
      </c>
      <c r="G31" s="95">
        <v>43393</v>
      </c>
      <c r="H31" s="92">
        <v>1.6666666666666667</v>
      </c>
    </row>
    <row r="32" spans="1:8">
      <c r="A32" s="93" t="s">
        <v>996</v>
      </c>
      <c r="B32" s="94" t="s">
        <v>446</v>
      </c>
      <c r="C32" s="95" t="s">
        <v>1055</v>
      </c>
      <c r="D32" s="95">
        <v>43379</v>
      </c>
      <c r="E32" s="96">
        <v>43397</v>
      </c>
      <c r="F32" s="95">
        <v>43387</v>
      </c>
      <c r="G32" s="95">
        <v>43393</v>
      </c>
      <c r="H32" s="92">
        <v>1.6666666666666667</v>
      </c>
    </row>
    <row r="33" spans="1:8">
      <c r="A33" s="93" t="s">
        <v>996</v>
      </c>
      <c r="B33" s="94" t="s">
        <v>446</v>
      </c>
      <c r="C33" s="95" t="s">
        <v>1069</v>
      </c>
      <c r="D33" s="95">
        <v>43379</v>
      </c>
      <c r="E33" s="96">
        <v>43397</v>
      </c>
      <c r="F33" s="95">
        <v>43387</v>
      </c>
      <c r="G33" s="95">
        <v>43393</v>
      </c>
      <c r="H33" s="92">
        <v>1.6666666666666667</v>
      </c>
    </row>
    <row r="34" spans="1:8">
      <c r="A34" s="93" t="s">
        <v>996</v>
      </c>
      <c r="B34" s="94" t="s">
        <v>446</v>
      </c>
      <c r="C34" s="95" t="s">
        <v>1068</v>
      </c>
      <c r="D34" s="95">
        <v>43379</v>
      </c>
      <c r="E34" s="96">
        <v>43397</v>
      </c>
      <c r="F34" s="95">
        <v>43394</v>
      </c>
      <c r="G34" s="95">
        <v>43400</v>
      </c>
      <c r="H34" s="92">
        <v>1</v>
      </c>
    </row>
    <row r="35" spans="1:8">
      <c r="A35" s="93" t="s">
        <v>996</v>
      </c>
      <c r="B35" s="94" t="s">
        <v>446</v>
      </c>
      <c r="C35" s="95" t="s">
        <v>1055</v>
      </c>
      <c r="D35" s="95">
        <v>43379</v>
      </c>
      <c r="E35" s="96">
        <v>43397</v>
      </c>
      <c r="F35" s="95">
        <v>43394</v>
      </c>
      <c r="G35" s="95">
        <v>43400</v>
      </c>
      <c r="H35" s="92">
        <v>1</v>
      </c>
    </row>
    <row r="36" spans="1:8">
      <c r="A36" s="93" t="s">
        <v>996</v>
      </c>
      <c r="B36" s="94" t="s">
        <v>446</v>
      </c>
      <c r="C36" s="95" t="s">
        <v>1069</v>
      </c>
      <c r="D36" s="95">
        <v>43379</v>
      </c>
      <c r="E36" s="96">
        <v>43397</v>
      </c>
      <c r="F36" s="95">
        <v>43394</v>
      </c>
      <c r="G36" s="95">
        <v>43400</v>
      </c>
      <c r="H36" s="92">
        <v>1</v>
      </c>
    </row>
    <row r="37" spans="1:8">
      <c r="A37" s="93" t="s">
        <v>997</v>
      </c>
      <c r="B37" s="94" t="s">
        <v>447</v>
      </c>
      <c r="C37" s="95" t="s">
        <v>1055</v>
      </c>
      <c r="D37" s="95">
        <v>43385</v>
      </c>
      <c r="E37" s="96">
        <v>43396</v>
      </c>
      <c r="F37" s="95">
        <v>43380</v>
      </c>
      <c r="G37" s="95">
        <v>43386</v>
      </c>
      <c r="H37" s="92">
        <v>1</v>
      </c>
    </row>
    <row r="38" spans="1:8">
      <c r="A38" s="93" t="s">
        <v>997</v>
      </c>
      <c r="B38" s="94" t="s">
        <v>447</v>
      </c>
      <c r="C38" s="95" t="s">
        <v>1055</v>
      </c>
      <c r="D38" s="95">
        <v>43385</v>
      </c>
      <c r="E38" s="96">
        <v>43396</v>
      </c>
      <c r="F38" s="95">
        <v>43387</v>
      </c>
      <c r="G38" s="95">
        <v>43393</v>
      </c>
      <c r="H38" s="92">
        <v>5</v>
      </c>
    </row>
    <row r="39" spans="1:8">
      <c r="A39" s="93" t="s">
        <v>997</v>
      </c>
      <c r="B39" s="94" t="s">
        <v>447</v>
      </c>
      <c r="C39" s="95" t="s">
        <v>1055</v>
      </c>
      <c r="D39" s="95">
        <v>43385</v>
      </c>
      <c r="E39" s="96">
        <v>43396</v>
      </c>
      <c r="F39" s="95">
        <v>43394</v>
      </c>
      <c r="G39" s="95">
        <v>43400</v>
      </c>
      <c r="H39" s="92">
        <v>2</v>
      </c>
    </row>
    <row r="40" spans="1:8">
      <c r="A40" s="93" t="s">
        <v>998</v>
      </c>
      <c r="B40" s="94" t="s">
        <v>448</v>
      </c>
      <c r="C40" s="95" t="s">
        <v>1055</v>
      </c>
      <c r="D40" s="95">
        <v>43385</v>
      </c>
      <c r="E40" s="96">
        <v>43396</v>
      </c>
      <c r="F40" s="95">
        <v>43380</v>
      </c>
      <c r="G40" s="95">
        <v>43386</v>
      </c>
      <c r="H40" s="92">
        <v>1</v>
      </c>
    </row>
    <row r="41" spans="1:8">
      <c r="A41" s="93" t="s">
        <v>998</v>
      </c>
      <c r="B41" s="94" t="s">
        <v>448</v>
      </c>
      <c r="C41" s="95" t="s">
        <v>1055</v>
      </c>
      <c r="D41" s="95">
        <v>43385</v>
      </c>
      <c r="E41" s="96">
        <v>43396</v>
      </c>
      <c r="F41" s="95">
        <v>43387</v>
      </c>
      <c r="G41" s="95">
        <v>43393</v>
      </c>
      <c r="H41" s="92">
        <v>5</v>
      </c>
    </row>
    <row r="42" spans="1:8">
      <c r="A42" s="93" t="s">
        <v>998</v>
      </c>
      <c r="B42" s="94" t="s">
        <v>448</v>
      </c>
      <c r="C42" s="95" t="s">
        <v>1055</v>
      </c>
      <c r="D42" s="95">
        <v>43385</v>
      </c>
      <c r="E42" s="96">
        <v>43396</v>
      </c>
      <c r="F42" s="95">
        <v>43394</v>
      </c>
      <c r="G42" s="95">
        <v>43400</v>
      </c>
      <c r="H42" s="92">
        <v>2</v>
      </c>
    </row>
    <row r="43" spans="1:8">
      <c r="A43" s="93" t="s">
        <v>999</v>
      </c>
      <c r="B43" s="94" t="s">
        <v>1008</v>
      </c>
      <c r="C43" s="95" t="s">
        <v>1057</v>
      </c>
      <c r="D43" s="95">
        <v>43399</v>
      </c>
      <c r="E43" s="96">
        <v>43417</v>
      </c>
      <c r="F43" s="95">
        <v>43394</v>
      </c>
      <c r="G43" s="95">
        <v>43400</v>
      </c>
      <c r="H43" s="92">
        <v>1</v>
      </c>
    </row>
    <row r="44" spans="1:8">
      <c r="A44" s="93" t="s">
        <v>999</v>
      </c>
      <c r="B44" s="94" t="s">
        <v>1008</v>
      </c>
      <c r="C44" s="95" t="s">
        <v>1057</v>
      </c>
      <c r="D44" s="95">
        <v>43399</v>
      </c>
      <c r="E44" s="96">
        <v>43417</v>
      </c>
      <c r="F44" s="95">
        <v>43401</v>
      </c>
      <c r="G44" s="95">
        <v>43407</v>
      </c>
      <c r="H44" s="92">
        <v>5</v>
      </c>
    </row>
    <row r="45" spans="1:8">
      <c r="A45" s="93" t="s">
        <v>999</v>
      </c>
      <c r="B45" s="94" t="s">
        <v>1008</v>
      </c>
      <c r="C45" s="95" t="s">
        <v>1057</v>
      </c>
      <c r="D45" s="95">
        <v>43399</v>
      </c>
      <c r="E45" s="96">
        <v>43417</v>
      </c>
      <c r="F45" s="95">
        <v>43408</v>
      </c>
      <c r="G45" s="95">
        <v>43414</v>
      </c>
      <c r="H45" s="92">
        <v>5</v>
      </c>
    </row>
    <row r="46" spans="1:8">
      <c r="A46" s="93" t="s">
        <v>999</v>
      </c>
      <c r="B46" s="94" t="s">
        <v>1008</v>
      </c>
      <c r="C46" s="95" t="s">
        <v>1057</v>
      </c>
      <c r="D46" s="95">
        <v>43399</v>
      </c>
      <c r="E46" s="96">
        <v>43417</v>
      </c>
      <c r="F46" s="95">
        <v>43415</v>
      </c>
      <c r="G46" s="95">
        <v>43421</v>
      </c>
      <c r="H46" s="92">
        <v>2</v>
      </c>
    </row>
    <row r="47" spans="1:8">
      <c r="A47" s="93" t="s">
        <v>1010</v>
      </c>
      <c r="B47" s="94" t="s">
        <v>1011</v>
      </c>
      <c r="C47" s="95" t="s">
        <v>1058</v>
      </c>
      <c r="D47" s="95">
        <v>43406</v>
      </c>
      <c r="E47" s="96">
        <v>43417</v>
      </c>
      <c r="F47" s="95">
        <v>43401</v>
      </c>
      <c r="G47" s="95">
        <v>43407</v>
      </c>
      <c r="H47" s="92">
        <v>1</v>
      </c>
    </row>
    <row r="48" spans="1:8">
      <c r="A48" s="93" t="s">
        <v>1010</v>
      </c>
      <c r="B48" s="94" t="s">
        <v>1011</v>
      </c>
      <c r="C48" s="95" t="s">
        <v>1058</v>
      </c>
      <c r="D48" s="95">
        <v>43406</v>
      </c>
      <c r="E48" s="96">
        <v>43417</v>
      </c>
      <c r="F48" s="95">
        <v>43408</v>
      </c>
      <c r="G48" s="95">
        <v>43414</v>
      </c>
      <c r="H48" s="92">
        <v>5</v>
      </c>
    </row>
    <row r="49" spans="1:8">
      <c r="A49" s="93" t="s">
        <v>1010</v>
      </c>
      <c r="B49" s="94" t="s">
        <v>1011</v>
      </c>
      <c r="C49" s="95" t="s">
        <v>1058</v>
      </c>
      <c r="D49" s="95">
        <v>43406</v>
      </c>
      <c r="E49" s="96">
        <v>43417</v>
      </c>
      <c r="F49" s="95">
        <v>43415</v>
      </c>
      <c r="G49" s="95">
        <v>43421</v>
      </c>
      <c r="H49" s="92">
        <v>2</v>
      </c>
    </row>
    <row r="50" spans="1:8">
      <c r="A50" s="93" t="s">
        <v>1012</v>
      </c>
      <c r="B50" s="94" t="s">
        <v>1013</v>
      </c>
      <c r="C50" s="95" t="s">
        <v>1059</v>
      </c>
      <c r="D50" s="95">
        <v>43413</v>
      </c>
      <c r="E50" s="96">
        <v>43424</v>
      </c>
      <c r="F50" s="95">
        <v>43408</v>
      </c>
      <c r="G50" s="95">
        <v>43414</v>
      </c>
      <c r="H50" s="92">
        <v>1</v>
      </c>
    </row>
    <row r="51" spans="1:8">
      <c r="A51" s="93" t="s">
        <v>1012</v>
      </c>
      <c r="B51" s="94" t="s">
        <v>1013</v>
      </c>
      <c r="C51" s="95" t="s">
        <v>1059</v>
      </c>
      <c r="D51" s="95">
        <v>43413</v>
      </c>
      <c r="E51" s="96">
        <v>43424</v>
      </c>
      <c r="F51" s="95">
        <v>43415</v>
      </c>
      <c r="G51" s="95">
        <v>43421</v>
      </c>
      <c r="H51" s="92">
        <v>5</v>
      </c>
    </row>
    <row r="52" spans="1:8">
      <c r="A52" s="93" t="s">
        <v>1012</v>
      </c>
      <c r="B52" s="94" t="s">
        <v>1013</v>
      </c>
      <c r="C52" s="95" t="s">
        <v>1059</v>
      </c>
      <c r="D52" s="95">
        <v>43413</v>
      </c>
      <c r="E52" s="96">
        <v>43424</v>
      </c>
      <c r="F52" s="95">
        <v>43422</v>
      </c>
      <c r="G52" s="95">
        <v>43428</v>
      </c>
      <c r="H52" s="92">
        <v>2</v>
      </c>
    </row>
    <row r="53" spans="1:8">
      <c r="A53" s="93" t="s">
        <v>1014</v>
      </c>
      <c r="B53" s="94" t="s">
        <v>1015</v>
      </c>
      <c r="C53" s="95" t="s">
        <v>1060</v>
      </c>
      <c r="D53" s="95">
        <v>43413</v>
      </c>
      <c r="E53" s="96">
        <v>43431</v>
      </c>
      <c r="F53" s="95">
        <v>43408</v>
      </c>
      <c r="G53" s="95">
        <v>43414</v>
      </c>
      <c r="H53" s="92">
        <v>1</v>
      </c>
    </row>
    <row r="54" spans="1:8">
      <c r="A54" s="93" t="s">
        <v>1014</v>
      </c>
      <c r="B54" s="94" t="s">
        <v>1015</v>
      </c>
      <c r="C54" s="95" t="s">
        <v>1060</v>
      </c>
      <c r="D54" s="95">
        <v>43413</v>
      </c>
      <c r="E54" s="96">
        <v>43431</v>
      </c>
      <c r="F54" s="95">
        <v>43415</v>
      </c>
      <c r="G54" s="95">
        <v>43421</v>
      </c>
      <c r="H54" s="92">
        <v>5</v>
      </c>
    </row>
    <row r="55" spans="1:8">
      <c r="A55" s="93" t="s">
        <v>1014</v>
      </c>
      <c r="B55" s="94" t="s">
        <v>1015</v>
      </c>
      <c r="C55" s="95" t="s">
        <v>1060</v>
      </c>
      <c r="D55" s="95">
        <v>43413</v>
      </c>
      <c r="E55" s="96">
        <v>43431</v>
      </c>
      <c r="F55" s="95">
        <v>43422</v>
      </c>
      <c r="G55" s="95">
        <v>43428</v>
      </c>
      <c r="H55" s="92">
        <v>5</v>
      </c>
    </row>
    <row r="56" spans="1:8">
      <c r="A56" s="93" t="s">
        <v>1014</v>
      </c>
      <c r="B56" s="94" t="s">
        <v>1015</v>
      </c>
      <c r="C56" s="95" t="s">
        <v>1060</v>
      </c>
      <c r="D56" s="95">
        <v>43413</v>
      </c>
      <c r="E56" s="96">
        <v>43431</v>
      </c>
      <c r="F56" s="95">
        <v>43429</v>
      </c>
      <c r="G56" s="95">
        <v>43435</v>
      </c>
      <c r="H56" s="92">
        <v>2</v>
      </c>
    </row>
    <row r="57" spans="1:8">
      <c r="A57" s="93" t="s">
        <v>1000</v>
      </c>
      <c r="B57" s="94" t="s">
        <v>1016</v>
      </c>
      <c r="C57" s="95" t="s">
        <v>1060</v>
      </c>
      <c r="D57" s="95">
        <v>43434</v>
      </c>
      <c r="E57" s="96">
        <v>43438</v>
      </c>
      <c r="F57" s="95">
        <v>43429</v>
      </c>
      <c r="G57" s="95">
        <v>43435</v>
      </c>
      <c r="H57" s="92">
        <v>1</v>
      </c>
    </row>
    <row r="58" spans="1:8">
      <c r="A58" s="93" t="s">
        <v>1000</v>
      </c>
      <c r="B58" s="94" t="s">
        <v>1016</v>
      </c>
      <c r="C58" s="95" t="s">
        <v>1060</v>
      </c>
      <c r="D58" s="95">
        <v>43434</v>
      </c>
      <c r="E58" s="96">
        <v>43438</v>
      </c>
      <c r="F58" s="95">
        <v>43436</v>
      </c>
      <c r="G58" s="95">
        <v>43442</v>
      </c>
      <c r="H58" s="92">
        <v>2</v>
      </c>
    </row>
    <row r="59" spans="1:8">
      <c r="A59" s="93" t="s">
        <v>1019</v>
      </c>
      <c r="B59" s="94" t="s">
        <v>1020</v>
      </c>
      <c r="C59" s="95" t="s">
        <v>1060</v>
      </c>
      <c r="D59" s="95">
        <v>43434</v>
      </c>
      <c r="E59" s="96">
        <v>43438</v>
      </c>
      <c r="F59" s="95">
        <v>43429</v>
      </c>
      <c r="G59" s="95">
        <v>43435</v>
      </c>
      <c r="H59" s="92">
        <v>1</v>
      </c>
    </row>
    <row r="60" spans="1:8">
      <c r="A60" s="93" t="s">
        <v>1019</v>
      </c>
      <c r="B60" s="94" t="s">
        <v>1020</v>
      </c>
      <c r="C60" s="95" t="s">
        <v>1060</v>
      </c>
      <c r="D60" s="95">
        <v>43434</v>
      </c>
      <c r="E60" s="96">
        <v>43438</v>
      </c>
      <c r="F60" s="95">
        <v>43436</v>
      </c>
      <c r="G60" s="95">
        <v>43442</v>
      </c>
      <c r="H60" s="92">
        <v>2</v>
      </c>
    </row>
    <row r="61" spans="1:8">
      <c r="A61" s="93" t="s">
        <v>1023</v>
      </c>
      <c r="B61" s="94" t="s">
        <v>1024</v>
      </c>
      <c r="C61" s="95" t="s">
        <v>1062</v>
      </c>
      <c r="D61" s="95">
        <v>43434</v>
      </c>
      <c r="E61" s="96">
        <v>43438</v>
      </c>
      <c r="F61" s="95">
        <v>43429</v>
      </c>
      <c r="G61" s="95">
        <v>43435</v>
      </c>
      <c r="H61" s="92">
        <v>1</v>
      </c>
    </row>
    <row r="62" spans="1:8">
      <c r="A62" s="93" t="s">
        <v>1023</v>
      </c>
      <c r="B62" s="94" t="s">
        <v>1024</v>
      </c>
      <c r="C62" s="95" t="s">
        <v>1062</v>
      </c>
      <c r="D62" s="95">
        <v>43434</v>
      </c>
      <c r="E62" s="96">
        <v>43438</v>
      </c>
      <c r="F62" s="95">
        <v>43436</v>
      </c>
      <c r="G62" s="95">
        <v>43442</v>
      </c>
      <c r="H62" s="92">
        <v>2</v>
      </c>
    </row>
    <row r="63" spans="1:8">
      <c r="A63" s="93" t="s">
        <v>1025</v>
      </c>
      <c r="B63" s="94" t="s">
        <v>1026</v>
      </c>
      <c r="C63" s="95" t="s">
        <v>1063</v>
      </c>
      <c r="D63" s="95">
        <v>43441</v>
      </c>
      <c r="E63" s="96">
        <v>43445</v>
      </c>
      <c r="F63" s="95">
        <v>43436</v>
      </c>
      <c r="G63" s="95">
        <v>43442</v>
      </c>
      <c r="H63" s="92">
        <v>1</v>
      </c>
    </row>
    <row r="64" spans="1:8">
      <c r="A64" s="93" t="s">
        <v>1025</v>
      </c>
      <c r="B64" s="94" t="s">
        <v>1026</v>
      </c>
      <c r="C64" s="95" t="s">
        <v>1063</v>
      </c>
      <c r="D64" s="95">
        <v>43441</v>
      </c>
      <c r="E64" s="96">
        <v>43445</v>
      </c>
      <c r="F64" s="95">
        <v>43443</v>
      </c>
      <c r="G64" s="95">
        <v>43449</v>
      </c>
      <c r="H64" s="92">
        <v>2</v>
      </c>
    </row>
    <row r="65" spans="1:8">
      <c r="A65" s="93" t="s">
        <v>1027</v>
      </c>
      <c r="B65" s="94" t="s">
        <v>1028</v>
      </c>
      <c r="C65" s="95" t="s">
        <v>1063</v>
      </c>
      <c r="D65" s="95">
        <v>43441</v>
      </c>
      <c r="E65" s="96">
        <v>43452</v>
      </c>
      <c r="F65" s="95">
        <v>43436</v>
      </c>
      <c r="G65" s="95">
        <v>43442</v>
      </c>
      <c r="H65" s="92">
        <v>1</v>
      </c>
    </row>
    <row r="66" spans="1:8">
      <c r="A66" s="93" t="s">
        <v>1027</v>
      </c>
      <c r="B66" s="94" t="s">
        <v>1028</v>
      </c>
      <c r="C66" s="95" t="s">
        <v>1063</v>
      </c>
      <c r="D66" s="95">
        <v>43441</v>
      </c>
      <c r="E66" s="96">
        <v>43452</v>
      </c>
      <c r="F66" s="95">
        <v>43443</v>
      </c>
      <c r="G66" s="95">
        <v>43449</v>
      </c>
      <c r="H66" s="92">
        <v>5</v>
      </c>
    </row>
    <row r="67" spans="1:8">
      <c r="A67" s="93" t="s">
        <v>1027</v>
      </c>
      <c r="B67" s="94" t="s">
        <v>1028</v>
      </c>
      <c r="C67" s="95" t="s">
        <v>1063</v>
      </c>
      <c r="D67" s="95">
        <v>43441</v>
      </c>
      <c r="E67" s="96">
        <v>43452</v>
      </c>
      <c r="F67" s="95">
        <v>43450</v>
      </c>
      <c r="G67" s="95">
        <v>43456</v>
      </c>
      <c r="H67" s="92">
        <v>2</v>
      </c>
    </row>
    <row r="68" spans="1:8">
      <c r="A68" s="93" t="s">
        <v>1029</v>
      </c>
      <c r="B68" s="94" t="s">
        <v>1030</v>
      </c>
      <c r="C68" s="95" t="s">
        <v>1062</v>
      </c>
      <c r="D68" s="95">
        <v>43434</v>
      </c>
      <c r="E68" s="96">
        <v>43493</v>
      </c>
      <c r="F68" s="95">
        <v>43429</v>
      </c>
      <c r="G68" s="95">
        <v>43435</v>
      </c>
      <c r="H68" s="92">
        <v>0.5</v>
      </c>
    </row>
    <row r="69" spans="1:8">
      <c r="A69" s="93" t="s">
        <v>1029</v>
      </c>
      <c r="B69" s="94" t="s">
        <v>1030</v>
      </c>
      <c r="C69" s="95" t="s">
        <v>1063</v>
      </c>
      <c r="D69" s="95">
        <v>43434</v>
      </c>
      <c r="E69" s="96">
        <v>43493</v>
      </c>
      <c r="F69" s="95">
        <v>43429</v>
      </c>
      <c r="G69" s="95">
        <v>43435</v>
      </c>
      <c r="H69" s="92">
        <v>0.5</v>
      </c>
    </row>
    <row r="70" spans="1:8">
      <c r="A70" s="93" t="s">
        <v>1029</v>
      </c>
      <c r="B70" s="94" t="s">
        <v>1030</v>
      </c>
      <c r="C70" s="95" t="s">
        <v>1062</v>
      </c>
      <c r="D70" s="95">
        <v>43434</v>
      </c>
      <c r="E70" s="96">
        <v>43493</v>
      </c>
      <c r="F70" s="95">
        <v>43436</v>
      </c>
      <c r="G70" s="95">
        <v>43442</v>
      </c>
      <c r="H70" s="92">
        <v>2.5</v>
      </c>
    </row>
    <row r="71" spans="1:8">
      <c r="A71" s="93" t="s">
        <v>1029</v>
      </c>
      <c r="B71" s="94" t="s">
        <v>1030</v>
      </c>
      <c r="C71" s="95" t="s">
        <v>1063</v>
      </c>
      <c r="D71" s="95">
        <v>43434</v>
      </c>
      <c r="E71" s="96">
        <v>43493</v>
      </c>
      <c r="F71" s="95">
        <v>43436</v>
      </c>
      <c r="G71" s="95">
        <v>43442</v>
      </c>
      <c r="H71" s="92">
        <v>2.5</v>
      </c>
    </row>
    <row r="72" spans="1:8">
      <c r="A72" s="93" t="s">
        <v>1029</v>
      </c>
      <c r="B72" s="94" t="s">
        <v>1030</v>
      </c>
      <c r="C72" s="95" t="s">
        <v>1062</v>
      </c>
      <c r="D72" s="95">
        <v>43434</v>
      </c>
      <c r="E72" s="96">
        <v>43493</v>
      </c>
      <c r="F72" s="95">
        <v>43443</v>
      </c>
      <c r="G72" s="95">
        <v>43449</v>
      </c>
      <c r="H72" s="92">
        <v>2.5</v>
      </c>
    </row>
    <row r="73" spans="1:8">
      <c r="A73" s="93" t="s">
        <v>1029</v>
      </c>
      <c r="B73" s="94" t="s">
        <v>1030</v>
      </c>
      <c r="C73" s="95" t="s">
        <v>1063</v>
      </c>
      <c r="D73" s="95">
        <v>43434</v>
      </c>
      <c r="E73" s="96">
        <v>43493</v>
      </c>
      <c r="F73" s="95">
        <v>43443</v>
      </c>
      <c r="G73" s="95">
        <v>43449</v>
      </c>
      <c r="H73" s="92">
        <v>2.5</v>
      </c>
    </row>
    <row r="74" spans="1:8">
      <c r="A74" s="93" t="s">
        <v>1029</v>
      </c>
      <c r="B74" s="94" t="s">
        <v>1030</v>
      </c>
      <c r="C74" s="95" t="s">
        <v>1062</v>
      </c>
      <c r="D74" s="95">
        <v>43434</v>
      </c>
      <c r="E74" s="96">
        <v>43493</v>
      </c>
      <c r="F74" s="95">
        <v>43450</v>
      </c>
      <c r="G74" s="95">
        <v>43456</v>
      </c>
      <c r="H74" s="92">
        <v>2.5</v>
      </c>
    </row>
    <row r="75" spans="1:8">
      <c r="A75" s="93" t="s">
        <v>1029</v>
      </c>
      <c r="B75" s="94" t="s">
        <v>1030</v>
      </c>
      <c r="C75" s="95" t="s">
        <v>1063</v>
      </c>
      <c r="D75" s="95">
        <v>43434</v>
      </c>
      <c r="E75" s="96">
        <v>43493</v>
      </c>
      <c r="F75" s="95">
        <v>43450</v>
      </c>
      <c r="G75" s="95">
        <v>43456</v>
      </c>
      <c r="H75" s="92">
        <v>2.5</v>
      </c>
    </row>
    <row r="76" spans="1:8">
      <c r="A76" s="93" t="s">
        <v>1029</v>
      </c>
      <c r="B76" s="94" t="s">
        <v>1030</v>
      </c>
      <c r="C76" s="95" t="s">
        <v>1062</v>
      </c>
      <c r="D76" s="95">
        <v>43434</v>
      </c>
      <c r="E76" s="96">
        <v>43493</v>
      </c>
      <c r="F76" s="95">
        <v>43457</v>
      </c>
      <c r="G76" s="95">
        <v>43463</v>
      </c>
      <c r="H76" s="92">
        <v>2</v>
      </c>
    </row>
    <row r="77" spans="1:8">
      <c r="A77" s="93" t="s">
        <v>1029</v>
      </c>
      <c r="B77" s="94" t="s">
        <v>1030</v>
      </c>
      <c r="C77" s="95" t="s">
        <v>1063</v>
      </c>
      <c r="D77" s="95">
        <v>43434</v>
      </c>
      <c r="E77" s="96">
        <v>43493</v>
      </c>
      <c r="F77" s="95">
        <v>43457</v>
      </c>
      <c r="G77" s="95">
        <v>43463</v>
      </c>
      <c r="H77" s="92">
        <v>2</v>
      </c>
    </row>
    <row r="78" spans="1:8">
      <c r="A78" s="93" t="s">
        <v>1029</v>
      </c>
      <c r="B78" s="94" t="s">
        <v>1030</v>
      </c>
      <c r="C78" s="95" t="s">
        <v>1062</v>
      </c>
      <c r="D78" s="95">
        <v>43434</v>
      </c>
      <c r="E78" s="96">
        <v>43493</v>
      </c>
      <c r="F78" s="95">
        <v>43464</v>
      </c>
      <c r="G78" s="95">
        <v>43470</v>
      </c>
      <c r="H78" s="92">
        <v>2</v>
      </c>
    </row>
    <row r="79" spans="1:8">
      <c r="A79" s="93" t="s">
        <v>1029</v>
      </c>
      <c r="B79" s="94" t="s">
        <v>1030</v>
      </c>
      <c r="C79" s="95" t="s">
        <v>1063</v>
      </c>
      <c r="D79" s="95">
        <v>43434</v>
      </c>
      <c r="E79" s="96">
        <v>43493</v>
      </c>
      <c r="F79" s="95">
        <v>43464</v>
      </c>
      <c r="G79" s="95">
        <v>43470</v>
      </c>
      <c r="H79" s="92">
        <v>2</v>
      </c>
    </row>
    <row r="80" spans="1:8">
      <c r="A80" s="93" t="s">
        <v>1029</v>
      </c>
      <c r="B80" s="94" t="s">
        <v>1030</v>
      </c>
      <c r="C80" s="95" t="s">
        <v>1062</v>
      </c>
      <c r="D80" s="95">
        <v>43434</v>
      </c>
      <c r="E80" s="96">
        <v>43493</v>
      </c>
      <c r="F80" s="95">
        <v>43471</v>
      </c>
      <c r="G80" s="95">
        <v>43477</v>
      </c>
      <c r="H80" s="92">
        <v>2.5</v>
      </c>
    </row>
    <row r="81" spans="1:8">
      <c r="A81" s="93" t="s">
        <v>1029</v>
      </c>
      <c r="B81" s="94" t="s">
        <v>1030</v>
      </c>
      <c r="C81" s="95" t="s">
        <v>1063</v>
      </c>
      <c r="D81" s="95">
        <v>43434</v>
      </c>
      <c r="E81" s="96">
        <v>43493</v>
      </c>
      <c r="F81" s="95">
        <v>43471</v>
      </c>
      <c r="G81" s="95">
        <v>43477</v>
      </c>
      <c r="H81" s="92">
        <v>2.5</v>
      </c>
    </row>
    <row r="82" spans="1:8">
      <c r="A82" s="93" t="s">
        <v>1029</v>
      </c>
      <c r="B82" s="94" t="s">
        <v>1030</v>
      </c>
      <c r="C82" s="95" t="s">
        <v>1062</v>
      </c>
      <c r="D82" s="95">
        <v>43434</v>
      </c>
      <c r="E82" s="96">
        <v>43493</v>
      </c>
      <c r="F82" s="95">
        <v>43478</v>
      </c>
      <c r="G82" s="95">
        <v>43484</v>
      </c>
      <c r="H82" s="92">
        <v>2.5</v>
      </c>
    </row>
    <row r="83" spans="1:8">
      <c r="A83" s="93" t="s">
        <v>1029</v>
      </c>
      <c r="B83" s="94" t="s">
        <v>1030</v>
      </c>
      <c r="C83" s="95" t="s">
        <v>1063</v>
      </c>
      <c r="D83" s="95">
        <v>43434</v>
      </c>
      <c r="E83" s="96">
        <v>43493</v>
      </c>
      <c r="F83" s="95">
        <v>43478</v>
      </c>
      <c r="G83" s="95">
        <v>43484</v>
      </c>
      <c r="H83" s="92">
        <v>2.5</v>
      </c>
    </row>
    <row r="84" spans="1:8">
      <c r="A84" s="93" t="s">
        <v>1029</v>
      </c>
      <c r="B84" s="94" t="s">
        <v>1030</v>
      </c>
      <c r="C84" s="95" t="s">
        <v>1062</v>
      </c>
      <c r="D84" s="95">
        <v>43434</v>
      </c>
      <c r="E84" s="96">
        <v>43493</v>
      </c>
      <c r="F84" s="95">
        <v>43485</v>
      </c>
      <c r="G84" s="95">
        <v>43491</v>
      </c>
      <c r="H84" s="92">
        <v>2.5</v>
      </c>
    </row>
    <row r="85" spans="1:8">
      <c r="A85" s="93" t="s">
        <v>1029</v>
      </c>
      <c r="B85" s="94" t="s">
        <v>1030</v>
      </c>
      <c r="C85" s="95" t="s">
        <v>1063</v>
      </c>
      <c r="D85" s="95">
        <v>43434</v>
      </c>
      <c r="E85" s="96">
        <v>43493</v>
      </c>
      <c r="F85" s="95">
        <v>43485</v>
      </c>
      <c r="G85" s="95">
        <v>43491</v>
      </c>
      <c r="H85" s="92">
        <v>2.5</v>
      </c>
    </row>
    <row r="86" spans="1:8">
      <c r="A86" s="93" t="s">
        <v>1029</v>
      </c>
      <c r="B86" s="94" t="s">
        <v>1030</v>
      </c>
      <c r="C86" s="95" t="s">
        <v>1062</v>
      </c>
      <c r="D86" s="95">
        <v>43434</v>
      </c>
      <c r="E86" s="96">
        <v>43493</v>
      </c>
      <c r="F86" s="95">
        <v>43492</v>
      </c>
      <c r="G86" s="95">
        <v>43498</v>
      </c>
      <c r="H86" s="92">
        <v>0.5</v>
      </c>
    </row>
    <row r="87" spans="1:8">
      <c r="A87" s="93" t="s">
        <v>1029</v>
      </c>
      <c r="B87" s="94" t="s">
        <v>1030</v>
      </c>
      <c r="C87" s="95" t="s">
        <v>1063</v>
      </c>
      <c r="D87" s="95">
        <v>43434</v>
      </c>
      <c r="E87" s="96">
        <v>43493</v>
      </c>
      <c r="F87" s="95">
        <v>43492</v>
      </c>
      <c r="G87" s="95">
        <v>43498</v>
      </c>
      <c r="H87" s="92">
        <v>0.5</v>
      </c>
    </row>
    <row r="88" spans="1:8">
      <c r="A88" s="93" t="s">
        <v>1031</v>
      </c>
      <c r="B88" s="94" t="s">
        <v>1032</v>
      </c>
      <c r="C88" s="95" t="s">
        <v>1062</v>
      </c>
      <c r="D88" s="95">
        <v>43434</v>
      </c>
      <c r="E88" s="96">
        <v>43493</v>
      </c>
      <c r="F88" s="95">
        <v>43429</v>
      </c>
      <c r="G88" s="95">
        <v>43435</v>
      </c>
      <c r="H88" s="92">
        <v>1</v>
      </c>
    </row>
    <row r="89" spans="1:8">
      <c r="A89" s="93" t="s">
        <v>1031</v>
      </c>
      <c r="B89" s="94" t="s">
        <v>1032</v>
      </c>
      <c r="C89" s="95" t="s">
        <v>1062</v>
      </c>
      <c r="D89" s="95">
        <v>43434</v>
      </c>
      <c r="E89" s="96">
        <v>43493</v>
      </c>
      <c r="F89" s="95">
        <v>43436</v>
      </c>
      <c r="G89" s="95">
        <v>43442</v>
      </c>
      <c r="H89" s="92">
        <v>5</v>
      </c>
    </row>
    <row r="90" spans="1:8">
      <c r="A90" s="93" t="s">
        <v>1031</v>
      </c>
      <c r="B90" s="94" t="s">
        <v>1032</v>
      </c>
      <c r="C90" s="95" t="s">
        <v>1062</v>
      </c>
      <c r="D90" s="95">
        <v>43434</v>
      </c>
      <c r="E90" s="96">
        <v>43493</v>
      </c>
      <c r="F90" s="95">
        <v>43443</v>
      </c>
      <c r="G90" s="95">
        <v>43449</v>
      </c>
      <c r="H90" s="92">
        <v>5</v>
      </c>
    </row>
    <row r="91" spans="1:8">
      <c r="A91" s="93" t="s">
        <v>1031</v>
      </c>
      <c r="B91" s="94" t="s">
        <v>1032</v>
      </c>
      <c r="C91" s="95" t="s">
        <v>1062</v>
      </c>
      <c r="D91" s="95">
        <v>43434</v>
      </c>
      <c r="E91" s="96">
        <v>43493</v>
      </c>
      <c r="F91" s="95">
        <v>43450</v>
      </c>
      <c r="G91" s="95">
        <v>43456</v>
      </c>
      <c r="H91" s="92">
        <v>5</v>
      </c>
    </row>
    <row r="92" spans="1:8">
      <c r="A92" s="93" t="s">
        <v>1031</v>
      </c>
      <c r="B92" s="94" t="s">
        <v>1032</v>
      </c>
      <c r="C92" s="95" t="s">
        <v>1062</v>
      </c>
      <c r="D92" s="95">
        <v>43434</v>
      </c>
      <c r="E92" s="96">
        <v>43493</v>
      </c>
      <c r="F92" s="95">
        <v>43457</v>
      </c>
      <c r="G92" s="95">
        <v>43463</v>
      </c>
      <c r="H92" s="92">
        <v>4</v>
      </c>
    </row>
    <row r="93" spans="1:8">
      <c r="A93" s="93" t="s">
        <v>1031</v>
      </c>
      <c r="B93" s="94" t="s">
        <v>1032</v>
      </c>
      <c r="C93" s="95" t="s">
        <v>1062</v>
      </c>
      <c r="D93" s="95">
        <v>43434</v>
      </c>
      <c r="E93" s="96">
        <v>43493</v>
      </c>
      <c r="F93" s="95">
        <v>43464</v>
      </c>
      <c r="G93" s="95">
        <v>43470</v>
      </c>
      <c r="H93" s="92">
        <v>4</v>
      </c>
    </row>
    <row r="94" spans="1:8">
      <c r="A94" s="93" t="s">
        <v>1031</v>
      </c>
      <c r="B94" s="94" t="s">
        <v>1032</v>
      </c>
      <c r="C94" s="95" t="s">
        <v>1062</v>
      </c>
      <c r="D94" s="95">
        <v>43434</v>
      </c>
      <c r="E94" s="96">
        <v>43493</v>
      </c>
      <c r="F94" s="95">
        <v>43471</v>
      </c>
      <c r="G94" s="95">
        <v>43477</v>
      </c>
      <c r="H94" s="92">
        <v>5</v>
      </c>
    </row>
    <row r="95" spans="1:8">
      <c r="A95" s="93" t="s">
        <v>1031</v>
      </c>
      <c r="B95" s="94" t="s">
        <v>1032</v>
      </c>
      <c r="C95" s="95" t="s">
        <v>1062</v>
      </c>
      <c r="D95" s="95">
        <v>43434</v>
      </c>
      <c r="E95" s="96">
        <v>43493</v>
      </c>
      <c r="F95" s="95">
        <v>43478</v>
      </c>
      <c r="G95" s="95">
        <v>43484</v>
      </c>
      <c r="H95" s="92">
        <v>5</v>
      </c>
    </row>
    <row r="96" spans="1:8">
      <c r="A96" s="93" t="s">
        <v>1031</v>
      </c>
      <c r="B96" s="94" t="s">
        <v>1032</v>
      </c>
      <c r="C96" s="95" t="s">
        <v>1062</v>
      </c>
      <c r="D96" s="95">
        <v>43434</v>
      </c>
      <c r="E96" s="96">
        <v>43493</v>
      </c>
      <c r="F96" s="95">
        <v>43485</v>
      </c>
      <c r="G96" s="95">
        <v>43491</v>
      </c>
      <c r="H96" s="92">
        <v>5</v>
      </c>
    </row>
    <row r="97" spans="1:8">
      <c r="A97" s="93" t="s">
        <v>1031</v>
      </c>
      <c r="B97" s="94" t="s">
        <v>1032</v>
      </c>
      <c r="C97" s="95" t="s">
        <v>1062</v>
      </c>
      <c r="D97" s="95">
        <v>43434</v>
      </c>
      <c r="E97" s="96">
        <v>43493</v>
      </c>
      <c r="F97" s="95">
        <v>43492</v>
      </c>
      <c r="G97" s="95">
        <v>43498</v>
      </c>
      <c r="H97" s="92">
        <v>1</v>
      </c>
    </row>
    <row r="98" spans="1:8">
      <c r="A98" s="93" t="s">
        <v>1033</v>
      </c>
      <c r="B98" s="94" t="s">
        <v>1034</v>
      </c>
      <c r="C98" s="95" t="s">
        <v>1063</v>
      </c>
      <c r="D98" s="95">
        <v>43448</v>
      </c>
      <c r="E98" s="96">
        <v>43493</v>
      </c>
      <c r="F98" s="95">
        <v>43443</v>
      </c>
      <c r="G98" s="95">
        <v>43449</v>
      </c>
      <c r="H98" s="92">
        <v>1</v>
      </c>
    </row>
    <row r="99" spans="1:8">
      <c r="A99" s="93" t="s">
        <v>1033</v>
      </c>
      <c r="B99" s="94" t="s">
        <v>1034</v>
      </c>
      <c r="C99" s="95" t="s">
        <v>1063</v>
      </c>
      <c r="D99" s="95">
        <v>43448</v>
      </c>
      <c r="E99" s="96">
        <v>43493</v>
      </c>
      <c r="F99" s="95">
        <v>43450</v>
      </c>
      <c r="G99" s="95">
        <v>43456</v>
      </c>
      <c r="H99" s="92">
        <v>5</v>
      </c>
    </row>
    <row r="100" spans="1:8">
      <c r="A100" s="93" t="s">
        <v>1033</v>
      </c>
      <c r="B100" s="94" t="s">
        <v>1034</v>
      </c>
      <c r="C100" s="95" t="s">
        <v>1063</v>
      </c>
      <c r="D100" s="95">
        <v>43448</v>
      </c>
      <c r="E100" s="96">
        <v>43493</v>
      </c>
      <c r="F100" s="95">
        <v>43457</v>
      </c>
      <c r="G100" s="95">
        <v>43463</v>
      </c>
      <c r="H100" s="92">
        <v>4</v>
      </c>
    </row>
    <row r="101" spans="1:8">
      <c r="A101" s="93" t="s">
        <v>1033</v>
      </c>
      <c r="B101" s="94" t="s">
        <v>1034</v>
      </c>
      <c r="C101" s="95" t="s">
        <v>1063</v>
      </c>
      <c r="D101" s="95">
        <v>43448</v>
      </c>
      <c r="E101" s="96">
        <v>43493</v>
      </c>
      <c r="F101" s="95">
        <v>43464</v>
      </c>
      <c r="G101" s="95">
        <v>43470</v>
      </c>
      <c r="H101" s="92">
        <v>4</v>
      </c>
    </row>
    <row r="102" spans="1:8">
      <c r="A102" s="93" t="s">
        <v>1033</v>
      </c>
      <c r="B102" s="94" t="s">
        <v>1034</v>
      </c>
      <c r="C102" s="95" t="s">
        <v>1063</v>
      </c>
      <c r="D102" s="95">
        <v>43448</v>
      </c>
      <c r="E102" s="96">
        <v>43493</v>
      </c>
      <c r="F102" s="95">
        <v>43471</v>
      </c>
      <c r="G102" s="95">
        <v>43477</v>
      </c>
      <c r="H102" s="92">
        <v>5</v>
      </c>
    </row>
    <row r="103" spans="1:8">
      <c r="A103" s="93" t="s">
        <v>1033</v>
      </c>
      <c r="B103" s="94" t="s">
        <v>1034</v>
      </c>
      <c r="C103" s="95" t="s">
        <v>1063</v>
      </c>
      <c r="D103" s="95">
        <v>43448</v>
      </c>
      <c r="E103" s="96">
        <v>43493</v>
      </c>
      <c r="F103" s="95">
        <v>43478</v>
      </c>
      <c r="G103" s="95">
        <v>43484</v>
      </c>
      <c r="H103" s="92">
        <v>5</v>
      </c>
    </row>
    <row r="104" spans="1:8">
      <c r="A104" s="93" t="s">
        <v>1033</v>
      </c>
      <c r="B104" s="94" t="s">
        <v>1034</v>
      </c>
      <c r="C104" s="95" t="s">
        <v>1063</v>
      </c>
      <c r="D104" s="95">
        <v>43448</v>
      </c>
      <c r="E104" s="96">
        <v>43493</v>
      </c>
      <c r="F104" s="95">
        <v>43485</v>
      </c>
      <c r="G104" s="95">
        <v>43491</v>
      </c>
      <c r="H104" s="92">
        <v>5</v>
      </c>
    </row>
    <row r="105" spans="1:8">
      <c r="A105" s="93" t="s">
        <v>1033</v>
      </c>
      <c r="B105" s="94" t="s">
        <v>1034</v>
      </c>
      <c r="C105" s="95" t="s">
        <v>1063</v>
      </c>
      <c r="D105" s="95">
        <v>43448</v>
      </c>
      <c r="E105" s="96">
        <v>43493</v>
      </c>
      <c r="F105" s="95">
        <v>43492</v>
      </c>
      <c r="G105" s="95">
        <v>43498</v>
      </c>
      <c r="H105" s="92">
        <v>1</v>
      </c>
    </row>
    <row r="106" spans="1:8">
      <c r="A106" s="93" t="s">
        <v>1036</v>
      </c>
      <c r="B106" s="94" t="s">
        <v>1037</v>
      </c>
      <c r="C106" s="95" t="s">
        <v>1060</v>
      </c>
      <c r="D106" s="95">
        <v>43476</v>
      </c>
      <c r="E106" s="96">
        <v>43494</v>
      </c>
      <c r="F106" s="95">
        <v>43471</v>
      </c>
      <c r="G106" s="95">
        <v>43477</v>
      </c>
      <c r="H106" s="92">
        <v>1</v>
      </c>
    </row>
    <row r="107" spans="1:8">
      <c r="A107" s="93" t="s">
        <v>1036</v>
      </c>
      <c r="B107" s="94" t="s">
        <v>1037</v>
      </c>
      <c r="C107" s="95" t="s">
        <v>1060</v>
      </c>
      <c r="D107" s="95">
        <v>43476</v>
      </c>
      <c r="E107" s="96">
        <v>43494</v>
      </c>
      <c r="F107" s="95">
        <v>43478</v>
      </c>
      <c r="G107" s="95">
        <v>43484</v>
      </c>
      <c r="H107" s="92">
        <v>5</v>
      </c>
    </row>
    <row r="108" spans="1:8">
      <c r="A108" s="93" t="s">
        <v>1036</v>
      </c>
      <c r="B108" s="94" t="s">
        <v>1037</v>
      </c>
      <c r="C108" s="95" t="s">
        <v>1060</v>
      </c>
      <c r="D108" s="95">
        <v>43476</v>
      </c>
      <c r="E108" s="96">
        <v>43494</v>
      </c>
      <c r="F108" s="95">
        <v>43485</v>
      </c>
      <c r="G108" s="95">
        <v>43491</v>
      </c>
      <c r="H108" s="92">
        <v>5</v>
      </c>
    </row>
    <row r="109" spans="1:8">
      <c r="A109" s="93" t="s">
        <v>1036</v>
      </c>
      <c r="B109" s="94" t="s">
        <v>1037</v>
      </c>
      <c r="C109" s="95" t="s">
        <v>1060</v>
      </c>
      <c r="D109" s="95">
        <v>43476</v>
      </c>
      <c r="E109" s="96">
        <v>43494</v>
      </c>
      <c r="F109" s="95">
        <v>43492</v>
      </c>
      <c r="G109" s="95">
        <v>43498</v>
      </c>
      <c r="H109" s="92">
        <v>2</v>
      </c>
    </row>
    <row r="110" spans="1:8">
      <c r="A110" s="93" t="s">
        <v>1038</v>
      </c>
      <c r="B110" s="94" t="s">
        <v>1039</v>
      </c>
      <c r="C110" s="95" t="s">
        <v>1060</v>
      </c>
      <c r="D110" s="95">
        <v>43497</v>
      </c>
      <c r="E110" s="96">
        <v>43501</v>
      </c>
      <c r="F110" s="95">
        <v>43492</v>
      </c>
      <c r="G110" s="95">
        <v>43498</v>
      </c>
      <c r="H110" s="92">
        <v>1</v>
      </c>
    </row>
    <row r="111" spans="1:8">
      <c r="A111" s="93" t="s">
        <v>1038</v>
      </c>
      <c r="B111" s="94" t="s">
        <v>1039</v>
      </c>
      <c r="C111" s="95" t="s">
        <v>1060</v>
      </c>
      <c r="D111" s="95">
        <v>43497</v>
      </c>
      <c r="E111" s="96">
        <v>43501</v>
      </c>
      <c r="F111" s="95">
        <v>43499</v>
      </c>
      <c r="G111" s="95">
        <v>43505</v>
      </c>
      <c r="H111" s="92">
        <v>0</v>
      </c>
    </row>
    <row r="112" spans="1:8">
      <c r="A112" s="93" t="s">
        <v>1042</v>
      </c>
      <c r="B112" s="94" t="s">
        <v>1043</v>
      </c>
      <c r="C112" s="95" t="s">
        <v>1060</v>
      </c>
      <c r="D112" s="95">
        <v>43497</v>
      </c>
      <c r="E112" s="96">
        <v>43499</v>
      </c>
      <c r="F112" s="95">
        <v>43492</v>
      </c>
      <c r="G112" s="95">
        <v>43498</v>
      </c>
      <c r="H112" s="92">
        <v>1</v>
      </c>
    </row>
    <row r="113" spans="1:8">
      <c r="A113" s="93" t="s">
        <v>1042</v>
      </c>
      <c r="B113" s="94" t="s">
        <v>1043</v>
      </c>
      <c r="C113" s="95" t="s">
        <v>1060</v>
      </c>
      <c r="D113" s="95">
        <v>43497</v>
      </c>
      <c r="E113" s="96">
        <v>43499</v>
      </c>
      <c r="F113" s="95">
        <v>43499</v>
      </c>
      <c r="G113" s="95">
        <v>43505</v>
      </c>
      <c r="H113" s="92">
        <v>0</v>
      </c>
    </row>
    <row r="114" spans="1:8">
      <c r="A114" s="93" t="s">
        <v>1045</v>
      </c>
      <c r="B114" s="94" t="s">
        <v>1046</v>
      </c>
      <c r="C114" s="95" t="s">
        <v>1060</v>
      </c>
      <c r="D114" s="95">
        <v>43501</v>
      </c>
      <c r="E114" s="96">
        <v>43503</v>
      </c>
      <c r="F114" s="95">
        <v>43499</v>
      </c>
      <c r="G114" s="95">
        <v>43505</v>
      </c>
      <c r="H114" s="92">
        <v>0.5</v>
      </c>
    </row>
    <row r="115" spans="1:8">
      <c r="A115" s="93" t="s">
        <v>1045</v>
      </c>
      <c r="B115" s="94" t="s">
        <v>1046</v>
      </c>
      <c r="C115" s="95" t="s">
        <v>1059</v>
      </c>
      <c r="D115" s="95">
        <v>43501</v>
      </c>
      <c r="E115" s="96">
        <v>43503</v>
      </c>
      <c r="F115" s="95">
        <v>43499</v>
      </c>
      <c r="G115" s="95">
        <v>43505</v>
      </c>
      <c r="H115" s="92">
        <v>0.5</v>
      </c>
    </row>
    <row r="116" spans="1:8">
      <c r="A116" s="93" t="s">
        <v>1047</v>
      </c>
      <c r="B116" s="94" t="s">
        <v>1048</v>
      </c>
      <c r="C116" s="95" t="s">
        <v>1060</v>
      </c>
      <c r="D116" s="95">
        <v>43501</v>
      </c>
      <c r="E116" s="96">
        <v>43503</v>
      </c>
      <c r="F116" s="95">
        <v>43499</v>
      </c>
      <c r="G116" s="95">
        <v>43505</v>
      </c>
      <c r="H116" s="92">
        <v>0.5</v>
      </c>
    </row>
    <row r="117" spans="1:8">
      <c r="A117" s="93" t="s">
        <v>1047</v>
      </c>
      <c r="B117" s="94" t="s">
        <v>1048</v>
      </c>
      <c r="C117" s="95" t="s">
        <v>1062</v>
      </c>
      <c r="D117" s="95">
        <v>43501</v>
      </c>
      <c r="E117" s="96">
        <v>43503</v>
      </c>
      <c r="F117" s="95">
        <v>43499</v>
      </c>
      <c r="G117" s="95">
        <v>43505</v>
      </c>
      <c r="H117" s="92">
        <v>0.5</v>
      </c>
    </row>
    <row r="118" spans="1:8">
      <c r="A118" s="93" t="s">
        <v>1049</v>
      </c>
      <c r="B118" s="94" t="s">
        <v>1050</v>
      </c>
      <c r="C118" s="95" t="s">
        <v>1060</v>
      </c>
      <c r="D118" s="95">
        <v>43501</v>
      </c>
      <c r="E118" s="96">
        <v>43503</v>
      </c>
      <c r="F118" s="95">
        <v>43499</v>
      </c>
      <c r="G118" s="95">
        <v>43505</v>
      </c>
      <c r="H118" s="92">
        <v>0.5</v>
      </c>
    </row>
    <row r="119" spans="1:8">
      <c r="A119" s="93" t="s">
        <v>1049</v>
      </c>
      <c r="B119" s="94" t="s">
        <v>1050</v>
      </c>
      <c r="C119" s="95" t="s">
        <v>1062</v>
      </c>
      <c r="D119" s="95">
        <v>43501</v>
      </c>
      <c r="E119" s="96">
        <v>43503</v>
      </c>
      <c r="F119" s="95">
        <v>43499</v>
      </c>
      <c r="G119" s="95">
        <v>43505</v>
      </c>
      <c r="H119" s="92">
        <v>0.5</v>
      </c>
    </row>
    <row r="120" spans="1:8">
      <c r="A120" s="93" t="s">
        <v>1051</v>
      </c>
      <c r="B120" s="94" t="s">
        <v>1052</v>
      </c>
      <c r="C120" s="95" t="s">
        <v>1060</v>
      </c>
      <c r="D120" s="95">
        <v>43504</v>
      </c>
      <c r="E120" s="96">
        <v>43504</v>
      </c>
      <c r="F120" s="95">
        <v>43499</v>
      </c>
      <c r="G120" s="95">
        <v>43505</v>
      </c>
      <c r="H120" s="92">
        <v>1</v>
      </c>
    </row>
    <row r="121" spans="1:8">
      <c r="G121" s="92" t="s">
        <v>4</v>
      </c>
      <c r="H121" s="92">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outlinePr summaryBelow="0"/>
    <pageSetUpPr fitToPage="1"/>
  </sheetPr>
  <dimension ref="A1:GG130"/>
  <sheetViews>
    <sheetView tabSelected="1" topLeftCell="L1" zoomScaleNormal="100" zoomScalePageLayoutView="55" workbookViewId="0">
      <pane ySplit="4" topLeftCell="A45" activePane="bottomLeft" state="frozen"/>
      <selection activeCell="E5" sqref="E5"/>
      <selection pane="bottomLeft" activeCell="D5" sqref="D5"/>
    </sheetView>
  </sheetViews>
  <sheetFormatPr defaultColWidth="10" defaultRowHeight="12" outlineLevelRow="5"/>
  <cols>
    <col min="1" max="1" width="19.8984375" style="117" hidden="1" customWidth="1"/>
    <col min="2" max="2" width="8.3984375" style="117" hidden="1" customWidth="1"/>
    <col min="3" max="3" width="9.3984375" style="117" hidden="1" customWidth="1"/>
    <col min="4" max="4" width="10.09765625" style="5" customWidth="1"/>
    <col min="5" max="10" width="2.3984375" style="6" customWidth="1"/>
    <col min="11" max="11" width="10.09765625" style="6" customWidth="1"/>
    <col min="12" max="12" width="9.69921875" style="6" customWidth="1"/>
    <col min="13" max="14" width="8.5" style="7" bestFit="1" customWidth="1"/>
    <col min="15" max="15" width="7.59765625" style="8" hidden="1" customWidth="1"/>
    <col min="16" max="16" width="6" style="9" bestFit="1" customWidth="1"/>
    <col min="17" max="17" width="5.3984375" style="9" bestFit="1" customWidth="1"/>
    <col min="18" max="18" width="8.3984375" style="10" hidden="1" customWidth="1"/>
    <col min="19" max="19" width="4.19921875" style="10" hidden="1" customWidth="1"/>
    <col min="20" max="20" width="13.09765625" style="7" hidden="1" customWidth="1"/>
    <col min="21" max="21" width="13.59765625" style="7" hidden="1" customWidth="1"/>
    <col min="22" max="22" width="8.3984375" style="11" hidden="1" customWidth="1"/>
    <col min="23" max="23" width="6.59765625" style="12" hidden="1" customWidth="1"/>
    <col min="24" max="24" width="4.69921875" style="13" customWidth="1"/>
    <col min="25" max="25" width="9.19921875" style="8" customWidth="1"/>
    <col min="26" max="26" width="11.5" style="14" customWidth="1"/>
    <col min="27" max="27" width="7" style="15" customWidth="1"/>
    <col min="28" max="28" width="7.09765625" style="16" customWidth="1"/>
    <col min="29" max="189" width="1.8984375" style="114" customWidth="1"/>
    <col min="190" max="16384" width="10" style="114"/>
  </cols>
  <sheetData>
    <row r="1" spans="1:189" s="158" customFormat="1" ht="19.95" customHeight="1">
      <c r="A1" s="141"/>
      <c r="B1" s="151"/>
      <c r="C1" s="142"/>
      <c r="D1" s="143" t="str">
        <f ca="1">xlgantt.ProjectName()</f>
        <v>OOO 프로젝트</v>
      </c>
      <c r="E1" s="144"/>
      <c r="F1" s="144"/>
      <c r="G1" s="144"/>
      <c r="H1" s="144"/>
      <c r="I1" s="144"/>
      <c r="J1" s="144"/>
      <c r="K1" s="144"/>
      <c r="L1" s="144"/>
      <c r="M1" s="144"/>
      <c r="N1" s="145"/>
      <c r="O1" s="146"/>
      <c r="P1" s="147"/>
      <c r="Q1" s="148"/>
      <c r="R1" s="149"/>
      <c r="S1" s="149"/>
      <c r="T1" s="150"/>
      <c r="U1" s="150"/>
      <c r="V1" s="151"/>
      <c r="W1" s="152"/>
      <c r="X1" s="153"/>
      <c r="Y1" s="154"/>
      <c r="Z1" s="155"/>
      <c r="AA1" s="156"/>
      <c r="AB1" s="157" t="str">
        <f ca="1">xlgantt.ProjectProgressString()</f>
        <v>2018-10-02~2019-03-02 [계획:100.00% 실적:8.32%]</v>
      </c>
      <c r="AC1" s="218" t="s">
        <v>1110</v>
      </c>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18"/>
      <c r="BS1" s="218"/>
      <c r="BT1" s="218"/>
      <c r="BU1" s="218"/>
      <c r="BV1" s="218"/>
      <c r="BW1" s="218"/>
      <c r="BX1" s="218"/>
      <c r="BY1" s="218"/>
      <c r="BZ1" s="218"/>
      <c r="CA1" s="218"/>
    </row>
    <row r="2" spans="1:189" s="158" customFormat="1" ht="15" customHeight="1">
      <c r="A2" s="159"/>
      <c r="B2" s="159"/>
      <c r="C2" s="160"/>
      <c r="D2" s="229"/>
      <c r="E2" s="229"/>
      <c r="F2" s="229"/>
      <c r="G2" s="161"/>
      <c r="H2" s="162"/>
      <c r="I2" s="161"/>
      <c r="J2" s="161"/>
      <c r="K2" s="161"/>
      <c r="L2" s="161"/>
      <c r="M2" s="161"/>
      <c r="N2" s="161"/>
      <c r="O2" s="161"/>
      <c r="P2" s="161"/>
      <c r="Q2" s="161"/>
      <c r="R2" s="161"/>
      <c r="S2" s="161"/>
      <c r="T2" s="161"/>
      <c r="U2" s="161"/>
      <c r="V2" s="161"/>
      <c r="W2" s="161"/>
      <c r="X2" s="161"/>
      <c r="Y2" s="161"/>
      <c r="Z2" s="163"/>
      <c r="AA2" s="164"/>
      <c r="AB2" s="161" t="str">
        <f ca="1">xlgantt.CommentOnHeadArea()</f>
        <v>별(*)표시는 필수입력, 주황색열은 자동계산</v>
      </c>
      <c r="AC2" s="165" t="s">
        <v>1126</v>
      </c>
    </row>
    <row r="3" spans="1:189" s="1" customFormat="1" ht="19.95" customHeight="1">
      <c r="A3" s="220" t="s">
        <v>1164</v>
      </c>
      <c r="B3" s="222" t="s">
        <v>1171</v>
      </c>
      <c r="C3" s="224" t="s">
        <v>1172</v>
      </c>
      <c r="D3" s="225" t="s">
        <v>1173</v>
      </c>
      <c r="E3" s="226" t="s">
        <v>1174</v>
      </c>
      <c r="F3" s="227"/>
      <c r="G3" s="227"/>
      <c r="H3" s="227"/>
      <c r="I3" s="227"/>
      <c r="J3" s="227"/>
      <c r="K3" s="228"/>
      <c r="L3" s="230" t="s">
        <v>1175</v>
      </c>
      <c r="M3" s="230" t="s">
        <v>1176</v>
      </c>
      <c r="N3" s="230" t="s">
        <v>1177</v>
      </c>
      <c r="O3" s="231" t="s">
        <v>1178</v>
      </c>
      <c r="P3" s="232" t="s">
        <v>1168</v>
      </c>
      <c r="Q3" s="232" t="s">
        <v>1169</v>
      </c>
      <c r="R3" s="232" t="s">
        <v>1170</v>
      </c>
      <c r="S3" s="232" t="s">
        <v>1179</v>
      </c>
      <c r="T3" s="234" t="s">
        <v>1165</v>
      </c>
      <c r="U3" s="234" t="s">
        <v>1180</v>
      </c>
      <c r="V3" s="235" t="s">
        <v>1181</v>
      </c>
      <c r="W3" s="236" t="s">
        <v>1182</v>
      </c>
      <c r="X3" s="237" t="s">
        <v>1183</v>
      </c>
      <c r="Y3" s="230" t="s">
        <v>1184</v>
      </c>
      <c r="Z3" s="222" t="s">
        <v>1185</v>
      </c>
      <c r="AA3" s="238" t="s">
        <v>1186</v>
      </c>
      <c r="AB3" s="233" t="s">
        <v>1187</v>
      </c>
      <c r="AC3" s="216">
        <v>43373</v>
      </c>
      <c r="AD3" s="217"/>
      <c r="AE3" s="217"/>
      <c r="AF3" s="217"/>
      <c r="AG3" s="217">
        <v>43401</v>
      </c>
      <c r="AH3" s="217"/>
      <c r="AI3" s="217"/>
      <c r="AJ3" s="217"/>
      <c r="AK3" s="217">
        <v>43429</v>
      </c>
      <c r="AL3" s="217"/>
      <c r="AM3" s="217"/>
      <c r="AN3" s="217"/>
      <c r="AO3" s="217">
        <v>43457</v>
      </c>
      <c r="AP3" s="217"/>
      <c r="AQ3" s="217"/>
      <c r="AR3" s="217"/>
      <c r="AS3" s="217">
        <v>43485</v>
      </c>
      <c r="AT3" s="217"/>
      <c r="AU3" s="217"/>
      <c r="AV3" s="217"/>
      <c r="AW3" s="217">
        <v>43513</v>
      </c>
      <c r="AX3" s="217"/>
      <c r="AY3" s="217"/>
      <c r="AZ3" s="219"/>
    </row>
    <row r="4" spans="1:189" s="2" customFormat="1" ht="4.95" customHeight="1">
      <c r="A4" s="221"/>
      <c r="B4" s="223"/>
      <c r="C4" s="220"/>
      <c r="D4" s="225"/>
      <c r="E4" s="226"/>
      <c r="F4" s="227"/>
      <c r="G4" s="227"/>
      <c r="H4" s="227"/>
      <c r="I4" s="227"/>
      <c r="J4" s="227"/>
      <c r="K4" s="228"/>
      <c r="L4" s="230"/>
      <c r="M4" s="230"/>
      <c r="N4" s="230"/>
      <c r="O4" s="231"/>
      <c r="P4" s="232"/>
      <c r="Q4" s="232"/>
      <c r="R4" s="232"/>
      <c r="S4" s="232"/>
      <c r="T4" s="230"/>
      <c r="U4" s="230"/>
      <c r="V4" s="235"/>
      <c r="W4" s="236"/>
      <c r="X4" s="237"/>
      <c r="Y4" s="230"/>
      <c r="Z4" s="222"/>
      <c r="AA4" s="238"/>
      <c r="AB4" s="233"/>
      <c r="AC4" s="112">
        <v>43373</v>
      </c>
      <c r="AD4" s="113">
        <v>43380</v>
      </c>
      <c r="AE4" s="113">
        <v>43387</v>
      </c>
      <c r="AF4" s="113">
        <v>43394</v>
      </c>
      <c r="AG4" s="113">
        <v>43401</v>
      </c>
      <c r="AH4" s="113">
        <v>43408</v>
      </c>
      <c r="AI4" s="113">
        <v>43415</v>
      </c>
      <c r="AJ4" s="113">
        <v>43422</v>
      </c>
      <c r="AK4" s="113">
        <v>43429</v>
      </c>
      <c r="AL4" s="113">
        <v>43436</v>
      </c>
      <c r="AM4" s="113">
        <v>43443</v>
      </c>
      <c r="AN4" s="113">
        <v>43450</v>
      </c>
      <c r="AO4" s="113">
        <v>43457</v>
      </c>
      <c r="AP4" s="113">
        <v>43464</v>
      </c>
      <c r="AQ4" s="113">
        <v>43471</v>
      </c>
      <c r="AR4" s="113">
        <v>43478</v>
      </c>
      <c r="AS4" s="113">
        <v>43485</v>
      </c>
      <c r="AT4" s="113">
        <v>43492</v>
      </c>
      <c r="AU4" s="113">
        <v>43499</v>
      </c>
      <c r="AV4" s="113">
        <v>43506</v>
      </c>
      <c r="AW4" s="113">
        <v>43513</v>
      </c>
      <c r="AX4" s="113">
        <v>43520</v>
      </c>
      <c r="AY4" s="113">
        <v>43527</v>
      </c>
      <c r="AZ4" s="115"/>
      <c r="BA4" s="121"/>
      <c r="BB4" s="122"/>
      <c r="BC4" s="122"/>
      <c r="BD4" s="122"/>
      <c r="BE4" s="122"/>
      <c r="BF4" s="122"/>
      <c r="BG4" s="122"/>
      <c r="BH4" s="122"/>
      <c r="BI4" s="122"/>
      <c r="BJ4" s="122"/>
      <c r="BK4" s="122"/>
      <c r="BL4" s="122"/>
      <c r="BM4" s="122"/>
      <c r="BN4" s="122"/>
      <c r="BO4" s="122"/>
      <c r="BP4" s="122"/>
      <c r="BQ4" s="122"/>
      <c r="BR4" s="122"/>
      <c r="BS4" s="122"/>
      <c r="BT4" s="122"/>
      <c r="BU4" s="122"/>
      <c r="BV4" s="122"/>
      <c r="BW4" s="122"/>
      <c r="BX4" s="122"/>
      <c r="BY4" s="122"/>
      <c r="BZ4" s="122"/>
      <c r="CA4" s="122"/>
      <c r="CB4" s="122"/>
      <c r="CC4" s="122"/>
      <c r="CD4" s="122"/>
      <c r="CE4" s="122"/>
      <c r="CF4" s="122"/>
      <c r="CG4" s="122"/>
      <c r="CH4" s="122"/>
      <c r="CI4" s="122"/>
      <c r="CJ4" s="122"/>
      <c r="CK4" s="122"/>
      <c r="CL4" s="122"/>
      <c r="CM4" s="122"/>
      <c r="CN4" s="122"/>
      <c r="CO4" s="122"/>
      <c r="CP4" s="122"/>
      <c r="CQ4" s="122"/>
      <c r="CR4" s="122"/>
      <c r="CS4" s="122"/>
      <c r="CT4" s="122"/>
      <c r="CU4" s="122"/>
      <c r="CV4" s="122"/>
      <c r="CW4" s="122"/>
      <c r="CX4" s="122"/>
      <c r="CY4" s="122"/>
      <c r="CZ4" s="122"/>
      <c r="DA4" s="122"/>
      <c r="DB4" s="122"/>
      <c r="DC4" s="122"/>
      <c r="DD4" s="122"/>
      <c r="DE4" s="122"/>
      <c r="DF4" s="122"/>
      <c r="DG4" s="122"/>
      <c r="DH4" s="122"/>
      <c r="DI4" s="122"/>
      <c r="DJ4" s="122"/>
      <c r="DK4" s="122"/>
      <c r="DL4" s="122"/>
      <c r="DM4" s="122"/>
      <c r="DN4" s="122"/>
      <c r="DO4" s="122"/>
      <c r="DP4" s="122"/>
      <c r="DQ4" s="122"/>
      <c r="DR4" s="122"/>
      <c r="DS4" s="122"/>
      <c r="DT4" s="122"/>
      <c r="DU4" s="122"/>
      <c r="DV4" s="122"/>
      <c r="DW4" s="122"/>
      <c r="DX4" s="122"/>
      <c r="DY4" s="122"/>
      <c r="DZ4" s="122"/>
      <c r="EA4" s="122"/>
      <c r="EB4" s="122"/>
      <c r="EC4" s="122"/>
      <c r="ED4" s="122"/>
      <c r="EE4" s="122"/>
      <c r="EF4" s="122"/>
      <c r="EG4" s="122"/>
      <c r="EH4" s="122"/>
      <c r="EI4" s="122"/>
      <c r="EJ4" s="122"/>
      <c r="EK4" s="122"/>
      <c r="EL4" s="122"/>
      <c r="EM4" s="122"/>
      <c r="EN4" s="122"/>
      <c r="EO4" s="122"/>
      <c r="EP4" s="122"/>
      <c r="EQ4" s="122"/>
      <c r="ER4" s="122"/>
      <c r="ES4" s="122"/>
      <c r="ET4" s="122"/>
      <c r="EU4" s="122"/>
      <c r="EV4" s="122"/>
      <c r="EW4" s="122"/>
      <c r="EX4" s="122"/>
      <c r="EY4" s="122"/>
      <c r="EZ4" s="122"/>
      <c r="FA4" s="122"/>
      <c r="FB4" s="122"/>
      <c r="FC4" s="122"/>
      <c r="FD4" s="122"/>
      <c r="FE4" s="122"/>
      <c r="FF4" s="122"/>
      <c r="FG4" s="122"/>
      <c r="FH4" s="122"/>
      <c r="FI4" s="122"/>
      <c r="FJ4" s="122"/>
      <c r="FK4" s="122"/>
      <c r="FL4" s="122"/>
      <c r="FM4" s="122"/>
      <c r="FN4" s="122"/>
      <c r="FO4" s="122"/>
      <c r="FP4" s="122"/>
      <c r="FQ4" s="122"/>
      <c r="FR4" s="122"/>
      <c r="FS4" s="122"/>
      <c r="FT4" s="122"/>
      <c r="FU4" s="122"/>
      <c r="FV4" s="122"/>
      <c r="FW4" s="122"/>
      <c r="FX4" s="122"/>
      <c r="FY4" s="122"/>
      <c r="FZ4" s="122"/>
      <c r="GA4" s="122"/>
      <c r="GB4" s="122"/>
      <c r="GC4" s="122"/>
      <c r="GD4" s="122"/>
      <c r="GE4" s="122"/>
      <c r="GF4" s="122"/>
      <c r="GG4" s="122"/>
    </row>
    <row r="5" spans="1:189">
      <c r="A5" s="116"/>
      <c r="B5" s="116" t="s">
        <v>1087</v>
      </c>
      <c r="C5" s="116">
        <v>1</v>
      </c>
      <c r="D5" s="3" t="s">
        <v>1088</v>
      </c>
      <c r="E5" s="184" t="s">
        <v>538</v>
      </c>
      <c r="F5" s="184"/>
      <c r="G5" s="184"/>
      <c r="H5" s="184"/>
      <c r="I5" s="184"/>
      <c r="J5" s="184"/>
      <c r="K5" s="184"/>
      <c r="L5" s="184"/>
      <c r="M5" s="185">
        <v>43375</v>
      </c>
      <c r="N5" s="185">
        <v>43526</v>
      </c>
      <c r="O5" s="186"/>
      <c r="P5" s="187">
        <v>44</v>
      </c>
      <c r="Q5" s="187">
        <v>44</v>
      </c>
      <c r="R5" s="188">
        <v>101</v>
      </c>
      <c r="S5" s="188">
        <v>101</v>
      </c>
      <c r="T5" s="185"/>
      <c r="U5" s="185"/>
      <c r="V5" s="189">
        <v>0</v>
      </c>
      <c r="W5" s="190">
        <v>0</v>
      </c>
      <c r="X5" s="191"/>
      <c r="Y5" s="186"/>
      <c r="Z5" s="192"/>
      <c r="AA5" s="97">
        <v>1</v>
      </c>
      <c r="AB5" s="193">
        <v>0.11363636363636363</v>
      </c>
      <c r="AC5" s="123"/>
      <c r="AD5" s="4"/>
      <c r="AE5" s="4" t="str">
        <f>"     " &amp; TEXT(AB5,"#0.00%") &amp; " "</f>
        <v xml:space="preserve">     11.36% </v>
      </c>
      <c r="AF5" s="4"/>
      <c r="AG5" s="4"/>
      <c r="AH5" s="4"/>
      <c r="AI5" s="4"/>
      <c r="AJ5" s="4"/>
      <c r="AK5" s="4"/>
      <c r="AL5" s="4"/>
      <c r="AM5" s="4"/>
      <c r="AN5" s="4"/>
      <c r="AO5" s="4"/>
      <c r="AP5" s="4"/>
      <c r="AQ5" s="4"/>
      <c r="AR5" s="4"/>
      <c r="AS5" s="4"/>
      <c r="AT5" s="4"/>
      <c r="AU5" s="4"/>
      <c r="AV5" s="4"/>
      <c r="AW5" s="4"/>
      <c r="AX5" s="4"/>
      <c r="AY5" s="4" t="str">
        <f>"" &amp; "프로젝트 관리" &amp; " " &amp; IF(M5="","",TEXT(M5,"M/D-")) &amp; IF(N5="","",TEXT(N5,"M/D")) &amp; " "</f>
        <v xml:space="preserve">프로젝트 관리 10/2-3/2 </v>
      </c>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row>
    <row r="6" spans="1:189" outlineLevel="1">
      <c r="A6" s="116"/>
      <c r="B6" s="116" t="s">
        <v>1087</v>
      </c>
      <c r="C6" s="116">
        <v>2</v>
      </c>
      <c r="D6" s="3" t="s">
        <v>1089</v>
      </c>
      <c r="E6" s="184"/>
      <c r="F6" s="184" t="s">
        <v>913</v>
      </c>
      <c r="G6" s="184"/>
      <c r="H6" s="184"/>
      <c r="I6" s="184"/>
      <c r="J6" s="184"/>
      <c r="K6" s="184"/>
      <c r="L6" s="184"/>
      <c r="M6" s="185">
        <v>43375</v>
      </c>
      <c r="N6" s="185">
        <v>43397</v>
      </c>
      <c r="O6" s="186"/>
      <c r="P6" s="187">
        <v>6</v>
      </c>
      <c r="Q6" s="187">
        <v>6</v>
      </c>
      <c r="R6" s="188">
        <v>15</v>
      </c>
      <c r="S6" s="188">
        <v>15</v>
      </c>
      <c r="T6" s="185"/>
      <c r="U6" s="185"/>
      <c r="V6" s="189">
        <v>0</v>
      </c>
      <c r="W6" s="190">
        <v>0</v>
      </c>
      <c r="X6" s="191"/>
      <c r="Y6" s="186"/>
      <c r="Z6" s="192"/>
      <c r="AA6" s="97">
        <v>1</v>
      </c>
      <c r="AB6" s="193">
        <v>0.83333333333333337</v>
      </c>
      <c r="AC6" s="123"/>
      <c r="AD6" s="4"/>
      <c r="AE6" s="4"/>
      <c r="AF6" s="4" t="str">
        <f>"" &amp; TEXT(AB6,"#0.00%") &amp; " " &amp; "프로젝트 착수 및 계획수립" &amp; " " &amp; IF(M6="","",TEXT(M6,"M/D-")) &amp; IF(N6="","",TEXT(N6,"M/D")) &amp; " "</f>
        <v xml:space="preserve">83.33% 프로젝트 착수 및 계획수립 10/2-10/24 </v>
      </c>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row>
    <row r="7" spans="1:189" outlineLevel="2">
      <c r="A7" s="116"/>
      <c r="B7" s="116"/>
      <c r="C7" s="116">
        <v>3</v>
      </c>
      <c r="D7" s="3" t="s">
        <v>990</v>
      </c>
      <c r="E7" s="184"/>
      <c r="F7" s="184"/>
      <c r="G7" s="184" t="s">
        <v>0</v>
      </c>
      <c r="H7" s="184"/>
      <c r="I7" s="184"/>
      <c r="J7" s="184"/>
      <c r="K7" s="184"/>
      <c r="L7" s="184"/>
      <c r="M7" s="185">
        <v>43375</v>
      </c>
      <c r="N7" s="185">
        <v>43376</v>
      </c>
      <c r="O7" s="186"/>
      <c r="P7" s="187">
        <v>1</v>
      </c>
      <c r="Q7" s="187">
        <v>1</v>
      </c>
      <c r="R7" s="188">
        <v>1</v>
      </c>
      <c r="S7" s="188">
        <v>1</v>
      </c>
      <c r="T7" s="185">
        <v>43305</v>
      </c>
      <c r="U7" s="185">
        <v>43306</v>
      </c>
      <c r="V7" s="189">
        <v>2</v>
      </c>
      <c r="W7" s="190">
        <v>2</v>
      </c>
      <c r="X7" s="191">
        <v>1</v>
      </c>
      <c r="Y7" s="186" t="s">
        <v>995</v>
      </c>
      <c r="Z7" s="192"/>
      <c r="AA7" s="97">
        <v>1</v>
      </c>
      <c r="AB7" s="193">
        <v>1</v>
      </c>
      <c r="AC7" s="123" t="str">
        <f>"    " &amp; TEXT(AB7,"#0.00%") &amp; " " &amp; "프로젝트 착수" &amp; "(홍길동)" &amp; " " &amp; IF(M7="","",TEXT(M7,"M/D-")) &amp; IF(N7="","",TEXT(N7,"M/D")) &amp; " "</f>
        <v xml:space="preserve">    100.00% 프로젝트 착수(홍길동) 10/2-10/3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row>
    <row r="8" spans="1:189" outlineLevel="2">
      <c r="A8" s="116"/>
      <c r="B8" s="116" t="s">
        <v>1087</v>
      </c>
      <c r="C8" s="116">
        <v>3</v>
      </c>
      <c r="D8" s="3" t="s">
        <v>1090</v>
      </c>
      <c r="E8" s="184"/>
      <c r="F8" s="184"/>
      <c r="G8" s="184" t="s">
        <v>914</v>
      </c>
      <c r="H8" s="184"/>
      <c r="I8" s="184"/>
      <c r="J8" s="184"/>
      <c r="K8" s="184"/>
      <c r="L8" s="184"/>
      <c r="M8" s="185">
        <v>43379</v>
      </c>
      <c r="N8" s="185">
        <v>43397</v>
      </c>
      <c r="O8" s="186"/>
      <c r="P8" s="187">
        <v>5</v>
      </c>
      <c r="Q8" s="187">
        <v>5</v>
      </c>
      <c r="R8" s="188">
        <v>12</v>
      </c>
      <c r="S8" s="188">
        <v>12</v>
      </c>
      <c r="T8" s="185"/>
      <c r="U8" s="185"/>
      <c r="V8" s="189">
        <v>0</v>
      </c>
      <c r="W8" s="190">
        <v>0</v>
      </c>
      <c r="X8" s="191"/>
      <c r="Y8" s="186" t="s">
        <v>1002</v>
      </c>
      <c r="Z8" s="192"/>
      <c r="AA8" s="97">
        <v>1</v>
      </c>
      <c r="AB8" s="193">
        <v>0.8</v>
      </c>
      <c r="AC8" s="123"/>
      <c r="AD8" s="4"/>
      <c r="AE8" s="4"/>
      <c r="AF8" s="4" t="str">
        <f>"" &amp; TEXT(AB8,"#0.00%") &amp; " " &amp; "프로젝트 범위정의" &amp; "(홍길동,김길동,이길동)" &amp; " " &amp; IF(M8="","",TEXT(M8,"M/D-")) &amp; IF(N8="","",TEXT(N8,"M/D")) &amp; " "</f>
        <v xml:space="preserve">80.00% 프로젝트 범위정의(홍길동,김길동,이길동) 10/6-10/24 </v>
      </c>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row>
    <row r="9" spans="1:189" outlineLevel="3">
      <c r="A9" s="116"/>
      <c r="B9" s="116"/>
      <c r="C9" s="116">
        <v>4</v>
      </c>
      <c r="D9" s="3" t="s">
        <v>449</v>
      </c>
      <c r="E9" s="184"/>
      <c r="F9" s="184"/>
      <c r="G9" s="184"/>
      <c r="H9" s="184" t="s">
        <v>427</v>
      </c>
      <c r="I9" s="184"/>
      <c r="J9" s="184"/>
      <c r="K9" s="184"/>
      <c r="L9" s="184"/>
      <c r="M9" s="185">
        <v>43379</v>
      </c>
      <c r="N9" s="185">
        <v>43385</v>
      </c>
      <c r="O9" s="186"/>
      <c r="P9" s="187">
        <v>4</v>
      </c>
      <c r="Q9" s="187">
        <v>4</v>
      </c>
      <c r="R9" s="188">
        <v>4</v>
      </c>
      <c r="S9" s="188">
        <v>4</v>
      </c>
      <c r="T9" s="185">
        <v>43309</v>
      </c>
      <c r="U9" s="185">
        <v>43315</v>
      </c>
      <c r="V9" s="189">
        <v>5</v>
      </c>
      <c r="W9" s="190">
        <v>5</v>
      </c>
      <c r="X9" s="191">
        <v>1</v>
      </c>
      <c r="Y9" s="186" t="s">
        <v>1002</v>
      </c>
      <c r="Z9" s="192" t="s">
        <v>1053</v>
      </c>
      <c r="AA9" s="97">
        <v>1</v>
      </c>
      <c r="AB9" s="193">
        <v>1</v>
      </c>
      <c r="AC9" s="123"/>
      <c r="AD9" s="4" t="str">
        <f>"      " &amp; TEXT(AB9,"#0.00%") &amp; " " &amp; "프로젝트 계획 수립" &amp; "(홍길동,김길동,이길동)" &amp; " " &amp; IF(M9="","",TEXT(M9,"M/D-")) &amp; IF(N9="","",TEXT(N9,"M/D")) &amp; " "</f>
        <v xml:space="preserve">      100.00% 프로젝트 계획 수립(홍길동,김길동,이길동) 10/6-10/12 </v>
      </c>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row>
    <row r="10" spans="1:189" outlineLevel="3">
      <c r="A10" s="116"/>
      <c r="B10" s="116"/>
      <c r="C10" s="116">
        <v>4</v>
      </c>
      <c r="D10" s="3" t="s">
        <v>450</v>
      </c>
      <c r="E10" s="184"/>
      <c r="F10" s="184"/>
      <c r="G10" s="184"/>
      <c r="H10" s="184" t="s">
        <v>438</v>
      </c>
      <c r="I10" s="184"/>
      <c r="J10" s="184"/>
      <c r="K10" s="184"/>
      <c r="L10" s="184"/>
      <c r="M10" s="185">
        <v>43397</v>
      </c>
      <c r="N10" s="185">
        <v>43397</v>
      </c>
      <c r="O10" s="186"/>
      <c r="P10" s="187">
        <v>1</v>
      </c>
      <c r="Q10" s="187">
        <v>1</v>
      </c>
      <c r="R10" s="188">
        <v>1</v>
      </c>
      <c r="S10" s="188">
        <v>1</v>
      </c>
      <c r="T10" s="185"/>
      <c r="U10" s="185"/>
      <c r="V10" s="189"/>
      <c r="W10" s="190">
        <v>0</v>
      </c>
      <c r="X10" s="191">
        <v>1</v>
      </c>
      <c r="Y10" s="186" t="s">
        <v>995</v>
      </c>
      <c r="Z10" s="192"/>
      <c r="AA10" s="97">
        <v>1</v>
      </c>
      <c r="AB10" s="193">
        <v>0</v>
      </c>
      <c r="AC10" s="123"/>
      <c r="AD10" s="4"/>
      <c r="AE10" s="4"/>
      <c r="AF10" s="4" t="str">
        <f>"   " &amp; TEXT(AB10,"#0.00%") &amp; " " &amp; "착수보고(Kick off)" &amp; "(홍길동)" &amp; " " &amp; IF(M10="","",TEXT(M10,"M/D-")) &amp; IF(N10="","",TEXT(N10,"M/D")) &amp; " "</f>
        <v xml:space="preserve">   0.00% 착수보고(Kick off)(홍길동) 10/24-10/24 </v>
      </c>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row>
    <row r="11" spans="1:189" outlineLevel="1">
      <c r="A11" s="116"/>
      <c r="B11" s="116" t="s">
        <v>1087</v>
      </c>
      <c r="C11" s="116">
        <v>2</v>
      </c>
      <c r="D11" s="3" t="s">
        <v>1091</v>
      </c>
      <c r="E11" s="184"/>
      <c r="F11" s="184" t="s">
        <v>993</v>
      </c>
      <c r="G11" s="184"/>
      <c r="H11" s="184"/>
      <c r="I11" s="184"/>
      <c r="J11" s="184"/>
      <c r="K11" s="184"/>
      <c r="L11" s="184"/>
      <c r="M11" s="185">
        <v>43397</v>
      </c>
      <c r="N11" s="185">
        <v>43493</v>
      </c>
      <c r="O11" s="186"/>
      <c r="P11" s="187">
        <v>23</v>
      </c>
      <c r="Q11" s="187">
        <v>23</v>
      </c>
      <c r="R11" s="188">
        <v>67</v>
      </c>
      <c r="S11" s="188">
        <v>67</v>
      </c>
      <c r="T11" s="185"/>
      <c r="U11" s="185"/>
      <c r="V11" s="189">
        <v>0</v>
      </c>
      <c r="W11" s="190">
        <v>0</v>
      </c>
      <c r="X11" s="191"/>
      <c r="Y11" s="186"/>
      <c r="Z11" s="192"/>
      <c r="AA11" s="97">
        <v>1</v>
      </c>
      <c r="AB11" s="193">
        <v>0</v>
      </c>
      <c r="AC11" s="123"/>
      <c r="AD11" s="4"/>
      <c r="AE11" s="4"/>
      <c r="AF11" s="4" t="str">
        <f>"   " &amp; TEXT(AB11,"#0.00%") &amp; " "</f>
        <v xml:space="preserve">   0.00% </v>
      </c>
      <c r="AG11" s="4"/>
      <c r="AH11" s="4"/>
      <c r="AI11" s="4"/>
      <c r="AJ11" s="4"/>
      <c r="AK11" s="4"/>
      <c r="AL11" s="4"/>
      <c r="AM11" s="4"/>
      <c r="AN11" s="4"/>
      <c r="AO11" s="4"/>
      <c r="AP11" s="4"/>
      <c r="AQ11" s="4"/>
      <c r="AR11" s="4"/>
      <c r="AS11" s="4"/>
      <c r="AT11" s="4" t="str">
        <f>"  " &amp; "프로젝트 수행 및 통제" &amp; " " &amp; IF(M11="","",TEXT(M11,"M/D-")) &amp; IF(N11="","",TEXT(N11,"M/D")) &amp; " "</f>
        <v xml:space="preserve">  프로젝트 수행 및 통제 10/24-1/28 </v>
      </c>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row>
    <row r="12" spans="1:189" outlineLevel="2">
      <c r="A12" s="116"/>
      <c r="B12" s="116"/>
      <c r="C12" s="116">
        <v>3</v>
      </c>
      <c r="D12" s="3" t="s">
        <v>431</v>
      </c>
      <c r="E12" s="184"/>
      <c r="F12" s="184"/>
      <c r="G12" s="184" t="s">
        <v>439</v>
      </c>
      <c r="H12" s="184"/>
      <c r="I12" s="184"/>
      <c r="J12" s="184"/>
      <c r="K12" s="184"/>
      <c r="L12" s="184"/>
      <c r="M12" s="185">
        <v>43400</v>
      </c>
      <c r="N12" s="185">
        <v>43404</v>
      </c>
      <c r="O12" s="186"/>
      <c r="P12" s="187">
        <v>3</v>
      </c>
      <c r="Q12" s="187">
        <v>3</v>
      </c>
      <c r="R12" s="188">
        <v>3</v>
      </c>
      <c r="S12" s="188">
        <v>3</v>
      </c>
      <c r="T12" s="185">
        <v>43330</v>
      </c>
      <c r="U12" s="185">
        <v>43334</v>
      </c>
      <c r="V12" s="189">
        <v>3</v>
      </c>
      <c r="W12" s="190">
        <v>3</v>
      </c>
      <c r="X12" s="191">
        <v>1</v>
      </c>
      <c r="Y12" s="186" t="s">
        <v>991</v>
      </c>
      <c r="Z12" s="192"/>
      <c r="AA12" s="97">
        <v>1</v>
      </c>
      <c r="AB12" s="193">
        <v>0</v>
      </c>
      <c r="AC12" s="123"/>
      <c r="AD12" s="4"/>
      <c r="AE12" s="4"/>
      <c r="AF12" s="4" t="str">
        <f>"      " &amp; TEXT(AB12,"#0.00%") &amp; " " &amp; "월간보고1" &amp; "(김길동)" &amp; " " &amp; IF(M12="","",TEXT(M12,"M/D-")) &amp; IF(N12="","",TEXT(N12,"M/D")) &amp; " "</f>
        <v xml:space="preserve">      0.00% 월간보고1(김길동) 10/27-10/31 </v>
      </c>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row>
    <row r="13" spans="1:189" outlineLevel="2">
      <c r="A13" s="116"/>
      <c r="B13" s="116"/>
      <c r="C13" s="116">
        <v>3</v>
      </c>
      <c r="D13" s="3" t="s">
        <v>432</v>
      </c>
      <c r="E13" s="184"/>
      <c r="F13" s="184"/>
      <c r="G13" s="184" t="s">
        <v>440</v>
      </c>
      <c r="H13" s="184"/>
      <c r="I13" s="184"/>
      <c r="J13" s="184"/>
      <c r="K13" s="184"/>
      <c r="L13" s="184"/>
      <c r="M13" s="185">
        <v>43432</v>
      </c>
      <c r="N13" s="185">
        <v>43432</v>
      </c>
      <c r="O13" s="186"/>
      <c r="P13" s="187">
        <v>1</v>
      </c>
      <c r="Q13" s="187">
        <v>1</v>
      </c>
      <c r="R13" s="188">
        <v>1</v>
      </c>
      <c r="S13" s="188">
        <v>1</v>
      </c>
      <c r="T13" s="185"/>
      <c r="U13" s="185"/>
      <c r="V13" s="189"/>
      <c r="W13" s="190">
        <v>0</v>
      </c>
      <c r="X13" s="191">
        <v>1</v>
      </c>
      <c r="Y13" s="186" t="s">
        <v>991</v>
      </c>
      <c r="Z13" s="192"/>
      <c r="AA13" s="97">
        <v>1</v>
      </c>
      <c r="AB13" s="193">
        <v>0</v>
      </c>
      <c r="AC13" s="123"/>
      <c r="AD13" s="4"/>
      <c r="AE13" s="4"/>
      <c r="AF13" s="4"/>
      <c r="AG13" s="4"/>
      <c r="AH13" s="4"/>
      <c r="AI13" s="4"/>
      <c r="AJ13" s="4"/>
      <c r="AK13" s="4" t="str">
        <f>"   " &amp; TEXT(AB13,"#0.00%") &amp; " " &amp; "월간보고2" &amp; "(김길동)" &amp; " " &amp; IF(M13="","",TEXT(M13,"M/D-")) &amp; IF(N13="","",TEXT(N13,"M/D")) &amp; " "</f>
        <v xml:space="preserve">   0.00% 월간보고2(김길동) 11/28-11/28 </v>
      </c>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row>
    <row r="14" spans="1:189" outlineLevel="2">
      <c r="A14" s="116"/>
      <c r="B14" s="116"/>
      <c r="C14" s="116">
        <v>3</v>
      </c>
      <c r="D14" s="3" t="s">
        <v>433</v>
      </c>
      <c r="E14" s="184"/>
      <c r="F14" s="184"/>
      <c r="G14" s="184" t="s">
        <v>441</v>
      </c>
      <c r="H14" s="184"/>
      <c r="I14" s="184"/>
      <c r="J14" s="184"/>
      <c r="K14" s="184"/>
      <c r="L14" s="184"/>
      <c r="M14" s="185">
        <v>43468</v>
      </c>
      <c r="N14" s="185">
        <v>43493</v>
      </c>
      <c r="O14" s="186"/>
      <c r="P14" s="187">
        <v>18</v>
      </c>
      <c r="Q14" s="187">
        <v>18</v>
      </c>
      <c r="R14" s="188">
        <v>18</v>
      </c>
      <c r="S14" s="188">
        <v>18</v>
      </c>
      <c r="T14" s="185"/>
      <c r="U14" s="185"/>
      <c r="V14" s="189"/>
      <c r="W14" s="190">
        <v>0</v>
      </c>
      <c r="X14" s="191">
        <v>1</v>
      </c>
      <c r="Y14" s="186"/>
      <c r="Z14" s="192"/>
      <c r="AA14" s="97">
        <v>1</v>
      </c>
      <c r="AB14" s="193">
        <v>0</v>
      </c>
      <c r="AC14" s="123"/>
      <c r="AD14" s="4"/>
      <c r="AE14" s="4"/>
      <c r="AF14" s="4"/>
      <c r="AG14" s="4"/>
      <c r="AH14" s="4"/>
      <c r="AI14" s="4"/>
      <c r="AJ14" s="4"/>
      <c r="AK14" s="4"/>
      <c r="AL14" s="4"/>
      <c r="AM14" s="4"/>
      <c r="AN14" s="4"/>
      <c r="AO14" s="4"/>
      <c r="AP14" s="4" t="str">
        <f>"    " &amp; TEXT(AB14,"#0.00%") &amp; " "</f>
        <v xml:space="preserve">    0.00% </v>
      </c>
      <c r="AQ14" s="4"/>
      <c r="AR14" s="4"/>
      <c r="AS14" s="4"/>
      <c r="AT14" s="4" t="str">
        <f>"  " &amp; "월간보고3" &amp; " " &amp; IF(M14="","",TEXT(M14,"M/D-")) &amp; IF(N14="","",TEXT(N14,"M/D")) &amp; " "</f>
        <v xml:space="preserve">  월간보고3 1/3-1/28 </v>
      </c>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row>
    <row r="15" spans="1:189" outlineLevel="2">
      <c r="A15" s="116"/>
      <c r="B15" s="116"/>
      <c r="C15" s="116">
        <v>3</v>
      </c>
      <c r="D15" s="3" t="s">
        <v>434</v>
      </c>
      <c r="E15" s="184"/>
      <c r="F15" s="184"/>
      <c r="G15" s="184" t="s">
        <v>1003</v>
      </c>
      <c r="H15" s="184"/>
      <c r="I15" s="184"/>
      <c r="J15" s="184"/>
      <c r="K15" s="184"/>
      <c r="L15" s="184"/>
      <c r="M15" s="185">
        <v>43397</v>
      </c>
      <c r="N15" s="185">
        <v>43397</v>
      </c>
      <c r="O15" s="186"/>
      <c r="P15" s="187">
        <v>1</v>
      </c>
      <c r="Q15" s="187">
        <v>1</v>
      </c>
      <c r="R15" s="188">
        <v>1</v>
      </c>
      <c r="S15" s="188">
        <v>1</v>
      </c>
      <c r="T15" s="185"/>
      <c r="U15" s="185"/>
      <c r="V15" s="189"/>
      <c r="W15" s="190">
        <v>0</v>
      </c>
      <c r="X15" s="191">
        <v>1</v>
      </c>
      <c r="Y15" s="186"/>
      <c r="Z15" s="192"/>
      <c r="AA15" s="97">
        <v>1</v>
      </c>
      <c r="AB15" s="193">
        <v>0</v>
      </c>
      <c r="AC15" s="123"/>
      <c r="AD15" s="4"/>
      <c r="AE15" s="4"/>
      <c r="AF15" s="4" t="str">
        <f>"   " &amp; TEXT(AB15,"#0.00%") &amp; " " &amp; "중간보고" &amp; " " &amp; IF(M15="","",TEXT(M15,"M/D-")) &amp; IF(N15="","",TEXT(N15,"M/D")) &amp; " "</f>
        <v xml:space="preserve">   0.00% 중간보고 10/24-10/24 </v>
      </c>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row>
    <row r="16" spans="1:189" outlineLevel="2">
      <c r="A16" s="116"/>
      <c r="B16" s="116"/>
      <c r="C16" s="116">
        <v>0</v>
      </c>
      <c r="D16" s="3"/>
      <c r="E16" s="184"/>
      <c r="F16" s="184"/>
      <c r="G16" s="184"/>
      <c r="H16" s="184"/>
      <c r="I16" s="184"/>
      <c r="J16" s="184"/>
      <c r="K16" s="184"/>
      <c r="L16" s="184"/>
      <c r="M16" s="185"/>
      <c r="N16" s="185"/>
      <c r="O16" s="186"/>
      <c r="P16" s="187"/>
      <c r="Q16" s="187"/>
      <c r="R16" s="188">
        <v>0</v>
      </c>
      <c r="S16" s="188">
        <v>0</v>
      </c>
      <c r="T16" s="185"/>
      <c r="U16" s="185"/>
      <c r="V16" s="189"/>
      <c r="W16" s="190">
        <v>0</v>
      </c>
      <c r="X16" s="191"/>
      <c r="Y16" s="186"/>
      <c r="Z16" s="192"/>
      <c r="AA16" s="97"/>
      <c r="AB16" s="193"/>
      <c r="AC16" s="123"/>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row>
    <row r="17" spans="1:189" outlineLevel="1">
      <c r="A17" s="116"/>
      <c r="B17" s="116" t="s">
        <v>1087</v>
      </c>
      <c r="C17" s="116">
        <v>2</v>
      </c>
      <c r="D17" s="3" t="s">
        <v>1092</v>
      </c>
      <c r="E17" s="184"/>
      <c r="F17" s="184" t="s">
        <v>994</v>
      </c>
      <c r="G17" s="184"/>
      <c r="H17" s="184"/>
      <c r="I17" s="184"/>
      <c r="J17" s="184"/>
      <c r="K17" s="184"/>
      <c r="L17" s="184"/>
      <c r="M17" s="185">
        <v>43501</v>
      </c>
      <c r="N17" s="185">
        <v>43526</v>
      </c>
      <c r="O17" s="186"/>
      <c r="P17" s="187">
        <v>15</v>
      </c>
      <c r="Q17" s="187">
        <v>15</v>
      </c>
      <c r="R17" s="188">
        <v>16</v>
      </c>
      <c r="S17" s="188">
        <v>16</v>
      </c>
      <c r="T17" s="185"/>
      <c r="U17" s="185"/>
      <c r="V17" s="189">
        <v>0</v>
      </c>
      <c r="W17" s="190">
        <v>0</v>
      </c>
      <c r="X17" s="191"/>
      <c r="Y17" s="186"/>
      <c r="Z17" s="192"/>
      <c r="AA17" s="97">
        <v>1</v>
      </c>
      <c r="AB17" s="193">
        <v>0</v>
      </c>
      <c r="AC17" s="123"/>
      <c r="AD17" s="4"/>
      <c r="AE17" s="4"/>
      <c r="AF17" s="4"/>
      <c r="AG17" s="4"/>
      <c r="AH17" s="4"/>
      <c r="AI17" s="4"/>
      <c r="AJ17" s="4"/>
      <c r="AK17" s="4"/>
      <c r="AL17" s="4"/>
      <c r="AM17" s="4"/>
      <c r="AN17" s="4"/>
      <c r="AO17" s="4"/>
      <c r="AP17" s="4"/>
      <c r="AQ17" s="4"/>
      <c r="AR17" s="4"/>
      <c r="AS17" s="4"/>
      <c r="AT17" s="4"/>
      <c r="AU17" s="4" t="str">
        <f>"  " &amp; TEXT(AB17,"#0.00%") &amp; " "</f>
        <v xml:space="preserve">  0.00% </v>
      </c>
      <c r="AV17" s="4"/>
      <c r="AW17" s="4"/>
      <c r="AX17" s="4"/>
      <c r="AY17" s="4" t="str">
        <f>"" &amp; "프로젝트 종료" &amp; " " &amp; IF(M17="","",TEXT(M17,"M/D-")) &amp; IF(N17="","",TEXT(N17,"M/D")) &amp; " "</f>
        <v xml:space="preserve">프로젝트 종료 2/5-3/2 </v>
      </c>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row>
    <row r="18" spans="1:189" outlineLevel="2">
      <c r="A18" s="116"/>
      <c r="B18" s="116"/>
      <c r="C18" s="116">
        <v>3</v>
      </c>
      <c r="D18" s="3" t="s">
        <v>435</v>
      </c>
      <c r="E18" s="184"/>
      <c r="F18" s="184"/>
      <c r="G18" s="184" t="s">
        <v>442</v>
      </c>
      <c r="H18" s="184"/>
      <c r="I18" s="184"/>
      <c r="J18" s="184"/>
      <c r="K18" s="184"/>
      <c r="L18" s="184"/>
      <c r="M18" s="185">
        <v>43501</v>
      </c>
      <c r="N18" s="185">
        <v>43505</v>
      </c>
      <c r="O18" s="186"/>
      <c r="P18" s="187">
        <v>2</v>
      </c>
      <c r="Q18" s="187">
        <v>2</v>
      </c>
      <c r="R18" s="188">
        <v>2</v>
      </c>
      <c r="S18" s="188">
        <v>2</v>
      </c>
      <c r="T18" s="185"/>
      <c r="U18" s="185"/>
      <c r="V18" s="189"/>
      <c r="W18" s="190">
        <v>0</v>
      </c>
      <c r="X18" s="191">
        <v>1</v>
      </c>
      <c r="Y18" s="186" t="s">
        <v>995</v>
      </c>
      <c r="Z18" s="192"/>
      <c r="AA18" s="97">
        <v>1</v>
      </c>
      <c r="AB18" s="193">
        <v>0</v>
      </c>
      <c r="AC18" s="123"/>
      <c r="AD18" s="4"/>
      <c r="AE18" s="4"/>
      <c r="AF18" s="4"/>
      <c r="AG18" s="4"/>
      <c r="AH18" s="4"/>
      <c r="AI18" s="4"/>
      <c r="AJ18" s="4"/>
      <c r="AK18" s="4"/>
      <c r="AL18" s="4"/>
      <c r="AM18" s="4"/>
      <c r="AN18" s="4"/>
      <c r="AO18" s="4"/>
      <c r="AP18" s="4"/>
      <c r="AQ18" s="4"/>
      <c r="AR18" s="4"/>
      <c r="AS18" s="4"/>
      <c r="AT18" s="4"/>
      <c r="AU18" s="4" t="str">
        <f>"  " &amp; TEXT(AB18,"#0.00%") &amp; " " &amp; "종료계획수립" &amp; "(홍길동)" &amp; " " &amp; IF(M18="","",TEXT(M18,"M/D-")) &amp; IF(N18="","",TEXT(N18,"M/D")) &amp; " "</f>
        <v xml:space="preserve">  0.00% 종료계획수립(홍길동) 2/5-2/9 </v>
      </c>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row>
    <row r="19" spans="1:189" outlineLevel="2">
      <c r="A19" s="116"/>
      <c r="B19" s="116"/>
      <c r="C19" s="116">
        <v>3</v>
      </c>
      <c r="D19" s="3" t="s">
        <v>436</v>
      </c>
      <c r="E19" s="184"/>
      <c r="F19" s="184"/>
      <c r="G19" s="184" t="s">
        <v>443</v>
      </c>
      <c r="H19" s="184"/>
      <c r="I19" s="184"/>
      <c r="J19" s="184"/>
      <c r="K19" s="184"/>
      <c r="L19" s="184"/>
      <c r="M19" s="185">
        <v>43508</v>
      </c>
      <c r="N19" s="185">
        <v>43526</v>
      </c>
      <c r="O19" s="186"/>
      <c r="P19" s="187">
        <v>13</v>
      </c>
      <c r="Q19" s="187">
        <v>13</v>
      </c>
      <c r="R19" s="188">
        <v>13</v>
      </c>
      <c r="S19" s="188">
        <v>13</v>
      </c>
      <c r="T19" s="185"/>
      <c r="U19" s="185"/>
      <c r="V19" s="189"/>
      <c r="W19" s="190">
        <v>0</v>
      </c>
      <c r="X19" s="191">
        <v>1</v>
      </c>
      <c r="Y19" s="186" t="s">
        <v>995</v>
      </c>
      <c r="Z19" s="192"/>
      <c r="AA19" s="97">
        <v>1</v>
      </c>
      <c r="AB19" s="193">
        <v>0</v>
      </c>
      <c r="AC19" s="123"/>
      <c r="AD19" s="4"/>
      <c r="AE19" s="4"/>
      <c r="AF19" s="4"/>
      <c r="AG19" s="4"/>
      <c r="AH19" s="4"/>
      <c r="AI19" s="4"/>
      <c r="AJ19" s="4"/>
      <c r="AK19" s="4"/>
      <c r="AL19" s="4"/>
      <c r="AM19" s="4"/>
      <c r="AN19" s="4"/>
      <c r="AO19" s="4"/>
      <c r="AP19" s="4"/>
      <c r="AQ19" s="4"/>
      <c r="AR19" s="4"/>
      <c r="AS19" s="4"/>
      <c r="AT19" s="4"/>
      <c r="AU19" s="4"/>
      <c r="AV19" s="4" t="str">
        <f>"  " &amp; TEXT(AB19,"#0.00%") &amp; " "</f>
        <v xml:space="preserve">  0.00% </v>
      </c>
      <c r="AW19" s="4"/>
      <c r="AX19" s="4"/>
      <c r="AY19" s="4" t="str">
        <f>"" &amp; "시스템 인수인계" &amp; "(홍길동)" &amp; " " &amp; IF(M19="","",TEXT(M19,"M/D-")) &amp; IF(N19="","",TEXT(N19,"M/D")) &amp; " "</f>
        <v xml:space="preserve">시스템 인수인계(홍길동) 2/12-3/2 </v>
      </c>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c r="GF19" s="4"/>
      <c r="GG19" s="4"/>
    </row>
    <row r="20" spans="1:189" outlineLevel="2">
      <c r="A20" s="116"/>
      <c r="B20" s="116"/>
      <c r="C20" s="116">
        <v>3</v>
      </c>
      <c r="D20" s="3" t="s">
        <v>437</v>
      </c>
      <c r="E20" s="184"/>
      <c r="F20" s="184"/>
      <c r="G20" s="184" t="s">
        <v>444</v>
      </c>
      <c r="H20" s="184"/>
      <c r="I20" s="184"/>
      <c r="J20" s="184"/>
      <c r="K20" s="184"/>
      <c r="L20" s="184"/>
      <c r="M20" s="185">
        <v>43526</v>
      </c>
      <c r="N20" s="185">
        <v>43526</v>
      </c>
      <c r="O20" s="186"/>
      <c r="P20" s="187">
        <v>0</v>
      </c>
      <c r="Q20" s="187">
        <v>0</v>
      </c>
      <c r="R20" s="188">
        <v>0</v>
      </c>
      <c r="S20" s="188">
        <v>0</v>
      </c>
      <c r="T20" s="185"/>
      <c r="U20" s="185"/>
      <c r="V20" s="189"/>
      <c r="W20" s="190">
        <v>0</v>
      </c>
      <c r="X20" s="191">
        <v>1</v>
      </c>
      <c r="Y20" s="186" t="s">
        <v>995</v>
      </c>
      <c r="Z20" s="192"/>
      <c r="AA20" s="97">
        <v>0</v>
      </c>
      <c r="AB20" s="193">
        <v>0</v>
      </c>
      <c r="AC20" s="123"/>
      <c r="AD20" s="4"/>
      <c r="AE20" s="4"/>
      <c r="AF20" s="4"/>
      <c r="AG20" s="4"/>
      <c r="AH20" s="4"/>
      <c r="AI20" s="4"/>
      <c r="AJ20" s="4"/>
      <c r="AK20" s="4"/>
      <c r="AL20" s="4"/>
      <c r="AM20" s="4"/>
      <c r="AN20" s="4"/>
      <c r="AO20" s="4"/>
      <c r="AP20" s="4"/>
      <c r="AQ20" s="4"/>
      <c r="AR20" s="4"/>
      <c r="AS20" s="4"/>
      <c r="AT20" s="4"/>
      <c r="AU20" s="4"/>
      <c r="AV20" s="4"/>
      <c r="AW20" s="4"/>
      <c r="AX20" s="4" t="str">
        <f>"      " &amp; TEXT(AB20,"#0.00%") &amp; " " &amp; "종료보고" &amp; "(홍길동)" &amp; " " &amp; IF(M20="","",TEXT(M20,"M/D-")) &amp; IF(N20="","",TEXT(N20,"M/D")) &amp; " "</f>
        <v xml:space="preserve">      0.00% 종료보고(홍길동) 3/2-3/2 </v>
      </c>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row>
    <row r="21" spans="1:189" outlineLevel="2">
      <c r="A21" s="116"/>
      <c r="B21" s="116"/>
      <c r="C21" s="116">
        <v>3</v>
      </c>
      <c r="D21" s="3" t="s">
        <v>451</v>
      </c>
      <c r="E21" s="184"/>
      <c r="F21" s="184"/>
      <c r="G21" s="184" t="s">
        <v>445</v>
      </c>
      <c r="H21" s="184"/>
      <c r="I21" s="184"/>
      <c r="J21" s="184"/>
      <c r="K21" s="184"/>
      <c r="L21" s="184"/>
      <c r="M21" s="185">
        <v>43526</v>
      </c>
      <c r="N21" s="185">
        <v>43526</v>
      </c>
      <c r="O21" s="186"/>
      <c r="P21" s="187">
        <v>0</v>
      </c>
      <c r="Q21" s="187">
        <v>0</v>
      </c>
      <c r="R21" s="188">
        <v>0</v>
      </c>
      <c r="S21" s="188">
        <v>0</v>
      </c>
      <c r="T21" s="185"/>
      <c r="U21" s="185"/>
      <c r="V21" s="189"/>
      <c r="W21" s="190">
        <v>0</v>
      </c>
      <c r="X21" s="191">
        <v>1</v>
      </c>
      <c r="Y21" s="186" t="s">
        <v>995</v>
      </c>
      <c r="Z21" s="192"/>
      <c r="AA21" s="97">
        <v>0</v>
      </c>
      <c r="AB21" s="193">
        <v>0</v>
      </c>
      <c r="AC21" s="123"/>
      <c r="AD21" s="4"/>
      <c r="AE21" s="4"/>
      <c r="AF21" s="4"/>
      <c r="AG21" s="4"/>
      <c r="AH21" s="4"/>
      <c r="AI21" s="4"/>
      <c r="AJ21" s="4"/>
      <c r="AK21" s="4"/>
      <c r="AL21" s="4"/>
      <c r="AM21" s="4"/>
      <c r="AN21" s="4"/>
      <c r="AO21" s="4"/>
      <c r="AP21" s="4"/>
      <c r="AQ21" s="4"/>
      <c r="AR21" s="4"/>
      <c r="AS21" s="4"/>
      <c r="AT21" s="4"/>
      <c r="AU21" s="4"/>
      <c r="AV21" s="4"/>
      <c r="AW21" s="4"/>
      <c r="AX21" s="4" t="str">
        <f>"      " &amp; TEXT(AB21,"#0.00%") &amp; " " &amp; "검수 및 종료" &amp; "(홍길동)" &amp; " " &amp; IF(M21="","",TEXT(M21,"M/D-")) &amp; IF(N21="","",TEXT(N21,"M/D")) &amp; " "</f>
        <v xml:space="preserve">      0.00% 검수 및 종료(홍길동) 3/2-3/2 </v>
      </c>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row>
    <row r="22" spans="1:189">
      <c r="A22" s="116"/>
      <c r="B22" s="116" t="s">
        <v>1087</v>
      </c>
      <c r="C22" s="116">
        <v>1</v>
      </c>
      <c r="D22" s="3" t="s">
        <v>1093</v>
      </c>
      <c r="E22" s="184" t="s">
        <v>1004</v>
      </c>
      <c r="F22" s="184"/>
      <c r="G22" s="184"/>
      <c r="H22" s="184"/>
      <c r="I22" s="184"/>
      <c r="J22" s="184"/>
      <c r="K22" s="184"/>
      <c r="L22" s="184"/>
      <c r="M22" s="185">
        <v>43379</v>
      </c>
      <c r="N22" s="185">
        <v>43504</v>
      </c>
      <c r="O22" s="186"/>
      <c r="P22" s="187">
        <v>219</v>
      </c>
      <c r="Q22" s="187">
        <v>219</v>
      </c>
      <c r="R22" s="188">
        <v>84</v>
      </c>
      <c r="S22" s="188">
        <v>84</v>
      </c>
      <c r="T22" s="185"/>
      <c r="U22" s="185"/>
      <c r="V22" s="189">
        <v>0</v>
      </c>
      <c r="W22" s="190">
        <v>0</v>
      </c>
      <c r="X22" s="191"/>
      <c r="Y22" s="186"/>
      <c r="Z22" s="192"/>
      <c r="AA22" s="97">
        <v>1</v>
      </c>
      <c r="AB22" s="193">
        <v>7.7123287671232874E-2</v>
      </c>
      <c r="AC22" s="123"/>
      <c r="AD22" s="4"/>
      <c r="AE22" s="4" t="str">
        <f>"  " &amp; TEXT(AB22,"#0.00%") &amp; " "</f>
        <v xml:space="preserve">  7.71% </v>
      </c>
      <c r="AF22" s="4"/>
      <c r="AG22" s="4"/>
      <c r="AH22" s="4"/>
      <c r="AI22" s="4"/>
      <c r="AJ22" s="4"/>
      <c r="AK22" s="4"/>
      <c r="AL22" s="4"/>
      <c r="AM22" s="4"/>
      <c r="AN22" s="4"/>
      <c r="AO22" s="4"/>
      <c r="AP22" s="4"/>
      <c r="AQ22" s="4"/>
      <c r="AR22" s="4"/>
      <c r="AS22" s="4"/>
      <c r="AT22" s="4"/>
      <c r="AU22" s="4" t="str">
        <f>"      " &amp; "시스템 개발" &amp; " " &amp; IF(M22="","",TEXT(M22,"M/D-")) &amp; IF(N22="","",TEXT(N22,"M/D")) &amp; " "</f>
        <v xml:space="preserve">      시스템 개발 10/6-2/8 </v>
      </c>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4"/>
      <c r="FG22" s="4"/>
      <c r="FH22" s="4"/>
      <c r="FI22" s="4"/>
      <c r="FJ22" s="4"/>
      <c r="FK22" s="4"/>
      <c r="FL22" s="4"/>
      <c r="FM22" s="4"/>
      <c r="FN22" s="4"/>
      <c r="FO22" s="4"/>
      <c r="FP22" s="4"/>
      <c r="FQ22" s="4"/>
      <c r="FR22" s="4"/>
      <c r="FS22" s="4"/>
      <c r="FT22" s="4"/>
      <c r="FU22" s="4"/>
      <c r="FV22" s="4"/>
      <c r="FW22" s="4"/>
      <c r="FX22" s="4"/>
      <c r="FY22" s="4"/>
      <c r="FZ22" s="4"/>
      <c r="GA22" s="4"/>
      <c r="GB22" s="4"/>
      <c r="GC22" s="4"/>
      <c r="GD22" s="4"/>
      <c r="GE22" s="4"/>
      <c r="GF22" s="4"/>
      <c r="GG22" s="4"/>
    </row>
    <row r="23" spans="1:189" outlineLevel="1">
      <c r="A23" s="116"/>
      <c r="B23" s="116" t="s">
        <v>1087</v>
      </c>
      <c r="C23" s="116">
        <v>2</v>
      </c>
      <c r="D23" s="3" t="s">
        <v>1094</v>
      </c>
      <c r="E23" s="184"/>
      <c r="F23" s="184" t="s">
        <v>1005</v>
      </c>
      <c r="G23" s="184"/>
      <c r="H23" s="184"/>
      <c r="I23" s="184"/>
      <c r="J23" s="184"/>
      <c r="K23" s="184"/>
      <c r="L23" s="184"/>
      <c r="M23" s="185">
        <v>43379</v>
      </c>
      <c r="N23" s="185">
        <v>43397</v>
      </c>
      <c r="O23" s="186"/>
      <c r="P23" s="187">
        <v>28</v>
      </c>
      <c r="Q23" s="187">
        <v>28</v>
      </c>
      <c r="R23" s="188">
        <v>12</v>
      </c>
      <c r="S23" s="188">
        <v>12</v>
      </c>
      <c r="T23" s="185"/>
      <c r="U23" s="185"/>
      <c r="V23" s="189">
        <v>0</v>
      </c>
      <c r="W23" s="190">
        <v>0</v>
      </c>
      <c r="X23" s="191"/>
      <c r="Y23" s="186"/>
      <c r="Z23" s="192"/>
      <c r="AA23" s="97">
        <v>1</v>
      </c>
      <c r="AB23" s="193">
        <v>0.45</v>
      </c>
      <c r="AC23" s="123"/>
      <c r="AD23" s="4"/>
      <c r="AE23" s="4" t="str">
        <f>" " &amp; TEXT(AB23,"#0.00%") &amp; " " &amp; "분석" &amp; " " &amp; IF(M23="","",TEXT(M23,"M/D-")) &amp; IF(N23="","",TEXT(N23,"M/D")) &amp; " "</f>
        <v xml:space="preserve"> 45.00% 분석 10/6-10/24 </v>
      </c>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U23" s="4"/>
      <c r="FV23" s="4"/>
      <c r="FW23" s="4"/>
      <c r="FX23" s="4"/>
      <c r="FY23" s="4"/>
      <c r="FZ23" s="4"/>
      <c r="GA23" s="4"/>
      <c r="GB23" s="4"/>
      <c r="GC23" s="4"/>
      <c r="GD23" s="4"/>
      <c r="GE23" s="4"/>
      <c r="GF23" s="4"/>
      <c r="GG23" s="4"/>
    </row>
    <row r="24" spans="1:189" outlineLevel="2">
      <c r="A24" s="116"/>
      <c r="B24" s="116"/>
      <c r="C24" s="116">
        <v>3</v>
      </c>
      <c r="D24" s="3" t="s">
        <v>996</v>
      </c>
      <c r="E24" s="184"/>
      <c r="F24" s="184"/>
      <c r="G24" s="184" t="s">
        <v>446</v>
      </c>
      <c r="H24" s="184"/>
      <c r="I24" s="184"/>
      <c r="J24" s="184"/>
      <c r="K24" s="184"/>
      <c r="L24" s="184"/>
      <c r="M24" s="185">
        <v>43379</v>
      </c>
      <c r="N24" s="185">
        <v>43397</v>
      </c>
      <c r="O24" s="186"/>
      <c r="P24" s="187">
        <v>12</v>
      </c>
      <c r="Q24" s="187">
        <v>12</v>
      </c>
      <c r="R24" s="188">
        <v>12</v>
      </c>
      <c r="S24" s="188">
        <v>12</v>
      </c>
      <c r="T24" s="185">
        <v>43309</v>
      </c>
      <c r="U24" s="185">
        <v>43327</v>
      </c>
      <c r="V24" s="189">
        <v>12</v>
      </c>
      <c r="W24" s="190">
        <v>12</v>
      </c>
      <c r="X24" s="191">
        <v>1</v>
      </c>
      <c r="Y24" s="186" t="s">
        <v>1054</v>
      </c>
      <c r="Z24" s="192"/>
      <c r="AA24" s="97">
        <v>1</v>
      </c>
      <c r="AB24" s="193">
        <v>0.45</v>
      </c>
      <c r="AC24" s="123"/>
      <c r="AD24" s="4"/>
      <c r="AE24" s="4" t="str">
        <f>" " &amp; TEXT(AB24,"#0.00%") &amp; " " &amp; "요구사항정의" &amp; "(박길동,정길동,최길동)" &amp; " " &amp; IF(M24="","",TEXT(M24,"M/D-")) &amp; IF(N24="","",TEXT(N24,"M/D")) &amp; " "</f>
        <v xml:space="preserve"> 45.00% 요구사항정의(박길동,정길동,최길동) 10/6-10/24 </v>
      </c>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4"/>
      <c r="FG24" s="4"/>
      <c r="FH24" s="4"/>
      <c r="FI24" s="4"/>
      <c r="FJ24" s="4"/>
      <c r="FK24" s="4"/>
      <c r="FL24" s="4"/>
      <c r="FM24" s="4"/>
      <c r="FN24" s="4"/>
      <c r="FO24" s="4"/>
      <c r="FP24" s="4"/>
      <c r="FQ24" s="4"/>
      <c r="FR24" s="4"/>
      <c r="FS24" s="4"/>
      <c r="FT24" s="4"/>
      <c r="FU24" s="4"/>
      <c r="FV24" s="4"/>
      <c r="FW24" s="4"/>
      <c r="FX24" s="4"/>
      <c r="FY24" s="4"/>
      <c r="FZ24" s="4"/>
      <c r="GA24" s="4"/>
      <c r="GB24" s="4"/>
      <c r="GC24" s="4"/>
      <c r="GD24" s="4"/>
      <c r="GE24" s="4"/>
      <c r="GF24" s="4"/>
      <c r="GG24" s="4"/>
    </row>
    <row r="25" spans="1:189" outlineLevel="2">
      <c r="A25" s="116"/>
      <c r="B25" s="116" t="s">
        <v>1087</v>
      </c>
      <c r="C25" s="116">
        <v>3</v>
      </c>
      <c r="D25" s="3" t="s">
        <v>1095</v>
      </c>
      <c r="E25" s="184"/>
      <c r="F25" s="184"/>
      <c r="G25" s="184" t="s">
        <v>1006</v>
      </c>
      <c r="H25" s="184"/>
      <c r="I25" s="184"/>
      <c r="J25" s="184"/>
      <c r="K25" s="184"/>
      <c r="L25" s="184"/>
      <c r="M25" s="185">
        <v>43385</v>
      </c>
      <c r="N25" s="185">
        <v>43396</v>
      </c>
      <c r="O25" s="186"/>
      <c r="P25" s="187">
        <v>16</v>
      </c>
      <c r="Q25" s="187">
        <v>16</v>
      </c>
      <c r="R25" s="188">
        <v>8</v>
      </c>
      <c r="S25" s="188">
        <v>8</v>
      </c>
      <c r="T25" s="185"/>
      <c r="U25" s="185"/>
      <c r="V25" s="189">
        <v>0</v>
      </c>
      <c r="W25" s="190">
        <v>0</v>
      </c>
      <c r="X25" s="191"/>
      <c r="Y25" s="186"/>
      <c r="Z25" s="192"/>
      <c r="AA25" s="97">
        <v>1</v>
      </c>
      <c r="AB25" s="193">
        <v>0.45</v>
      </c>
      <c r="AC25" s="123"/>
      <c r="AD25" s="4"/>
      <c r="AE25" s="4" t="str">
        <f>"   " &amp; TEXT(AB25,"#0.00%") &amp; " " &amp; "논리모델구축" &amp; " " &amp; IF(M25="","",TEXT(M25,"M/D-")) &amp; IF(N25="","",TEXT(N25,"M/D")) &amp; " "</f>
        <v xml:space="preserve">   45.00% 논리모델구축 10/12-10/23 </v>
      </c>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S25" s="4"/>
      <c r="FT25" s="4"/>
      <c r="FU25" s="4"/>
      <c r="FV25" s="4"/>
      <c r="FW25" s="4"/>
      <c r="FX25" s="4"/>
      <c r="FY25" s="4"/>
      <c r="FZ25" s="4"/>
      <c r="GA25" s="4"/>
      <c r="GB25" s="4"/>
      <c r="GC25" s="4"/>
      <c r="GD25" s="4"/>
      <c r="GE25" s="4"/>
      <c r="GF25" s="4"/>
      <c r="GG25" s="4"/>
    </row>
    <row r="26" spans="1:189" outlineLevel="3">
      <c r="A26" s="116"/>
      <c r="B26" s="116"/>
      <c r="C26" s="116">
        <v>4</v>
      </c>
      <c r="D26" s="3" t="s">
        <v>997</v>
      </c>
      <c r="E26" s="184"/>
      <c r="F26" s="184"/>
      <c r="G26" s="184"/>
      <c r="H26" s="184" t="s">
        <v>447</v>
      </c>
      <c r="I26" s="184"/>
      <c r="J26" s="184"/>
      <c r="K26" s="184"/>
      <c r="L26" s="184"/>
      <c r="M26" s="185">
        <v>43385</v>
      </c>
      <c r="N26" s="185">
        <v>43396</v>
      </c>
      <c r="O26" s="186"/>
      <c r="P26" s="187">
        <v>8</v>
      </c>
      <c r="Q26" s="187">
        <v>8</v>
      </c>
      <c r="R26" s="188">
        <v>8</v>
      </c>
      <c r="S26" s="188">
        <v>8</v>
      </c>
      <c r="T26" s="185">
        <v>43315</v>
      </c>
      <c r="U26" s="185">
        <v>43326</v>
      </c>
      <c r="V26" s="189">
        <v>8</v>
      </c>
      <c r="W26" s="190">
        <v>8</v>
      </c>
      <c r="X26" s="191">
        <v>1</v>
      </c>
      <c r="Y26" s="186" t="s">
        <v>1055</v>
      </c>
      <c r="Z26" s="192"/>
      <c r="AA26" s="97">
        <v>1</v>
      </c>
      <c r="AB26" s="193">
        <v>0.4</v>
      </c>
      <c r="AC26" s="123"/>
      <c r="AD26" s="4"/>
      <c r="AE26" s="4" t="str">
        <f>"   " &amp; TEXT(AB26,"#0.00%") &amp; " " &amp; "프로세스모델링" &amp; "(정길동)" &amp; " " &amp; IF(M26="","",TEXT(M26,"M/D-")) &amp; IF(N26="","",TEXT(N26,"M/D")) &amp; " "</f>
        <v xml:space="preserve">   40.00% 프로세스모델링(정길동) 10/12-10/23 </v>
      </c>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4"/>
      <c r="FG26" s="4"/>
      <c r="FH26" s="4"/>
      <c r="FI26" s="4"/>
      <c r="FJ26" s="4"/>
      <c r="FK26" s="4"/>
      <c r="FL26" s="4"/>
      <c r="FM26" s="4"/>
      <c r="FN26" s="4"/>
      <c r="FO26" s="4"/>
      <c r="FP26" s="4"/>
      <c r="FQ26" s="4"/>
      <c r="FR26" s="4"/>
      <c r="FS26" s="4"/>
      <c r="FT26" s="4"/>
      <c r="FU26" s="4"/>
      <c r="FV26" s="4"/>
      <c r="FW26" s="4"/>
      <c r="FX26" s="4"/>
      <c r="FY26" s="4"/>
      <c r="FZ26" s="4"/>
      <c r="GA26" s="4"/>
      <c r="GB26" s="4"/>
      <c r="GC26" s="4"/>
      <c r="GD26" s="4"/>
      <c r="GE26" s="4"/>
      <c r="GF26" s="4"/>
      <c r="GG26" s="4"/>
    </row>
    <row r="27" spans="1:189" outlineLevel="3">
      <c r="A27" s="116"/>
      <c r="B27" s="116"/>
      <c r="C27" s="116">
        <v>4</v>
      </c>
      <c r="D27" s="3" t="s">
        <v>998</v>
      </c>
      <c r="E27" s="184"/>
      <c r="F27" s="184"/>
      <c r="G27" s="184"/>
      <c r="H27" s="184" t="s">
        <v>448</v>
      </c>
      <c r="I27" s="184"/>
      <c r="J27" s="184"/>
      <c r="K27" s="184"/>
      <c r="L27" s="184"/>
      <c r="M27" s="185">
        <v>43385</v>
      </c>
      <c r="N27" s="185">
        <v>43396</v>
      </c>
      <c r="O27" s="186"/>
      <c r="P27" s="187">
        <v>8</v>
      </c>
      <c r="Q27" s="187">
        <v>8</v>
      </c>
      <c r="R27" s="188">
        <v>8</v>
      </c>
      <c r="S27" s="188">
        <v>8</v>
      </c>
      <c r="T27" s="185">
        <v>43315</v>
      </c>
      <c r="U27" s="185">
        <v>43326</v>
      </c>
      <c r="V27" s="189">
        <v>8</v>
      </c>
      <c r="W27" s="190">
        <v>8</v>
      </c>
      <c r="X27" s="191">
        <v>1</v>
      </c>
      <c r="Y27" s="186" t="s">
        <v>1055</v>
      </c>
      <c r="Z27" s="192" t="s">
        <v>1056</v>
      </c>
      <c r="AA27" s="97">
        <v>1</v>
      </c>
      <c r="AB27" s="193">
        <v>0.5</v>
      </c>
      <c r="AC27" s="123"/>
      <c r="AD27" s="4"/>
      <c r="AE27" s="4" t="str">
        <f>"    " &amp; TEXT(AB27,"#0.00%") &amp; " " &amp; "데이터모델링" &amp; "(정길동)" &amp; " " &amp; IF(M27="","",TEXT(M27,"M/D-")) &amp; IF(N27="","",TEXT(N27,"M/D")) &amp; " "</f>
        <v xml:space="preserve">    50.00% 데이터모델링(정길동) 10/12-10/23 </v>
      </c>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c r="FN27" s="4"/>
      <c r="FO27" s="4"/>
      <c r="FP27" s="4"/>
      <c r="FQ27" s="4"/>
      <c r="FR27" s="4"/>
      <c r="FS27" s="4"/>
      <c r="FT27" s="4"/>
      <c r="FU27" s="4"/>
      <c r="FV27" s="4"/>
      <c r="FW27" s="4"/>
      <c r="FX27" s="4"/>
      <c r="FY27" s="4"/>
      <c r="FZ27" s="4"/>
      <c r="GA27" s="4"/>
      <c r="GB27" s="4"/>
      <c r="GC27" s="4"/>
      <c r="GD27" s="4"/>
      <c r="GE27" s="4"/>
      <c r="GF27" s="4"/>
      <c r="GG27" s="4"/>
    </row>
    <row r="28" spans="1:189" outlineLevel="1">
      <c r="A28" s="116"/>
      <c r="B28" s="116" t="s">
        <v>1087</v>
      </c>
      <c r="C28" s="116">
        <v>2</v>
      </c>
      <c r="D28" s="3" t="s">
        <v>1096</v>
      </c>
      <c r="E28" s="184"/>
      <c r="F28" s="184" t="s">
        <v>1007</v>
      </c>
      <c r="G28" s="184"/>
      <c r="H28" s="184"/>
      <c r="I28" s="184"/>
      <c r="J28" s="184"/>
      <c r="K28" s="184"/>
      <c r="L28" s="184"/>
      <c r="M28" s="185">
        <v>43399</v>
      </c>
      <c r="N28" s="185">
        <v>43438</v>
      </c>
      <c r="O28" s="186"/>
      <c r="P28" s="187">
        <v>45</v>
      </c>
      <c r="Q28" s="187">
        <v>45</v>
      </c>
      <c r="R28" s="188">
        <v>28</v>
      </c>
      <c r="S28" s="188">
        <v>28</v>
      </c>
      <c r="T28" s="185"/>
      <c r="U28" s="185"/>
      <c r="V28" s="189">
        <v>0</v>
      </c>
      <c r="W28" s="190">
        <v>0</v>
      </c>
      <c r="X28" s="191"/>
      <c r="Y28" s="186"/>
      <c r="Z28" s="192"/>
      <c r="AA28" s="97">
        <v>1</v>
      </c>
      <c r="AB28" s="193">
        <v>9.5333333333333339E-2</v>
      </c>
      <c r="AC28" s="123"/>
      <c r="AD28" s="4"/>
      <c r="AE28" s="4"/>
      <c r="AF28" s="4"/>
      <c r="AG28" s="4" t="str">
        <f>"  " &amp; TEXT(AB28,"#0.00%") &amp; " "</f>
        <v xml:space="preserve">  9.53% </v>
      </c>
      <c r="AH28" s="4"/>
      <c r="AI28" s="4"/>
      <c r="AJ28" s="4"/>
      <c r="AK28" s="4"/>
      <c r="AL28" s="4" t="str">
        <f>"   " &amp; "설계" &amp; " " &amp; IF(M28="","",TEXT(M28,"M/D-")) &amp; IF(N28="","",TEXT(N28,"M/D")) &amp; " "</f>
        <v xml:space="preserve">   설계 10/26-12/4 </v>
      </c>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c r="FF28" s="4"/>
      <c r="FG28" s="4"/>
      <c r="FH28" s="4"/>
      <c r="FI28" s="4"/>
      <c r="FJ28" s="4"/>
      <c r="FK28" s="4"/>
      <c r="FL28" s="4"/>
      <c r="FM28" s="4"/>
      <c r="FN28" s="4"/>
      <c r="FO28" s="4"/>
      <c r="FP28" s="4"/>
      <c r="FQ28" s="4"/>
      <c r="FR28" s="4"/>
      <c r="FS28" s="4"/>
      <c r="FT28" s="4"/>
      <c r="FU28" s="4"/>
      <c r="FV28" s="4"/>
      <c r="FW28" s="4"/>
      <c r="FX28" s="4"/>
      <c r="FY28" s="4"/>
      <c r="FZ28" s="4"/>
      <c r="GA28" s="4"/>
      <c r="GB28" s="4"/>
      <c r="GC28" s="4"/>
      <c r="GD28" s="4"/>
      <c r="GE28" s="4"/>
      <c r="GF28" s="4"/>
      <c r="GG28" s="4"/>
    </row>
    <row r="29" spans="1:189" outlineLevel="2">
      <c r="A29" s="116"/>
      <c r="B29" s="116"/>
      <c r="C29" s="116">
        <v>3</v>
      </c>
      <c r="D29" s="3" t="s">
        <v>999</v>
      </c>
      <c r="E29" s="184"/>
      <c r="F29" s="184"/>
      <c r="G29" s="184" t="s">
        <v>1008</v>
      </c>
      <c r="H29" s="184"/>
      <c r="I29" s="184"/>
      <c r="J29" s="184"/>
      <c r="K29" s="184"/>
      <c r="L29" s="184"/>
      <c r="M29" s="185">
        <v>43399</v>
      </c>
      <c r="N29" s="185">
        <v>43417</v>
      </c>
      <c r="O29" s="186"/>
      <c r="P29" s="187">
        <v>13</v>
      </c>
      <c r="Q29" s="187">
        <v>13</v>
      </c>
      <c r="R29" s="188">
        <v>13</v>
      </c>
      <c r="S29" s="188">
        <v>13</v>
      </c>
      <c r="T29" s="185">
        <v>43329</v>
      </c>
      <c r="U29" s="185"/>
      <c r="V29" s="189">
        <v>-30942</v>
      </c>
      <c r="W29" s="190">
        <v>0</v>
      </c>
      <c r="X29" s="191">
        <v>1</v>
      </c>
      <c r="Y29" s="186" t="s">
        <v>1057</v>
      </c>
      <c r="Z29" s="192"/>
      <c r="AA29" s="97">
        <v>1</v>
      </c>
      <c r="AB29" s="193">
        <v>0.33</v>
      </c>
      <c r="AC29" s="123"/>
      <c r="AD29" s="4"/>
      <c r="AE29" s="4"/>
      <c r="AF29" s="4"/>
      <c r="AG29" s="4" t="str">
        <f>"    " &amp; TEXT(AB29,"#0.00%") &amp; " " &amp; "UI 설계" &amp; "(유아인)" &amp; " " &amp; IF(M29="","",TEXT(M29,"M/D-")) &amp; IF(N29="","",TEXT(N29,"M/D")) &amp; " "</f>
        <v xml:space="preserve">    33.00% UI 설계(유아인) 10/26-11/13 </v>
      </c>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c r="FF29" s="4"/>
      <c r="FG29" s="4"/>
      <c r="FH29" s="4"/>
      <c r="FI29" s="4"/>
      <c r="FJ29" s="4"/>
      <c r="FK29" s="4"/>
      <c r="FL29" s="4"/>
      <c r="FM29" s="4"/>
      <c r="FN29" s="4"/>
      <c r="FO29" s="4"/>
      <c r="FP29" s="4"/>
      <c r="FQ29" s="4"/>
      <c r="FR29" s="4"/>
      <c r="FS29" s="4"/>
      <c r="FT29" s="4"/>
      <c r="FU29" s="4"/>
      <c r="FV29" s="4"/>
      <c r="FW29" s="4"/>
      <c r="FX29" s="4"/>
      <c r="FY29" s="4"/>
      <c r="FZ29" s="4"/>
      <c r="GA29" s="4"/>
      <c r="GB29" s="4"/>
      <c r="GC29" s="4"/>
      <c r="GD29" s="4"/>
      <c r="GE29" s="4"/>
      <c r="GF29" s="4"/>
      <c r="GG29" s="4"/>
    </row>
    <row r="30" spans="1:189" outlineLevel="2">
      <c r="A30" s="116"/>
      <c r="B30" s="116" t="s">
        <v>1087</v>
      </c>
      <c r="C30" s="116">
        <v>3</v>
      </c>
      <c r="D30" s="3" t="s">
        <v>1097</v>
      </c>
      <c r="E30" s="184"/>
      <c r="F30" s="184"/>
      <c r="G30" s="184" t="s">
        <v>1009</v>
      </c>
      <c r="H30" s="184"/>
      <c r="I30" s="184"/>
      <c r="J30" s="184"/>
      <c r="K30" s="184"/>
      <c r="L30" s="184"/>
      <c r="M30" s="185">
        <v>43406</v>
      </c>
      <c r="N30" s="185">
        <v>43431</v>
      </c>
      <c r="O30" s="186"/>
      <c r="P30" s="187">
        <v>29</v>
      </c>
      <c r="Q30" s="187">
        <v>29</v>
      </c>
      <c r="R30" s="188">
        <v>18</v>
      </c>
      <c r="S30" s="188">
        <v>18</v>
      </c>
      <c r="T30" s="185"/>
      <c r="U30" s="185"/>
      <c r="V30" s="189">
        <v>0</v>
      </c>
      <c r="W30" s="190">
        <v>0</v>
      </c>
      <c r="X30" s="191"/>
      <c r="Y30" s="186"/>
      <c r="Z30" s="192"/>
      <c r="AA30" s="97">
        <v>1</v>
      </c>
      <c r="AB30" s="193">
        <v>0</v>
      </c>
      <c r="AC30" s="123"/>
      <c r="AD30" s="4"/>
      <c r="AE30" s="4"/>
      <c r="AF30" s="4"/>
      <c r="AG30" s="4" t="str">
        <f>"     " &amp; TEXT(AB30,"#0.00%") &amp; " "</f>
        <v xml:space="preserve">     0.00% </v>
      </c>
      <c r="AH30" s="4"/>
      <c r="AI30" s="4"/>
      <c r="AJ30" s="4"/>
      <c r="AK30" s="4" t="str">
        <f>"   " &amp; "시스템 설계" &amp; " " &amp; IF(M30="","",TEXT(M30,"M/D-")) &amp; IF(N30="","",TEXT(N30,"M/D")) &amp; " "</f>
        <v xml:space="preserve">   시스템 설계 11/2-11/27 </v>
      </c>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c r="FF30" s="4"/>
      <c r="FG30" s="4"/>
      <c r="FH30" s="4"/>
      <c r="FI30" s="4"/>
      <c r="FJ30" s="4"/>
      <c r="FK30" s="4"/>
      <c r="FL30" s="4"/>
      <c r="FM30" s="4"/>
      <c r="FN30" s="4"/>
      <c r="FO30" s="4"/>
      <c r="FP30" s="4"/>
      <c r="FQ30" s="4"/>
      <c r="FR30" s="4"/>
      <c r="FS30" s="4"/>
      <c r="FT30" s="4"/>
      <c r="FU30" s="4"/>
      <c r="FV30" s="4"/>
      <c r="FW30" s="4"/>
      <c r="FX30" s="4"/>
      <c r="FY30" s="4"/>
      <c r="FZ30" s="4"/>
      <c r="GA30" s="4"/>
      <c r="GB30" s="4"/>
      <c r="GC30" s="4"/>
      <c r="GD30" s="4"/>
      <c r="GE30" s="4"/>
      <c r="GF30" s="4"/>
      <c r="GG30" s="4"/>
    </row>
    <row r="31" spans="1:189" outlineLevel="3">
      <c r="A31" s="116"/>
      <c r="B31" s="116"/>
      <c r="C31" s="116">
        <v>4</v>
      </c>
      <c r="D31" s="3" t="s">
        <v>1010</v>
      </c>
      <c r="E31" s="184"/>
      <c r="F31" s="184"/>
      <c r="G31" s="184"/>
      <c r="H31" s="184" t="s">
        <v>1011</v>
      </c>
      <c r="I31" s="184"/>
      <c r="J31" s="184"/>
      <c r="K31" s="184"/>
      <c r="L31" s="184"/>
      <c r="M31" s="185">
        <v>43406</v>
      </c>
      <c r="N31" s="185">
        <v>43417</v>
      </c>
      <c r="O31" s="186"/>
      <c r="P31" s="187">
        <v>8</v>
      </c>
      <c r="Q31" s="187">
        <v>8</v>
      </c>
      <c r="R31" s="188">
        <v>8</v>
      </c>
      <c r="S31" s="188">
        <v>8</v>
      </c>
      <c r="T31" s="185">
        <v>43336</v>
      </c>
      <c r="U31" s="185"/>
      <c r="V31" s="189">
        <v>-30947</v>
      </c>
      <c r="W31" s="190">
        <v>0</v>
      </c>
      <c r="X31" s="191">
        <v>1</v>
      </c>
      <c r="Y31" s="186" t="s">
        <v>1058</v>
      </c>
      <c r="Z31" s="192"/>
      <c r="AA31" s="97">
        <v>1</v>
      </c>
      <c r="AB31" s="193">
        <v>0</v>
      </c>
      <c r="AC31" s="123"/>
      <c r="AD31" s="4"/>
      <c r="AE31" s="4"/>
      <c r="AF31" s="4"/>
      <c r="AG31" s="4" t="str">
        <f>"     " &amp; TEXT(AB31,"#0.00%") &amp; " " &amp; "Architecture설계" &amp; "(김아키)" &amp; " " &amp; IF(M31="","",TEXT(M31,"M/D-")) &amp; IF(N31="","",TEXT(N31,"M/D")) &amp; " "</f>
        <v xml:space="preserve">     0.00% Architecture설계(김아키) 11/2-11/13 </v>
      </c>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c r="FF31" s="4"/>
      <c r="FG31" s="4"/>
      <c r="FH31" s="4"/>
      <c r="FI31" s="4"/>
      <c r="FJ31" s="4"/>
      <c r="FK31" s="4"/>
      <c r="FL31" s="4"/>
      <c r="FM31" s="4"/>
      <c r="FN31" s="4"/>
      <c r="FO31" s="4"/>
      <c r="FP31" s="4"/>
      <c r="FQ31" s="4"/>
      <c r="FR31" s="4"/>
      <c r="FS31" s="4"/>
      <c r="FT31" s="4"/>
      <c r="FU31" s="4"/>
      <c r="FV31" s="4"/>
      <c r="FW31" s="4"/>
      <c r="FX31" s="4"/>
      <c r="FY31" s="4"/>
      <c r="FZ31" s="4"/>
      <c r="GA31" s="4"/>
      <c r="GB31" s="4"/>
      <c r="GC31" s="4"/>
      <c r="GD31" s="4"/>
      <c r="GE31" s="4"/>
      <c r="GF31" s="4"/>
      <c r="GG31" s="4"/>
    </row>
    <row r="32" spans="1:189" outlineLevel="3">
      <c r="A32" s="116"/>
      <c r="B32" s="116"/>
      <c r="C32" s="116">
        <v>4</v>
      </c>
      <c r="D32" s="3" t="s">
        <v>1012</v>
      </c>
      <c r="E32" s="184"/>
      <c r="F32" s="184"/>
      <c r="G32" s="184"/>
      <c r="H32" s="184" t="s">
        <v>1013</v>
      </c>
      <c r="I32" s="184"/>
      <c r="J32" s="184"/>
      <c r="K32" s="184"/>
      <c r="L32" s="184"/>
      <c r="M32" s="185">
        <v>43413</v>
      </c>
      <c r="N32" s="185">
        <v>43424</v>
      </c>
      <c r="O32" s="186"/>
      <c r="P32" s="187">
        <v>8</v>
      </c>
      <c r="Q32" s="187">
        <v>8</v>
      </c>
      <c r="R32" s="188">
        <v>8</v>
      </c>
      <c r="S32" s="188">
        <v>8</v>
      </c>
      <c r="T32" s="185"/>
      <c r="U32" s="185"/>
      <c r="V32" s="189"/>
      <c r="W32" s="190">
        <v>0</v>
      </c>
      <c r="X32" s="191">
        <v>1</v>
      </c>
      <c r="Y32" s="186" t="s">
        <v>1059</v>
      </c>
      <c r="Z32" s="192"/>
      <c r="AA32" s="97">
        <v>1</v>
      </c>
      <c r="AB32" s="193">
        <v>0</v>
      </c>
      <c r="AC32" s="123"/>
      <c r="AD32" s="4"/>
      <c r="AE32" s="4"/>
      <c r="AF32" s="4"/>
      <c r="AG32" s="4"/>
      <c r="AH32" s="4" t="str">
        <f>"     " &amp; TEXT(AB32,"#0.00%") &amp; " " &amp; "데이터베이스설계" &amp; "(김디비)" &amp; " " &amp; IF(M32="","",TEXT(M32,"M/D-")) &amp; IF(N32="","",TEXT(N32,"M/D")) &amp; " "</f>
        <v xml:space="preserve">     0.00% 데이터베이스설계(김디비) 11/9-11/20 </v>
      </c>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c r="FN32" s="4"/>
      <c r="FO32" s="4"/>
      <c r="FP32" s="4"/>
      <c r="FQ32" s="4"/>
      <c r="FR32" s="4"/>
      <c r="FS32" s="4"/>
      <c r="FT32" s="4"/>
      <c r="FU32" s="4"/>
      <c r="FV32" s="4"/>
      <c r="FW32" s="4"/>
      <c r="FX32" s="4"/>
      <c r="FY32" s="4"/>
      <c r="FZ32" s="4"/>
      <c r="GA32" s="4"/>
      <c r="GB32" s="4"/>
      <c r="GC32" s="4"/>
      <c r="GD32" s="4"/>
      <c r="GE32" s="4"/>
      <c r="GF32" s="4"/>
      <c r="GG32" s="4"/>
    </row>
    <row r="33" spans="1:189" outlineLevel="3">
      <c r="A33" s="116"/>
      <c r="B33" s="116"/>
      <c r="C33" s="116">
        <v>4</v>
      </c>
      <c r="D33" s="3" t="s">
        <v>1014</v>
      </c>
      <c r="E33" s="184"/>
      <c r="F33" s="184"/>
      <c r="G33" s="184"/>
      <c r="H33" s="184" t="s">
        <v>1015</v>
      </c>
      <c r="I33" s="184"/>
      <c r="J33" s="184"/>
      <c r="K33" s="184"/>
      <c r="L33" s="184"/>
      <c r="M33" s="185">
        <v>43413</v>
      </c>
      <c r="N33" s="185">
        <v>43431</v>
      </c>
      <c r="O33" s="186"/>
      <c r="P33" s="187">
        <v>13</v>
      </c>
      <c r="Q33" s="187">
        <v>13</v>
      </c>
      <c r="R33" s="188">
        <v>13</v>
      </c>
      <c r="S33" s="188">
        <v>13</v>
      </c>
      <c r="T33" s="185"/>
      <c r="U33" s="185"/>
      <c r="V33" s="189"/>
      <c r="W33" s="190">
        <v>0</v>
      </c>
      <c r="X33" s="191">
        <v>1</v>
      </c>
      <c r="Y33" s="186" t="s">
        <v>1060</v>
      </c>
      <c r="Z33" s="192" t="s">
        <v>1061</v>
      </c>
      <c r="AA33" s="97">
        <v>1</v>
      </c>
      <c r="AB33" s="193">
        <v>0</v>
      </c>
      <c r="AC33" s="123"/>
      <c r="AD33" s="4"/>
      <c r="AE33" s="4"/>
      <c r="AF33" s="4"/>
      <c r="AG33" s="4"/>
      <c r="AH33" s="4" t="str">
        <f>"     " &amp; TEXT(AB33,"#0.00%") &amp; " " &amp; "프로그램설계" &amp; "(김프로)" &amp; " " &amp; IF(M33="","",TEXT(M33,"M/D-")) &amp; IF(N33="","",TEXT(N33,"M/D")) &amp; " "</f>
        <v xml:space="preserve">     0.00% 프로그램설계(김프로) 11/9-11/27 </v>
      </c>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c r="FF33" s="4"/>
      <c r="FG33" s="4"/>
      <c r="FH33" s="4"/>
      <c r="FI33" s="4"/>
      <c r="FJ33" s="4"/>
      <c r="FK33" s="4"/>
      <c r="FL33" s="4"/>
      <c r="FM33" s="4"/>
      <c r="FN33" s="4"/>
      <c r="FO33" s="4"/>
      <c r="FP33" s="4"/>
      <c r="FQ33" s="4"/>
      <c r="FR33" s="4"/>
      <c r="FS33" s="4"/>
      <c r="FT33" s="4"/>
      <c r="FU33" s="4"/>
      <c r="FV33" s="4"/>
      <c r="FW33" s="4"/>
      <c r="FX33" s="4"/>
      <c r="FY33" s="4"/>
      <c r="FZ33" s="4"/>
      <c r="GA33" s="4"/>
      <c r="GB33" s="4"/>
      <c r="GC33" s="4"/>
      <c r="GD33" s="4"/>
      <c r="GE33" s="4"/>
      <c r="GF33" s="4"/>
      <c r="GG33" s="4"/>
    </row>
    <row r="34" spans="1:189" outlineLevel="2">
      <c r="A34" s="116"/>
      <c r="B34" s="116"/>
      <c r="C34" s="116">
        <v>3</v>
      </c>
      <c r="D34" s="3" t="s">
        <v>1000</v>
      </c>
      <c r="E34" s="184"/>
      <c r="F34" s="184"/>
      <c r="G34" s="184" t="s">
        <v>1016</v>
      </c>
      <c r="H34" s="184"/>
      <c r="I34" s="184"/>
      <c r="J34" s="184"/>
      <c r="K34" s="184"/>
      <c r="L34" s="184"/>
      <c r="M34" s="185">
        <v>43434</v>
      </c>
      <c r="N34" s="185">
        <v>43438</v>
      </c>
      <c r="O34" s="186"/>
      <c r="P34" s="187">
        <v>3</v>
      </c>
      <c r="Q34" s="187">
        <v>3</v>
      </c>
      <c r="R34" s="188">
        <v>3</v>
      </c>
      <c r="S34" s="188">
        <v>3</v>
      </c>
      <c r="T34" s="185"/>
      <c r="U34" s="185"/>
      <c r="V34" s="189"/>
      <c r="W34" s="190">
        <v>0</v>
      </c>
      <c r="X34" s="191">
        <v>1</v>
      </c>
      <c r="Y34" s="186" t="s">
        <v>1060</v>
      </c>
      <c r="Z34" s="192"/>
      <c r="AA34" s="97">
        <v>1</v>
      </c>
      <c r="AB34" s="193">
        <v>0</v>
      </c>
      <c r="AC34" s="123"/>
      <c r="AD34" s="4"/>
      <c r="AE34" s="4"/>
      <c r="AF34" s="4"/>
      <c r="AG34" s="4"/>
      <c r="AH34" s="4"/>
      <c r="AI34" s="4"/>
      <c r="AJ34" s="4"/>
      <c r="AK34" s="4" t="str">
        <f>"     " &amp; TEXT(AB34,"#0.00%") &amp; " " &amp; "테스트 설계" &amp; "(김프로)" &amp; " " &amp; IF(M34="","",TEXT(M34,"M/D-")) &amp; IF(N34="","",TEXT(N34,"M/D")) &amp; " "</f>
        <v xml:space="preserve">     0.00% 테스트 설계(김프로) 11/30-12/4 </v>
      </c>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c r="FF34" s="4"/>
      <c r="FG34" s="4"/>
      <c r="FH34" s="4"/>
      <c r="FI34" s="4"/>
      <c r="FJ34" s="4"/>
      <c r="FK34" s="4"/>
      <c r="FL34" s="4"/>
      <c r="FM34" s="4"/>
      <c r="FN34" s="4"/>
      <c r="FO34" s="4"/>
      <c r="FP34" s="4"/>
      <c r="FQ34" s="4"/>
      <c r="FR34" s="4"/>
      <c r="FS34" s="4"/>
      <c r="FT34" s="4"/>
      <c r="FU34" s="4"/>
      <c r="FV34" s="4"/>
      <c r="FW34" s="4"/>
      <c r="FX34" s="4"/>
      <c r="FY34" s="4"/>
      <c r="FZ34" s="4"/>
      <c r="GA34" s="4"/>
      <c r="GB34" s="4"/>
      <c r="GC34" s="4"/>
      <c r="GD34" s="4"/>
      <c r="GE34" s="4"/>
      <c r="GF34" s="4"/>
      <c r="GG34" s="4"/>
    </row>
    <row r="35" spans="1:189" outlineLevel="1">
      <c r="A35" s="116"/>
      <c r="B35" s="116" t="s">
        <v>1087</v>
      </c>
      <c r="C35" s="116">
        <v>2</v>
      </c>
      <c r="D35" s="3" t="s">
        <v>1098</v>
      </c>
      <c r="E35" s="184"/>
      <c r="F35" s="184" t="s">
        <v>1017</v>
      </c>
      <c r="G35" s="184"/>
      <c r="H35" s="184"/>
      <c r="I35" s="184"/>
      <c r="J35" s="184"/>
      <c r="K35" s="184"/>
      <c r="L35" s="184"/>
      <c r="M35" s="185">
        <v>43434</v>
      </c>
      <c r="N35" s="185">
        <v>43501</v>
      </c>
      <c r="O35" s="186"/>
      <c r="P35" s="187">
        <v>141</v>
      </c>
      <c r="Q35" s="187">
        <v>141</v>
      </c>
      <c r="R35" s="188">
        <v>44</v>
      </c>
      <c r="S35" s="188">
        <v>44</v>
      </c>
      <c r="T35" s="185"/>
      <c r="U35" s="185"/>
      <c r="V35" s="189">
        <v>0</v>
      </c>
      <c r="W35" s="190">
        <v>0</v>
      </c>
      <c r="X35" s="191"/>
      <c r="Y35" s="186"/>
      <c r="Z35" s="192"/>
      <c r="AA35" s="97">
        <v>1</v>
      </c>
      <c r="AB35" s="193">
        <v>0</v>
      </c>
      <c r="AC35" s="123"/>
      <c r="AD35" s="4"/>
      <c r="AE35" s="4"/>
      <c r="AF35" s="4"/>
      <c r="AG35" s="4"/>
      <c r="AH35" s="4"/>
      <c r="AI35" s="4"/>
      <c r="AJ35" s="4"/>
      <c r="AK35" s="4" t="str">
        <f>"     " &amp; TEXT(AB35,"#0.00%") &amp; " "</f>
        <v xml:space="preserve">     0.00% </v>
      </c>
      <c r="AL35" s="4"/>
      <c r="AM35" s="4"/>
      <c r="AN35" s="4"/>
      <c r="AO35" s="4"/>
      <c r="AP35" s="4"/>
      <c r="AQ35" s="4"/>
      <c r="AR35" s="4"/>
      <c r="AS35" s="4"/>
      <c r="AT35" s="4"/>
      <c r="AU35" s="4" t="str">
        <f>"   " &amp; "개발" &amp; " " &amp; IF(M35="","",TEXT(M35,"M/D-")) &amp; IF(N35="","",TEXT(N35,"M/D")) &amp; " "</f>
        <v xml:space="preserve">   개발 11/30-2/5 </v>
      </c>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c r="FF35" s="4"/>
      <c r="FG35" s="4"/>
      <c r="FH35" s="4"/>
      <c r="FI35" s="4"/>
      <c r="FJ35" s="4"/>
      <c r="FK35" s="4"/>
      <c r="FL35" s="4"/>
      <c r="FM35" s="4"/>
      <c r="FN35" s="4"/>
      <c r="FO35" s="4"/>
      <c r="FP35" s="4"/>
      <c r="FQ35" s="4"/>
      <c r="FR35" s="4"/>
      <c r="FS35" s="4"/>
      <c r="FT35" s="4"/>
      <c r="FU35" s="4"/>
      <c r="FV35" s="4"/>
      <c r="FW35" s="4"/>
      <c r="FX35" s="4"/>
      <c r="FY35" s="4"/>
      <c r="FZ35" s="4"/>
      <c r="GA35" s="4"/>
      <c r="GB35" s="4"/>
      <c r="GC35" s="4"/>
      <c r="GD35" s="4"/>
      <c r="GE35" s="4"/>
      <c r="GF35" s="4"/>
      <c r="GG35" s="4"/>
    </row>
    <row r="36" spans="1:189" outlineLevel="2">
      <c r="A36" s="116"/>
      <c r="B36" s="116" t="s">
        <v>1087</v>
      </c>
      <c r="C36" s="116">
        <v>3</v>
      </c>
      <c r="D36" s="3" t="s">
        <v>1099</v>
      </c>
      <c r="E36" s="184"/>
      <c r="F36" s="184"/>
      <c r="G36" s="184" t="s">
        <v>1018</v>
      </c>
      <c r="H36" s="184"/>
      <c r="I36" s="184"/>
      <c r="J36" s="184"/>
      <c r="K36" s="184"/>
      <c r="L36" s="184"/>
      <c r="M36" s="185">
        <v>43434</v>
      </c>
      <c r="N36" s="185">
        <v>43493</v>
      </c>
      <c r="O36" s="186"/>
      <c r="P36" s="187">
        <v>127</v>
      </c>
      <c r="Q36" s="187">
        <v>127</v>
      </c>
      <c r="R36" s="188">
        <v>40</v>
      </c>
      <c r="S36" s="188">
        <v>40</v>
      </c>
      <c r="T36" s="185"/>
      <c r="U36" s="185"/>
      <c r="V36" s="189">
        <v>0</v>
      </c>
      <c r="W36" s="190">
        <v>0</v>
      </c>
      <c r="X36" s="191"/>
      <c r="Y36" s="186"/>
      <c r="Z36" s="192"/>
      <c r="AA36" s="97">
        <v>1</v>
      </c>
      <c r="AB36" s="193">
        <v>0</v>
      </c>
      <c r="AC36" s="123"/>
      <c r="AD36" s="4"/>
      <c r="AE36" s="4"/>
      <c r="AF36" s="4"/>
      <c r="AG36" s="4"/>
      <c r="AH36" s="4"/>
      <c r="AI36" s="4"/>
      <c r="AJ36" s="4"/>
      <c r="AK36" s="4" t="str">
        <f>"     " &amp; TEXT(AB36,"#0.00%") &amp; " "</f>
        <v xml:space="preserve">     0.00% </v>
      </c>
      <c r="AL36" s="4"/>
      <c r="AM36" s="4"/>
      <c r="AN36" s="4"/>
      <c r="AO36" s="4"/>
      <c r="AP36" s="4"/>
      <c r="AQ36" s="4"/>
      <c r="AR36" s="4"/>
      <c r="AS36" s="4"/>
      <c r="AT36" s="4" t="str">
        <f>"  " &amp; "프로그램 개발" &amp; " " &amp; IF(M36="","",TEXT(M36,"M/D-")) &amp; IF(N36="","",TEXT(N36,"M/D")) &amp; " "</f>
        <v xml:space="preserve">  프로그램 개발 11/30-1/28 </v>
      </c>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c r="FF36" s="4"/>
      <c r="FG36" s="4"/>
      <c r="FH36" s="4"/>
      <c r="FI36" s="4"/>
      <c r="FJ36" s="4"/>
      <c r="FK36" s="4"/>
      <c r="FL36" s="4"/>
      <c r="FM36" s="4"/>
      <c r="FN36" s="4"/>
      <c r="FO36" s="4"/>
      <c r="FP36" s="4"/>
      <c r="FQ36" s="4"/>
      <c r="FR36" s="4"/>
      <c r="FS36" s="4"/>
      <c r="FT36" s="4"/>
      <c r="FU36" s="4"/>
      <c r="FV36" s="4"/>
      <c r="FW36" s="4"/>
      <c r="FX36" s="4"/>
      <c r="FY36" s="4"/>
      <c r="FZ36" s="4"/>
      <c r="GA36" s="4"/>
      <c r="GB36" s="4"/>
      <c r="GC36" s="4"/>
      <c r="GD36" s="4"/>
      <c r="GE36" s="4"/>
      <c r="GF36" s="4"/>
      <c r="GG36" s="4"/>
    </row>
    <row r="37" spans="1:189" outlineLevel="3">
      <c r="A37" s="116"/>
      <c r="B37" s="116"/>
      <c r="C37" s="116">
        <v>4</v>
      </c>
      <c r="D37" s="3" t="s">
        <v>1019</v>
      </c>
      <c r="E37" s="184"/>
      <c r="F37" s="184"/>
      <c r="G37" s="184"/>
      <c r="H37" s="184" t="s">
        <v>1020</v>
      </c>
      <c r="I37" s="184"/>
      <c r="J37" s="184"/>
      <c r="K37" s="184"/>
      <c r="L37" s="184"/>
      <c r="M37" s="185">
        <v>43434</v>
      </c>
      <c r="N37" s="185">
        <v>43438</v>
      </c>
      <c r="O37" s="186"/>
      <c r="P37" s="187">
        <v>3</v>
      </c>
      <c r="Q37" s="187">
        <v>3</v>
      </c>
      <c r="R37" s="188">
        <v>3</v>
      </c>
      <c r="S37" s="188">
        <v>3</v>
      </c>
      <c r="T37" s="185"/>
      <c r="U37" s="185"/>
      <c r="V37" s="189"/>
      <c r="W37" s="190">
        <v>0</v>
      </c>
      <c r="X37" s="191">
        <v>1</v>
      </c>
      <c r="Y37" s="186" t="s">
        <v>1060</v>
      </c>
      <c r="Z37" s="192"/>
      <c r="AA37" s="97">
        <v>1</v>
      </c>
      <c r="AB37" s="193">
        <v>0</v>
      </c>
      <c r="AC37" s="123"/>
      <c r="AD37" s="4"/>
      <c r="AE37" s="4"/>
      <c r="AF37" s="4"/>
      <c r="AG37" s="4"/>
      <c r="AH37" s="4"/>
      <c r="AI37" s="4"/>
      <c r="AJ37" s="4"/>
      <c r="AK37" s="4" t="str">
        <f>"     " &amp; TEXT(AB37,"#0.00%") &amp; " " &amp; "단위테스트시나리오작성" &amp; "(김프로)" &amp; " " &amp; IF(M37="","",TEXT(M37,"M/D-")) &amp; IF(N37="","",TEXT(N37,"M/D")) &amp; " "</f>
        <v xml:space="preserve">     0.00% 단위테스트시나리오작성(김프로) 11/30-12/4 </v>
      </c>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c r="FF37" s="4"/>
      <c r="FG37" s="4"/>
      <c r="FH37" s="4"/>
      <c r="FI37" s="4"/>
      <c r="FJ37" s="4"/>
      <c r="FK37" s="4"/>
      <c r="FL37" s="4"/>
      <c r="FM37" s="4"/>
      <c r="FN37" s="4"/>
      <c r="FO37" s="4"/>
      <c r="FP37" s="4"/>
      <c r="FQ37" s="4"/>
      <c r="FR37" s="4"/>
      <c r="FS37" s="4"/>
      <c r="FT37" s="4"/>
      <c r="FU37" s="4"/>
      <c r="FV37" s="4"/>
      <c r="FW37" s="4"/>
      <c r="FX37" s="4"/>
      <c r="FY37" s="4"/>
      <c r="FZ37" s="4"/>
      <c r="GA37" s="4"/>
      <c r="GB37" s="4"/>
      <c r="GC37" s="4"/>
      <c r="GD37" s="4"/>
      <c r="GE37" s="4"/>
      <c r="GF37" s="4"/>
      <c r="GG37" s="4"/>
    </row>
    <row r="38" spans="1:189" outlineLevel="3">
      <c r="A38" s="116"/>
      <c r="B38" s="116" t="s">
        <v>1087</v>
      </c>
      <c r="C38" s="116">
        <v>4</v>
      </c>
      <c r="D38" s="3" t="s">
        <v>1100</v>
      </c>
      <c r="E38" s="184"/>
      <c r="F38" s="184"/>
      <c r="G38" s="184"/>
      <c r="H38" s="184" t="s">
        <v>1021</v>
      </c>
      <c r="I38" s="184"/>
      <c r="J38" s="184"/>
      <c r="K38" s="184"/>
      <c r="L38" s="184"/>
      <c r="M38" s="185">
        <v>43434</v>
      </c>
      <c r="N38" s="185">
        <v>43493</v>
      </c>
      <c r="O38" s="186"/>
      <c r="P38" s="187">
        <v>124</v>
      </c>
      <c r="Q38" s="187">
        <v>124</v>
      </c>
      <c r="R38" s="188">
        <v>40</v>
      </c>
      <c r="S38" s="188">
        <v>40</v>
      </c>
      <c r="T38" s="185"/>
      <c r="U38" s="185"/>
      <c r="V38" s="189">
        <v>0</v>
      </c>
      <c r="W38" s="190">
        <v>0</v>
      </c>
      <c r="X38" s="191"/>
      <c r="Y38" s="186"/>
      <c r="Z38" s="192"/>
      <c r="AA38" s="97">
        <v>1</v>
      </c>
      <c r="AB38" s="193">
        <v>0</v>
      </c>
      <c r="AC38" s="123"/>
      <c r="AD38" s="4"/>
      <c r="AE38" s="4"/>
      <c r="AF38" s="4"/>
      <c r="AG38" s="4"/>
      <c r="AH38" s="4"/>
      <c r="AI38" s="4"/>
      <c r="AJ38" s="4"/>
      <c r="AK38" s="4" t="str">
        <f>"     " &amp; TEXT(AB38,"#0.00%") &amp; " "</f>
        <v xml:space="preserve">     0.00% </v>
      </c>
      <c r="AL38" s="4"/>
      <c r="AM38" s="4"/>
      <c r="AN38" s="4"/>
      <c r="AO38" s="4"/>
      <c r="AP38" s="4"/>
      <c r="AQ38" s="4"/>
      <c r="AR38" s="4"/>
      <c r="AS38" s="4"/>
      <c r="AT38" s="4" t="str">
        <f>"  " &amp; "프로그램코딩 및 단위테스트" &amp; " " &amp; IF(M38="","",TEXT(M38,"M/D-")) &amp; IF(N38="","",TEXT(N38,"M/D")) &amp; " "</f>
        <v xml:space="preserve">  프로그램코딩 및 단위테스트 11/30-1/28 </v>
      </c>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c r="FF38" s="4"/>
      <c r="FG38" s="4"/>
      <c r="FH38" s="4"/>
      <c r="FI38" s="4"/>
      <c r="FJ38" s="4"/>
      <c r="FK38" s="4"/>
      <c r="FL38" s="4"/>
      <c r="FM38" s="4"/>
      <c r="FN38" s="4"/>
      <c r="FO38" s="4"/>
      <c r="FP38" s="4"/>
      <c r="FQ38" s="4"/>
      <c r="FR38" s="4"/>
      <c r="FS38" s="4"/>
      <c r="FT38" s="4"/>
      <c r="FU38" s="4"/>
      <c r="FV38" s="4"/>
      <c r="FW38" s="4"/>
      <c r="FX38" s="4"/>
      <c r="FY38" s="4"/>
      <c r="FZ38" s="4"/>
      <c r="GA38" s="4"/>
      <c r="GB38" s="4"/>
      <c r="GC38" s="4"/>
      <c r="GD38" s="4"/>
      <c r="GE38" s="4"/>
      <c r="GF38" s="4"/>
      <c r="GG38" s="4"/>
    </row>
    <row r="39" spans="1:189" outlineLevel="4">
      <c r="A39" s="116"/>
      <c r="B39" s="116" t="s">
        <v>1087</v>
      </c>
      <c r="C39" s="116">
        <v>5</v>
      </c>
      <c r="D39" s="3" t="s">
        <v>1101</v>
      </c>
      <c r="E39" s="184"/>
      <c r="F39" s="184"/>
      <c r="G39" s="184"/>
      <c r="H39" s="184"/>
      <c r="I39" s="184" t="s">
        <v>1022</v>
      </c>
      <c r="J39" s="184"/>
      <c r="K39" s="184"/>
      <c r="L39" s="184"/>
      <c r="M39" s="185">
        <v>43434</v>
      </c>
      <c r="N39" s="185">
        <v>43452</v>
      </c>
      <c r="O39" s="186"/>
      <c r="P39" s="187">
        <v>14</v>
      </c>
      <c r="Q39" s="187">
        <v>14</v>
      </c>
      <c r="R39" s="188">
        <v>13</v>
      </c>
      <c r="S39" s="188">
        <v>13</v>
      </c>
      <c r="T39" s="185"/>
      <c r="U39" s="185"/>
      <c r="V39" s="189">
        <v>0</v>
      </c>
      <c r="W39" s="190">
        <v>0</v>
      </c>
      <c r="X39" s="191"/>
      <c r="Y39" s="186"/>
      <c r="Z39" s="192"/>
      <c r="AA39" s="97">
        <v>1</v>
      </c>
      <c r="AB39" s="193">
        <v>0</v>
      </c>
      <c r="AC39" s="123"/>
      <c r="AD39" s="4"/>
      <c r="AE39" s="4"/>
      <c r="AF39" s="4"/>
      <c r="AG39" s="4"/>
      <c r="AH39" s="4"/>
      <c r="AI39" s="4"/>
      <c r="AJ39" s="4"/>
      <c r="AK39" s="4" t="str">
        <f>"     " &amp; TEXT(AB39,"#0.00%") &amp; " " &amp; "모듈A" &amp; " " &amp; IF(M39="","",TEXT(M39,"M/D-")) &amp; IF(N39="","",TEXT(N39,"M/D")) &amp; " "</f>
        <v xml:space="preserve">     0.00% 모듈A 11/30-12/18 </v>
      </c>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c r="FF39" s="4"/>
      <c r="FG39" s="4"/>
      <c r="FH39" s="4"/>
      <c r="FI39" s="4"/>
      <c r="FJ39" s="4"/>
      <c r="FK39" s="4"/>
      <c r="FL39" s="4"/>
      <c r="FM39" s="4"/>
      <c r="FN39" s="4"/>
      <c r="FO39" s="4"/>
      <c r="FP39" s="4"/>
      <c r="FQ39" s="4"/>
      <c r="FR39" s="4"/>
      <c r="FS39" s="4"/>
      <c r="FT39" s="4"/>
      <c r="FU39" s="4"/>
      <c r="FV39" s="4"/>
      <c r="FW39" s="4"/>
      <c r="FX39" s="4"/>
      <c r="FY39" s="4"/>
      <c r="FZ39" s="4"/>
      <c r="GA39" s="4"/>
      <c r="GB39" s="4"/>
      <c r="GC39" s="4"/>
      <c r="GD39" s="4"/>
      <c r="GE39" s="4"/>
      <c r="GF39" s="4"/>
      <c r="GG39" s="4"/>
    </row>
    <row r="40" spans="1:189" outlineLevel="5">
      <c r="A40" s="116"/>
      <c r="B40" s="116"/>
      <c r="C40" s="116">
        <v>6</v>
      </c>
      <c r="D40" s="3" t="s">
        <v>1023</v>
      </c>
      <c r="E40" s="184"/>
      <c r="F40" s="184"/>
      <c r="G40" s="184"/>
      <c r="H40" s="184"/>
      <c r="I40" s="184"/>
      <c r="J40" s="184" t="s">
        <v>1024</v>
      </c>
      <c r="K40" s="184"/>
      <c r="L40" s="184"/>
      <c r="M40" s="185">
        <v>43434</v>
      </c>
      <c r="N40" s="185">
        <v>43438</v>
      </c>
      <c r="O40" s="186"/>
      <c r="P40" s="187">
        <v>3</v>
      </c>
      <c r="Q40" s="187">
        <v>3</v>
      </c>
      <c r="R40" s="188">
        <v>3</v>
      </c>
      <c r="S40" s="188">
        <v>3</v>
      </c>
      <c r="T40" s="185"/>
      <c r="U40" s="185"/>
      <c r="V40" s="189"/>
      <c r="W40" s="190">
        <v>0</v>
      </c>
      <c r="X40" s="191">
        <v>1</v>
      </c>
      <c r="Y40" s="186" t="s">
        <v>1062</v>
      </c>
      <c r="Z40" s="192"/>
      <c r="AA40" s="97">
        <v>1</v>
      </c>
      <c r="AB40" s="193">
        <v>0</v>
      </c>
      <c r="AC40" s="123"/>
      <c r="AD40" s="4"/>
      <c r="AE40" s="4"/>
      <c r="AF40" s="4"/>
      <c r="AG40" s="4"/>
      <c r="AH40" s="4"/>
      <c r="AI40" s="4"/>
      <c r="AJ40" s="4"/>
      <c r="AK40" s="4" t="str">
        <f>"     " &amp; TEXT(AB40,"#0.00%") &amp; " " &amp; "프로그램A" &amp; "(이개발)" &amp; " " &amp; IF(M40="","",TEXT(M40,"M/D-")) &amp; IF(N40="","",TEXT(N40,"M/D")) &amp; " "</f>
        <v xml:space="preserve">     0.00% 프로그램A(이개발) 11/30-12/4 </v>
      </c>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row>
    <row r="41" spans="1:189" outlineLevel="5">
      <c r="A41" s="116"/>
      <c r="B41" s="116"/>
      <c r="C41" s="116">
        <v>6</v>
      </c>
      <c r="D41" s="3" t="s">
        <v>1025</v>
      </c>
      <c r="E41" s="184"/>
      <c r="F41" s="184"/>
      <c r="G41" s="184"/>
      <c r="H41" s="184"/>
      <c r="I41" s="184"/>
      <c r="J41" s="184" t="s">
        <v>1026</v>
      </c>
      <c r="K41" s="184"/>
      <c r="L41" s="184"/>
      <c r="M41" s="185">
        <v>43441</v>
      </c>
      <c r="N41" s="185">
        <v>43445</v>
      </c>
      <c r="O41" s="186"/>
      <c r="P41" s="187">
        <v>3</v>
      </c>
      <c r="Q41" s="187">
        <v>3</v>
      </c>
      <c r="R41" s="188">
        <v>3</v>
      </c>
      <c r="S41" s="188">
        <v>3</v>
      </c>
      <c r="T41" s="185"/>
      <c r="U41" s="185"/>
      <c r="V41" s="189"/>
      <c r="W41" s="190">
        <v>0</v>
      </c>
      <c r="X41" s="191">
        <v>1</v>
      </c>
      <c r="Y41" s="186" t="s">
        <v>1063</v>
      </c>
      <c r="Z41" s="192"/>
      <c r="AA41" s="97">
        <v>1</v>
      </c>
      <c r="AB41" s="193">
        <v>0</v>
      </c>
      <c r="AC41" s="123"/>
      <c r="AD41" s="4"/>
      <c r="AE41" s="4"/>
      <c r="AF41" s="4"/>
      <c r="AG41" s="4"/>
      <c r="AH41" s="4"/>
      <c r="AI41" s="4"/>
      <c r="AJ41" s="4"/>
      <c r="AK41" s="4"/>
      <c r="AL41" s="4" t="str">
        <f>"     " &amp; TEXT(AB41,"#0.00%") &amp; " " &amp; "프로그램B" &amp; "(박개발)" &amp; " " &amp; IF(M41="","",TEXT(M41,"M/D-")) &amp; IF(N41="","",TEXT(N41,"M/D")) &amp; " "</f>
        <v xml:space="preserve">     0.00% 프로그램B(박개발) 12/7-12/11 </v>
      </c>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c r="FF41" s="4"/>
      <c r="FG41" s="4"/>
      <c r="FH41" s="4"/>
      <c r="FI41" s="4"/>
      <c r="FJ41" s="4"/>
      <c r="FK41" s="4"/>
      <c r="FL41" s="4"/>
      <c r="FM41" s="4"/>
      <c r="FN41" s="4"/>
      <c r="FO41" s="4"/>
      <c r="FP41" s="4"/>
      <c r="FQ41" s="4"/>
      <c r="FR41" s="4"/>
      <c r="FS41" s="4"/>
      <c r="FT41" s="4"/>
      <c r="FU41" s="4"/>
      <c r="FV41" s="4"/>
      <c r="FW41" s="4"/>
      <c r="FX41" s="4"/>
      <c r="FY41" s="4"/>
      <c r="FZ41" s="4"/>
      <c r="GA41" s="4"/>
      <c r="GB41" s="4"/>
      <c r="GC41" s="4"/>
      <c r="GD41" s="4"/>
      <c r="GE41" s="4"/>
      <c r="GF41" s="4"/>
      <c r="GG41" s="4"/>
    </row>
    <row r="42" spans="1:189" outlineLevel="5">
      <c r="A42" s="116"/>
      <c r="B42" s="116"/>
      <c r="C42" s="116">
        <v>6</v>
      </c>
      <c r="D42" s="3" t="s">
        <v>1027</v>
      </c>
      <c r="E42" s="184"/>
      <c r="F42" s="184"/>
      <c r="G42" s="184"/>
      <c r="H42" s="184"/>
      <c r="I42" s="184"/>
      <c r="J42" s="184" t="s">
        <v>1028</v>
      </c>
      <c r="K42" s="184"/>
      <c r="L42" s="184"/>
      <c r="M42" s="185">
        <v>43441</v>
      </c>
      <c r="N42" s="185">
        <v>43452</v>
      </c>
      <c r="O42" s="186"/>
      <c r="P42" s="187">
        <v>8</v>
      </c>
      <c r="Q42" s="187">
        <v>8</v>
      </c>
      <c r="R42" s="188">
        <v>8</v>
      </c>
      <c r="S42" s="188">
        <v>8</v>
      </c>
      <c r="T42" s="185"/>
      <c r="U42" s="185"/>
      <c r="V42" s="189"/>
      <c r="W42" s="190">
        <v>0</v>
      </c>
      <c r="X42" s="191">
        <v>1</v>
      </c>
      <c r="Y42" s="186" t="s">
        <v>1063</v>
      </c>
      <c r="Z42" s="192"/>
      <c r="AA42" s="97">
        <v>1</v>
      </c>
      <c r="AB42" s="193">
        <v>0</v>
      </c>
      <c r="AC42" s="123"/>
      <c r="AD42" s="4"/>
      <c r="AE42" s="4"/>
      <c r="AF42" s="4"/>
      <c r="AG42" s="4"/>
      <c r="AH42" s="4"/>
      <c r="AI42" s="4"/>
      <c r="AJ42" s="4"/>
      <c r="AK42" s="4"/>
      <c r="AL42" s="4" t="str">
        <f>"     " &amp; TEXT(AB42,"#0.00%") &amp; " " &amp; "프로그램C" &amp; "(박개발)" &amp; " " &amp; IF(M42="","",TEXT(M42,"M/D-")) &amp; IF(N42="","",TEXT(N42,"M/D")) &amp; " "</f>
        <v xml:space="preserve">     0.00% 프로그램C(박개발) 12/7-12/18 </v>
      </c>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J42" s="4"/>
      <c r="FK42" s="4"/>
      <c r="FL42" s="4"/>
      <c r="FM42" s="4"/>
      <c r="FN42" s="4"/>
      <c r="FO42" s="4"/>
      <c r="FP42" s="4"/>
      <c r="FQ42" s="4"/>
      <c r="FR42" s="4"/>
      <c r="FS42" s="4"/>
      <c r="FT42" s="4"/>
      <c r="FU42" s="4"/>
      <c r="FV42" s="4"/>
      <c r="FW42" s="4"/>
      <c r="FX42" s="4"/>
      <c r="FY42" s="4"/>
      <c r="FZ42" s="4"/>
      <c r="GA42" s="4"/>
      <c r="GB42" s="4"/>
      <c r="GC42" s="4"/>
      <c r="GD42" s="4"/>
      <c r="GE42" s="4"/>
      <c r="GF42" s="4"/>
      <c r="GG42" s="4"/>
    </row>
    <row r="43" spans="1:189" outlineLevel="4">
      <c r="A43" s="116"/>
      <c r="B43" s="116"/>
      <c r="C43" s="116">
        <v>5</v>
      </c>
      <c r="D43" s="3" t="s">
        <v>1029</v>
      </c>
      <c r="E43" s="184"/>
      <c r="F43" s="184"/>
      <c r="G43" s="184"/>
      <c r="H43" s="184"/>
      <c r="I43" s="184" t="s">
        <v>1030</v>
      </c>
      <c r="J43" s="184"/>
      <c r="K43" s="184"/>
      <c r="L43" s="184"/>
      <c r="M43" s="185">
        <v>43434</v>
      </c>
      <c r="N43" s="185">
        <v>43493</v>
      </c>
      <c r="O43" s="186"/>
      <c r="P43" s="187">
        <v>40</v>
      </c>
      <c r="Q43" s="187">
        <v>40</v>
      </c>
      <c r="R43" s="188">
        <v>40</v>
      </c>
      <c r="S43" s="188">
        <v>40</v>
      </c>
      <c r="T43" s="185"/>
      <c r="U43" s="185"/>
      <c r="V43" s="189"/>
      <c r="W43" s="190">
        <v>0</v>
      </c>
      <c r="X43" s="191">
        <v>1</v>
      </c>
      <c r="Y43" s="186" t="s">
        <v>1064</v>
      </c>
      <c r="Z43" s="192"/>
      <c r="AA43" s="97">
        <v>1</v>
      </c>
      <c r="AB43" s="193">
        <v>0</v>
      </c>
      <c r="AC43" s="123"/>
      <c r="AD43" s="4"/>
      <c r="AE43" s="4"/>
      <c r="AF43" s="4"/>
      <c r="AG43" s="4"/>
      <c r="AH43" s="4"/>
      <c r="AI43" s="4"/>
      <c r="AJ43" s="4"/>
      <c r="AK43" s="4" t="str">
        <f>"     " &amp; TEXT(AB43,"#0.00%") &amp; " "</f>
        <v xml:space="preserve">     0.00% </v>
      </c>
      <c r="AL43" s="4"/>
      <c r="AM43" s="4"/>
      <c r="AN43" s="4"/>
      <c r="AO43" s="4"/>
      <c r="AP43" s="4"/>
      <c r="AQ43" s="4"/>
      <c r="AR43" s="4"/>
      <c r="AS43" s="4"/>
      <c r="AT43" s="4" t="str">
        <f>"  " &amp; "모듈B" &amp; "(이개발,박개발)" &amp; " " &amp; IF(M43="","",TEXT(M43,"M/D-")) &amp; IF(N43="","",TEXT(N43,"M/D")) &amp; " "</f>
        <v xml:space="preserve">  모듈B(이개발,박개발) 11/30-1/28 </v>
      </c>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c r="FF43" s="4"/>
      <c r="FG43" s="4"/>
      <c r="FH43" s="4"/>
      <c r="FI43" s="4"/>
      <c r="FJ43" s="4"/>
      <c r="FK43" s="4"/>
      <c r="FL43" s="4"/>
      <c r="FM43" s="4"/>
      <c r="FN43" s="4"/>
      <c r="FO43" s="4"/>
      <c r="FP43" s="4"/>
      <c r="FQ43" s="4"/>
      <c r="FR43" s="4"/>
      <c r="FS43" s="4"/>
      <c r="FT43" s="4"/>
      <c r="FU43" s="4"/>
      <c r="FV43" s="4"/>
      <c r="FW43" s="4"/>
      <c r="FX43" s="4"/>
      <c r="FY43" s="4"/>
      <c r="FZ43" s="4"/>
      <c r="GA43" s="4"/>
      <c r="GB43" s="4"/>
      <c r="GC43" s="4"/>
      <c r="GD43" s="4"/>
      <c r="GE43" s="4"/>
      <c r="GF43" s="4"/>
      <c r="GG43" s="4"/>
    </row>
    <row r="44" spans="1:189" outlineLevel="4">
      <c r="A44" s="116"/>
      <c r="B44" s="116"/>
      <c r="C44" s="116">
        <v>5</v>
      </c>
      <c r="D44" s="3" t="s">
        <v>1031</v>
      </c>
      <c r="E44" s="184"/>
      <c r="F44" s="184"/>
      <c r="G44" s="184"/>
      <c r="H44" s="184"/>
      <c r="I44" s="184" t="s">
        <v>1032</v>
      </c>
      <c r="J44" s="184"/>
      <c r="K44" s="184"/>
      <c r="L44" s="184"/>
      <c r="M44" s="185">
        <v>43434</v>
      </c>
      <c r="N44" s="185">
        <v>43493</v>
      </c>
      <c r="O44" s="186"/>
      <c r="P44" s="187">
        <v>40</v>
      </c>
      <c r="Q44" s="187">
        <v>40</v>
      </c>
      <c r="R44" s="188">
        <v>40</v>
      </c>
      <c r="S44" s="188">
        <v>40</v>
      </c>
      <c r="T44" s="185"/>
      <c r="U44" s="185"/>
      <c r="V44" s="189"/>
      <c r="W44" s="190">
        <v>0</v>
      </c>
      <c r="X44" s="191">
        <v>1</v>
      </c>
      <c r="Y44" s="186" t="s">
        <v>1062</v>
      </c>
      <c r="Z44" s="192"/>
      <c r="AA44" s="97">
        <v>1</v>
      </c>
      <c r="AB44" s="193">
        <v>0</v>
      </c>
      <c r="AC44" s="123"/>
      <c r="AD44" s="4"/>
      <c r="AE44" s="4"/>
      <c r="AF44" s="4"/>
      <c r="AG44" s="4"/>
      <c r="AH44" s="4"/>
      <c r="AI44" s="4"/>
      <c r="AJ44" s="4"/>
      <c r="AK44" s="4" t="str">
        <f>"     " &amp; TEXT(AB44,"#0.00%") &amp; " "</f>
        <v xml:space="preserve">     0.00% </v>
      </c>
      <c r="AL44" s="4"/>
      <c r="AM44" s="4"/>
      <c r="AN44" s="4"/>
      <c r="AO44" s="4"/>
      <c r="AP44" s="4"/>
      <c r="AQ44" s="4"/>
      <c r="AR44" s="4"/>
      <c r="AS44" s="4"/>
      <c r="AT44" s="4" t="str">
        <f>"  " &amp; "모듈C" &amp; "(이개발)" &amp; " " &amp; IF(M44="","",TEXT(M44,"M/D-")) &amp; IF(N44="","",TEXT(N44,"M/D")) &amp; " "</f>
        <v xml:space="preserve">  모듈C(이개발) 11/30-1/28 </v>
      </c>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c r="FF44" s="4"/>
      <c r="FG44" s="4"/>
      <c r="FH44" s="4"/>
      <c r="FI44" s="4"/>
      <c r="FJ44" s="4"/>
      <c r="FK44" s="4"/>
      <c r="FL44" s="4"/>
      <c r="FM44" s="4"/>
      <c r="FN44" s="4"/>
      <c r="FO44" s="4"/>
      <c r="FP44" s="4"/>
      <c r="FQ44" s="4"/>
      <c r="FR44" s="4"/>
      <c r="FS44" s="4"/>
      <c r="FT44" s="4"/>
      <c r="FU44" s="4"/>
      <c r="FV44" s="4"/>
      <c r="FW44" s="4"/>
      <c r="FX44" s="4"/>
      <c r="FY44" s="4"/>
      <c r="FZ44" s="4"/>
      <c r="GA44" s="4"/>
      <c r="GB44" s="4"/>
      <c r="GC44" s="4"/>
      <c r="GD44" s="4"/>
      <c r="GE44" s="4"/>
      <c r="GF44" s="4"/>
      <c r="GG44" s="4"/>
    </row>
    <row r="45" spans="1:189" outlineLevel="4">
      <c r="A45" s="116"/>
      <c r="B45" s="116"/>
      <c r="C45" s="116">
        <v>5</v>
      </c>
      <c r="D45" s="3" t="s">
        <v>1033</v>
      </c>
      <c r="E45" s="184"/>
      <c r="F45" s="184"/>
      <c r="G45" s="184"/>
      <c r="H45" s="184"/>
      <c r="I45" s="184" t="s">
        <v>1034</v>
      </c>
      <c r="J45" s="184"/>
      <c r="K45" s="184"/>
      <c r="L45" s="184"/>
      <c r="M45" s="185">
        <v>43448</v>
      </c>
      <c r="N45" s="185">
        <v>43493</v>
      </c>
      <c r="O45" s="186"/>
      <c r="P45" s="187">
        <v>30</v>
      </c>
      <c r="Q45" s="187">
        <v>30</v>
      </c>
      <c r="R45" s="188">
        <v>30</v>
      </c>
      <c r="S45" s="188">
        <v>30</v>
      </c>
      <c r="T45" s="185"/>
      <c r="U45" s="185"/>
      <c r="V45" s="189"/>
      <c r="W45" s="190">
        <v>0</v>
      </c>
      <c r="X45" s="191">
        <v>1</v>
      </c>
      <c r="Y45" s="186" t="s">
        <v>1063</v>
      </c>
      <c r="Z45" s="192"/>
      <c r="AA45" s="97">
        <v>1</v>
      </c>
      <c r="AB45" s="193">
        <v>0</v>
      </c>
      <c r="AC45" s="123"/>
      <c r="AD45" s="4"/>
      <c r="AE45" s="4"/>
      <c r="AF45" s="4"/>
      <c r="AG45" s="4"/>
      <c r="AH45" s="4"/>
      <c r="AI45" s="4"/>
      <c r="AJ45" s="4"/>
      <c r="AK45" s="4"/>
      <c r="AL45" s="4"/>
      <c r="AM45" s="4" t="str">
        <f>"     " &amp; TEXT(AB45,"#0.00%") &amp; " "</f>
        <v xml:space="preserve">     0.00% </v>
      </c>
      <c r="AN45" s="4"/>
      <c r="AO45" s="4"/>
      <c r="AP45" s="4"/>
      <c r="AQ45" s="4"/>
      <c r="AR45" s="4"/>
      <c r="AS45" s="4"/>
      <c r="AT45" s="4" t="str">
        <f>"  " &amp; "모듈D" &amp; "(박개발)" &amp; " " &amp; IF(M45="","",TEXT(M45,"M/D-")) &amp; IF(N45="","",TEXT(N45,"M/D")) &amp; " "</f>
        <v xml:space="preserve">  모듈D(박개발) 12/14-1/28 </v>
      </c>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c r="FF45" s="4"/>
      <c r="FG45" s="4"/>
      <c r="FH45" s="4"/>
      <c r="FI45" s="4"/>
      <c r="FJ45" s="4"/>
      <c r="FK45" s="4"/>
      <c r="FL45" s="4"/>
      <c r="FM45" s="4"/>
      <c r="FN45" s="4"/>
      <c r="FO45" s="4"/>
      <c r="FP45" s="4"/>
      <c r="FQ45" s="4"/>
      <c r="FR45" s="4"/>
      <c r="FS45" s="4"/>
      <c r="FT45" s="4"/>
      <c r="FU45" s="4"/>
      <c r="FV45" s="4"/>
      <c r="FW45" s="4"/>
      <c r="FX45" s="4"/>
      <c r="FY45" s="4"/>
      <c r="FZ45" s="4"/>
      <c r="GA45" s="4"/>
      <c r="GB45" s="4"/>
      <c r="GC45" s="4"/>
      <c r="GD45" s="4"/>
      <c r="GE45" s="4"/>
      <c r="GF45" s="4"/>
      <c r="GG45" s="4"/>
    </row>
    <row r="46" spans="1:189" outlineLevel="2">
      <c r="A46" s="116"/>
      <c r="B46" s="116" t="s">
        <v>1087</v>
      </c>
      <c r="C46" s="116">
        <v>3</v>
      </c>
      <c r="D46" s="3" t="s">
        <v>1102</v>
      </c>
      <c r="E46" s="184"/>
      <c r="F46" s="184"/>
      <c r="G46" s="184" t="s">
        <v>1035</v>
      </c>
      <c r="H46" s="184"/>
      <c r="I46" s="184"/>
      <c r="J46" s="184"/>
      <c r="K46" s="184"/>
      <c r="L46" s="184"/>
      <c r="M46" s="185">
        <v>43476</v>
      </c>
      <c r="N46" s="185">
        <v>43501</v>
      </c>
      <c r="O46" s="186"/>
      <c r="P46" s="187">
        <v>14</v>
      </c>
      <c r="Q46" s="187">
        <v>14</v>
      </c>
      <c r="R46" s="188">
        <v>16</v>
      </c>
      <c r="S46" s="188">
        <v>16</v>
      </c>
      <c r="T46" s="185"/>
      <c r="U46" s="185"/>
      <c r="V46" s="189">
        <v>0</v>
      </c>
      <c r="W46" s="190">
        <v>0</v>
      </c>
      <c r="X46" s="191"/>
      <c r="Y46" s="186"/>
      <c r="Z46" s="192"/>
      <c r="AA46" s="97">
        <v>1</v>
      </c>
      <c r="AB46" s="193">
        <v>0</v>
      </c>
      <c r="AC46" s="123"/>
      <c r="AD46" s="4"/>
      <c r="AE46" s="4"/>
      <c r="AF46" s="4"/>
      <c r="AG46" s="4"/>
      <c r="AH46" s="4"/>
      <c r="AI46" s="4"/>
      <c r="AJ46" s="4"/>
      <c r="AK46" s="4"/>
      <c r="AL46" s="4"/>
      <c r="AM46" s="4"/>
      <c r="AN46" s="4"/>
      <c r="AO46" s="4"/>
      <c r="AP46" s="4"/>
      <c r="AQ46" s="4" t="str">
        <f>"     " &amp; TEXT(AB46,"#0.00%") &amp; " "</f>
        <v xml:space="preserve">     0.00% </v>
      </c>
      <c r="AR46" s="4"/>
      <c r="AS46" s="4"/>
      <c r="AT46" s="4"/>
      <c r="AU46" s="4" t="str">
        <f>"   " &amp; "테스트실시" &amp; " " &amp; IF(M46="","",TEXT(M46,"M/D-")) &amp; IF(N46="","",TEXT(N46,"M/D")) &amp; " "</f>
        <v xml:space="preserve">   테스트실시 1/11-2/5 </v>
      </c>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c r="FF46" s="4"/>
      <c r="FG46" s="4"/>
      <c r="FH46" s="4"/>
      <c r="FI46" s="4"/>
      <c r="FJ46" s="4"/>
      <c r="FK46" s="4"/>
      <c r="FL46" s="4"/>
      <c r="FM46" s="4"/>
      <c r="FN46" s="4"/>
      <c r="FO46" s="4"/>
      <c r="FP46" s="4"/>
      <c r="FQ46" s="4"/>
      <c r="FR46" s="4"/>
      <c r="FS46" s="4"/>
      <c r="FT46" s="4"/>
      <c r="FU46" s="4"/>
      <c r="FV46" s="4"/>
      <c r="FW46" s="4"/>
      <c r="FX46" s="4"/>
      <c r="FY46" s="4"/>
      <c r="FZ46" s="4"/>
      <c r="GA46" s="4"/>
      <c r="GB46" s="4"/>
      <c r="GC46" s="4"/>
      <c r="GD46" s="4"/>
      <c r="GE46" s="4"/>
      <c r="GF46" s="4"/>
      <c r="GG46" s="4"/>
    </row>
    <row r="47" spans="1:189" outlineLevel="3">
      <c r="A47" s="116"/>
      <c r="B47" s="116"/>
      <c r="C47" s="116">
        <v>4</v>
      </c>
      <c r="D47" s="3" t="s">
        <v>1036</v>
      </c>
      <c r="E47" s="184"/>
      <c r="F47" s="184"/>
      <c r="G47" s="184"/>
      <c r="H47" s="184" t="s">
        <v>1037</v>
      </c>
      <c r="I47" s="184"/>
      <c r="J47" s="184"/>
      <c r="K47" s="184"/>
      <c r="L47" s="184"/>
      <c r="M47" s="185">
        <v>43476</v>
      </c>
      <c r="N47" s="185">
        <v>43494</v>
      </c>
      <c r="O47" s="186"/>
      <c r="P47" s="187">
        <v>13</v>
      </c>
      <c r="Q47" s="187">
        <v>13</v>
      </c>
      <c r="R47" s="188">
        <v>13</v>
      </c>
      <c r="S47" s="188">
        <v>13</v>
      </c>
      <c r="T47" s="185"/>
      <c r="U47" s="185"/>
      <c r="V47" s="189"/>
      <c r="W47" s="190">
        <v>0</v>
      </c>
      <c r="X47" s="191">
        <v>1</v>
      </c>
      <c r="Y47" s="186" t="s">
        <v>1060</v>
      </c>
      <c r="Z47" s="192"/>
      <c r="AA47" s="97">
        <v>1</v>
      </c>
      <c r="AB47" s="193">
        <v>0</v>
      </c>
      <c r="AC47" s="123"/>
      <c r="AD47" s="4"/>
      <c r="AE47" s="4"/>
      <c r="AF47" s="4"/>
      <c r="AG47" s="4"/>
      <c r="AH47" s="4"/>
      <c r="AI47" s="4"/>
      <c r="AJ47" s="4"/>
      <c r="AK47" s="4"/>
      <c r="AL47" s="4"/>
      <c r="AM47" s="4"/>
      <c r="AN47" s="4"/>
      <c r="AO47" s="4"/>
      <c r="AP47" s="4"/>
      <c r="AQ47" s="4" t="str">
        <f>"     " &amp; TEXT(AB47,"#0.00%") &amp; " " &amp; "통합테스트실시" &amp; "(김프로)" &amp; " " &amp; IF(M47="","",TEXT(M47,"M/D-")) &amp; IF(N47="","",TEXT(N47,"M/D")) &amp; " "</f>
        <v xml:space="preserve">     0.00% 통합테스트실시(김프로) 1/11-1/29 </v>
      </c>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row>
    <row r="48" spans="1:189" outlineLevel="3">
      <c r="A48" s="116"/>
      <c r="B48" s="116"/>
      <c r="C48" s="116">
        <v>4</v>
      </c>
      <c r="D48" s="3" t="s">
        <v>1038</v>
      </c>
      <c r="E48" s="184"/>
      <c r="F48" s="184"/>
      <c r="G48" s="184"/>
      <c r="H48" s="184" t="s">
        <v>1039</v>
      </c>
      <c r="I48" s="184"/>
      <c r="J48" s="184"/>
      <c r="K48" s="184"/>
      <c r="L48" s="184"/>
      <c r="M48" s="185">
        <v>43497</v>
      </c>
      <c r="N48" s="185">
        <v>43501</v>
      </c>
      <c r="O48" s="186"/>
      <c r="P48" s="187">
        <v>1</v>
      </c>
      <c r="Q48" s="187">
        <v>1</v>
      </c>
      <c r="R48" s="188">
        <v>1</v>
      </c>
      <c r="S48" s="188">
        <v>1</v>
      </c>
      <c r="T48" s="185"/>
      <c r="U48" s="185"/>
      <c r="V48" s="189"/>
      <c r="W48" s="190">
        <v>0</v>
      </c>
      <c r="X48" s="191">
        <v>1</v>
      </c>
      <c r="Y48" s="186" t="s">
        <v>1060</v>
      </c>
      <c r="Z48" s="192"/>
      <c r="AA48" s="97">
        <v>1</v>
      </c>
      <c r="AB48" s="193">
        <v>0</v>
      </c>
      <c r="AC48" s="123"/>
      <c r="AD48" s="4"/>
      <c r="AE48" s="4"/>
      <c r="AF48" s="4"/>
      <c r="AG48" s="4"/>
      <c r="AH48" s="4"/>
      <c r="AI48" s="4"/>
      <c r="AJ48" s="4"/>
      <c r="AK48" s="4"/>
      <c r="AL48" s="4"/>
      <c r="AM48" s="4"/>
      <c r="AN48" s="4"/>
      <c r="AO48" s="4"/>
      <c r="AP48" s="4"/>
      <c r="AQ48" s="4"/>
      <c r="AR48" s="4"/>
      <c r="AS48" s="4"/>
      <c r="AT48" s="4" t="str">
        <f>"     " &amp; TEXT(AB48,"#0.00%") &amp; " " &amp; "시스템테스트실시" &amp; "(김프로)" &amp; " " &amp; IF(M48="","",TEXT(M48,"M/D-")) &amp; IF(N48="","",TEXT(N48,"M/D")) &amp; " "</f>
        <v xml:space="preserve">     0.00% 시스템테스트실시(김프로) 2/1-2/5 </v>
      </c>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c r="FN48" s="4"/>
      <c r="FO48" s="4"/>
      <c r="FP48" s="4"/>
      <c r="FQ48" s="4"/>
      <c r="FR48" s="4"/>
      <c r="FS48" s="4"/>
      <c r="FT48" s="4"/>
      <c r="FU48" s="4"/>
      <c r="FV48" s="4"/>
      <c r="FW48" s="4"/>
      <c r="FX48" s="4"/>
      <c r="FY48" s="4"/>
      <c r="FZ48" s="4"/>
      <c r="GA48" s="4"/>
      <c r="GB48" s="4"/>
      <c r="GC48" s="4"/>
      <c r="GD48" s="4"/>
      <c r="GE48" s="4"/>
      <c r="GF48" s="4"/>
      <c r="GG48" s="4"/>
    </row>
    <row r="49" spans="1:189" outlineLevel="1">
      <c r="A49" s="116"/>
      <c r="B49" s="116" t="s">
        <v>1087</v>
      </c>
      <c r="C49" s="116">
        <v>2</v>
      </c>
      <c r="D49" s="3" t="s">
        <v>1103</v>
      </c>
      <c r="E49" s="184"/>
      <c r="F49" s="184" t="s">
        <v>1040</v>
      </c>
      <c r="G49" s="184"/>
      <c r="H49" s="184"/>
      <c r="I49" s="184"/>
      <c r="J49" s="184"/>
      <c r="K49" s="184"/>
      <c r="L49" s="184"/>
      <c r="M49" s="185">
        <v>43497</v>
      </c>
      <c r="N49" s="185">
        <v>43504</v>
      </c>
      <c r="O49" s="186"/>
      <c r="P49" s="187">
        <v>5</v>
      </c>
      <c r="Q49" s="187">
        <v>5</v>
      </c>
      <c r="R49" s="188">
        <v>3</v>
      </c>
      <c r="S49" s="188">
        <v>3</v>
      </c>
      <c r="T49" s="185"/>
      <c r="U49" s="185"/>
      <c r="V49" s="189">
        <v>0</v>
      </c>
      <c r="W49" s="190">
        <v>0</v>
      </c>
      <c r="X49" s="191"/>
      <c r="Y49" s="186"/>
      <c r="Z49" s="192"/>
      <c r="AA49" s="97">
        <v>1</v>
      </c>
      <c r="AB49" s="193">
        <v>0</v>
      </c>
      <c r="AC49" s="123"/>
      <c r="AD49" s="4"/>
      <c r="AE49" s="4"/>
      <c r="AF49" s="4"/>
      <c r="AG49" s="4"/>
      <c r="AH49" s="4"/>
      <c r="AI49" s="4"/>
      <c r="AJ49" s="4"/>
      <c r="AK49" s="4"/>
      <c r="AL49" s="4"/>
      <c r="AM49" s="4"/>
      <c r="AN49" s="4"/>
      <c r="AO49" s="4"/>
      <c r="AP49" s="4"/>
      <c r="AQ49" s="4"/>
      <c r="AR49" s="4"/>
      <c r="AS49" s="4"/>
      <c r="AT49" s="4" t="str">
        <f>"     " &amp; TEXT(AB49,"#0.00%") &amp; " " &amp; "구현" &amp; " " &amp; IF(M49="","",TEXT(M49,"M/D-")) &amp; IF(N49="","",TEXT(N49,"M/D")) &amp; " "</f>
        <v xml:space="preserve">     0.00% 구현 2/1-2/8 </v>
      </c>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c r="FF49" s="4"/>
      <c r="FG49" s="4"/>
      <c r="FH49" s="4"/>
      <c r="FI49" s="4"/>
      <c r="FJ49" s="4"/>
      <c r="FK49" s="4"/>
      <c r="FL49" s="4"/>
      <c r="FM49" s="4"/>
      <c r="FN49" s="4"/>
      <c r="FO49" s="4"/>
      <c r="FP49" s="4"/>
      <c r="FQ49" s="4"/>
      <c r="FR49" s="4"/>
      <c r="FS49" s="4"/>
      <c r="FT49" s="4"/>
      <c r="FU49" s="4"/>
      <c r="FV49" s="4"/>
      <c r="FW49" s="4"/>
      <c r="FX49" s="4"/>
      <c r="FY49" s="4"/>
      <c r="FZ49" s="4"/>
      <c r="GA49" s="4"/>
      <c r="GB49" s="4"/>
      <c r="GC49" s="4"/>
      <c r="GD49" s="4"/>
      <c r="GE49" s="4"/>
      <c r="GF49" s="4"/>
      <c r="GG49" s="4"/>
    </row>
    <row r="50" spans="1:189" outlineLevel="2">
      <c r="A50" s="116"/>
      <c r="B50" s="116" t="s">
        <v>1087</v>
      </c>
      <c r="C50" s="116">
        <v>3</v>
      </c>
      <c r="D50" s="3" t="s">
        <v>1104</v>
      </c>
      <c r="E50" s="184"/>
      <c r="F50" s="184"/>
      <c r="G50" s="184" t="s">
        <v>1041</v>
      </c>
      <c r="H50" s="184"/>
      <c r="I50" s="184"/>
      <c r="J50" s="184"/>
      <c r="K50" s="184"/>
      <c r="L50" s="184"/>
      <c r="M50" s="185">
        <v>43497</v>
      </c>
      <c r="N50" s="185">
        <v>43499</v>
      </c>
      <c r="O50" s="186"/>
      <c r="P50" s="187">
        <v>1</v>
      </c>
      <c r="Q50" s="187">
        <v>1</v>
      </c>
      <c r="R50" s="188">
        <v>1</v>
      </c>
      <c r="S50" s="188">
        <v>1</v>
      </c>
      <c r="T50" s="185"/>
      <c r="U50" s="185"/>
      <c r="V50" s="189">
        <v>0</v>
      </c>
      <c r="W50" s="190">
        <v>0</v>
      </c>
      <c r="X50" s="191"/>
      <c r="Y50" s="186"/>
      <c r="Z50" s="192"/>
      <c r="AA50" s="97">
        <v>1</v>
      </c>
      <c r="AB50" s="193">
        <v>0</v>
      </c>
      <c r="AC50" s="123"/>
      <c r="AD50" s="4"/>
      <c r="AE50" s="4"/>
      <c r="AF50" s="4"/>
      <c r="AG50" s="4"/>
      <c r="AH50" s="4"/>
      <c r="AI50" s="4"/>
      <c r="AJ50" s="4"/>
      <c r="AK50" s="4"/>
      <c r="AL50" s="4"/>
      <c r="AM50" s="4"/>
      <c r="AN50" s="4"/>
      <c r="AO50" s="4"/>
      <c r="AP50" s="4"/>
      <c r="AQ50" s="4"/>
      <c r="AR50" s="4"/>
      <c r="AS50" s="4"/>
      <c r="AT50" s="4" t="str">
        <f>"     " &amp; TEXT(AB50,"#0.00%") &amp; " " &amp; "구현준비" &amp; " " &amp; IF(M50="","",TEXT(M50,"M/D-")) &amp; IF(N50="","",TEXT(N50,"M/D")) &amp; " "</f>
        <v xml:space="preserve">     0.00% 구현준비 2/1-2/3 </v>
      </c>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c r="FF50" s="4"/>
      <c r="FG50" s="4"/>
      <c r="FH50" s="4"/>
      <c r="FI50" s="4"/>
      <c r="FJ50" s="4"/>
      <c r="FK50" s="4"/>
      <c r="FL50" s="4"/>
      <c r="FM50" s="4"/>
      <c r="FN50" s="4"/>
      <c r="FO50" s="4"/>
      <c r="FP50" s="4"/>
      <c r="FQ50" s="4"/>
      <c r="FR50" s="4"/>
      <c r="FS50" s="4"/>
      <c r="FT50" s="4"/>
      <c r="FU50" s="4"/>
      <c r="FV50" s="4"/>
      <c r="FW50" s="4"/>
      <c r="FX50" s="4"/>
      <c r="FY50" s="4"/>
      <c r="FZ50" s="4"/>
      <c r="GA50" s="4"/>
      <c r="GB50" s="4"/>
      <c r="GC50" s="4"/>
      <c r="GD50" s="4"/>
      <c r="GE50" s="4"/>
      <c r="GF50" s="4"/>
      <c r="GG50" s="4"/>
    </row>
    <row r="51" spans="1:189" outlineLevel="3">
      <c r="A51" s="116"/>
      <c r="B51" s="116"/>
      <c r="C51" s="116">
        <v>4</v>
      </c>
      <c r="D51" s="3" t="s">
        <v>1042</v>
      </c>
      <c r="E51" s="184"/>
      <c r="F51" s="184"/>
      <c r="G51" s="184"/>
      <c r="H51" s="184" t="s">
        <v>1043</v>
      </c>
      <c r="I51" s="184"/>
      <c r="J51" s="184"/>
      <c r="K51" s="184"/>
      <c r="L51" s="184"/>
      <c r="M51" s="185">
        <v>43497</v>
      </c>
      <c r="N51" s="185">
        <v>43499</v>
      </c>
      <c r="O51" s="186"/>
      <c r="P51" s="187">
        <v>1</v>
      </c>
      <c r="Q51" s="187">
        <v>1</v>
      </c>
      <c r="R51" s="188">
        <v>1</v>
      </c>
      <c r="S51" s="188">
        <v>1</v>
      </c>
      <c r="T51" s="185"/>
      <c r="U51" s="185"/>
      <c r="V51" s="189"/>
      <c r="W51" s="190">
        <v>0</v>
      </c>
      <c r="X51" s="191">
        <v>1</v>
      </c>
      <c r="Y51" s="186" t="s">
        <v>1060</v>
      </c>
      <c r="Z51" s="192"/>
      <c r="AA51" s="97">
        <v>1</v>
      </c>
      <c r="AB51" s="193">
        <v>0</v>
      </c>
      <c r="AC51" s="123"/>
      <c r="AD51" s="4"/>
      <c r="AE51" s="4"/>
      <c r="AF51" s="4"/>
      <c r="AG51" s="4"/>
      <c r="AH51" s="4"/>
      <c r="AI51" s="4"/>
      <c r="AJ51" s="4"/>
      <c r="AK51" s="4"/>
      <c r="AL51" s="4"/>
      <c r="AM51" s="4"/>
      <c r="AN51" s="4"/>
      <c r="AO51" s="4"/>
      <c r="AP51" s="4"/>
      <c r="AQ51" s="4"/>
      <c r="AR51" s="4"/>
      <c r="AS51" s="4"/>
      <c r="AT51" s="4" t="str">
        <f>"     " &amp; TEXT(AB51,"#0.00%") &amp; " " &amp; "Release 및 Contingency plan수립" &amp; "(김프로)" &amp; " " &amp; IF(M51="","",TEXT(M51,"M/D-")) &amp; IF(N51="","",TEXT(N51,"M/D")) &amp; " "</f>
        <v xml:space="preserve">     0.00% Release 및 Contingency plan수립(김프로) 2/1-2/3 </v>
      </c>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c r="FF51" s="4"/>
      <c r="FG51" s="4"/>
      <c r="FH51" s="4"/>
      <c r="FI51" s="4"/>
      <c r="FJ51" s="4"/>
      <c r="FK51" s="4"/>
      <c r="FL51" s="4"/>
      <c r="FM51" s="4"/>
      <c r="FN51" s="4"/>
      <c r="FO51" s="4"/>
      <c r="FP51" s="4"/>
      <c r="FQ51" s="4"/>
      <c r="FR51" s="4"/>
      <c r="FS51" s="4"/>
      <c r="FT51" s="4"/>
      <c r="FU51" s="4"/>
      <c r="FV51" s="4"/>
      <c r="FW51" s="4"/>
      <c r="FX51" s="4"/>
      <c r="FY51" s="4"/>
      <c r="FZ51" s="4"/>
      <c r="GA51" s="4"/>
      <c r="GB51" s="4"/>
      <c r="GC51" s="4"/>
      <c r="GD51" s="4"/>
      <c r="GE51" s="4"/>
      <c r="GF51" s="4"/>
      <c r="GG51" s="4"/>
    </row>
    <row r="52" spans="1:189" outlineLevel="2">
      <c r="A52" s="116"/>
      <c r="B52" s="116" t="s">
        <v>1087</v>
      </c>
      <c r="C52" s="116">
        <v>3</v>
      </c>
      <c r="D52" s="3" t="s">
        <v>1105</v>
      </c>
      <c r="E52" s="184"/>
      <c r="F52" s="184"/>
      <c r="G52" s="184" t="s">
        <v>1044</v>
      </c>
      <c r="H52" s="184"/>
      <c r="I52" s="184"/>
      <c r="J52" s="184"/>
      <c r="K52" s="184"/>
      <c r="L52" s="184"/>
      <c r="M52" s="185">
        <v>43501</v>
      </c>
      <c r="N52" s="185">
        <v>43504</v>
      </c>
      <c r="O52" s="186"/>
      <c r="P52" s="187">
        <v>4</v>
      </c>
      <c r="Q52" s="187">
        <v>4</v>
      </c>
      <c r="R52" s="188">
        <v>2</v>
      </c>
      <c r="S52" s="188">
        <v>2</v>
      </c>
      <c r="T52" s="185"/>
      <c r="U52" s="185"/>
      <c r="V52" s="189">
        <v>0</v>
      </c>
      <c r="W52" s="190">
        <v>0</v>
      </c>
      <c r="X52" s="191"/>
      <c r="Y52" s="186"/>
      <c r="Z52" s="192"/>
      <c r="AA52" s="97">
        <v>1</v>
      </c>
      <c r="AB52" s="193">
        <v>0</v>
      </c>
      <c r="AC52" s="123"/>
      <c r="AD52" s="4"/>
      <c r="AE52" s="4"/>
      <c r="AF52" s="4"/>
      <c r="AG52" s="4"/>
      <c r="AH52" s="4"/>
      <c r="AI52" s="4"/>
      <c r="AJ52" s="4"/>
      <c r="AK52" s="4"/>
      <c r="AL52" s="4"/>
      <c r="AM52" s="4"/>
      <c r="AN52" s="4"/>
      <c r="AO52" s="4"/>
      <c r="AP52" s="4"/>
      <c r="AQ52" s="4"/>
      <c r="AR52" s="4"/>
      <c r="AS52" s="4"/>
      <c r="AT52" s="4"/>
      <c r="AU52" s="4" t="str">
        <f>"  " &amp; TEXT(AB52,"#0.00%") &amp; " " &amp; "Conversion 및 Release" &amp; " " &amp; IF(M52="","",TEXT(M52,"M/D-")) &amp; IF(N52="","",TEXT(N52,"M/D")) &amp; " "</f>
        <v xml:space="preserve">  0.00% Conversion 및 Release 2/5-2/8 </v>
      </c>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c r="FF52" s="4"/>
      <c r="FG52" s="4"/>
      <c r="FH52" s="4"/>
      <c r="FI52" s="4"/>
      <c r="FJ52" s="4"/>
      <c r="FK52" s="4"/>
      <c r="FL52" s="4"/>
      <c r="FM52" s="4"/>
      <c r="FN52" s="4"/>
      <c r="FO52" s="4"/>
      <c r="FP52" s="4"/>
      <c r="FQ52" s="4"/>
      <c r="FR52" s="4"/>
      <c r="FS52" s="4"/>
      <c r="FT52" s="4"/>
      <c r="FU52" s="4"/>
      <c r="FV52" s="4"/>
      <c r="FW52" s="4"/>
      <c r="FX52" s="4"/>
      <c r="FY52" s="4"/>
      <c r="FZ52" s="4"/>
      <c r="GA52" s="4"/>
      <c r="GB52" s="4"/>
      <c r="GC52" s="4"/>
      <c r="GD52" s="4"/>
      <c r="GE52" s="4"/>
      <c r="GF52" s="4"/>
      <c r="GG52" s="4"/>
    </row>
    <row r="53" spans="1:189" outlineLevel="3">
      <c r="A53" s="116"/>
      <c r="B53" s="116"/>
      <c r="C53" s="116">
        <v>4</v>
      </c>
      <c r="D53" s="3" t="s">
        <v>1045</v>
      </c>
      <c r="E53" s="184"/>
      <c r="F53" s="184"/>
      <c r="G53" s="184"/>
      <c r="H53" s="184" t="s">
        <v>1046</v>
      </c>
      <c r="I53" s="184"/>
      <c r="J53" s="184"/>
      <c r="K53" s="184"/>
      <c r="L53" s="184"/>
      <c r="M53" s="185">
        <v>43501</v>
      </c>
      <c r="N53" s="185">
        <v>43503</v>
      </c>
      <c r="O53" s="186"/>
      <c r="P53" s="187">
        <v>1</v>
      </c>
      <c r="Q53" s="187">
        <v>1</v>
      </c>
      <c r="R53" s="188">
        <v>1</v>
      </c>
      <c r="S53" s="188">
        <v>1</v>
      </c>
      <c r="T53" s="185"/>
      <c r="U53" s="185"/>
      <c r="V53" s="189"/>
      <c r="W53" s="190">
        <v>0</v>
      </c>
      <c r="X53" s="191">
        <v>1</v>
      </c>
      <c r="Y53" s="186" t="s">
        <v>1065</v>
      </c>
      <c r="Z53" s="192"/>
      <c r="AA53" s="97">
        <v>1</v>
      </c>
      <c r="AB53" s="193">
        <v>0</v>
      </c>
      <c r="AC53" s="123"/>
      <c r="AD53" s="4"/>
      <c r="AE53" s="4"/>
      <c r="AF53" s="4"/>
      <c r="AG53" s="4"/>
      <c r="AH53" s="4"/>
      <c r="AI53" s="4"/>
      <c r="AJ53" s="4"/>
      <c r="AK53" s="4"/>
      <c r="AL53" s="4"/>
      <c r="AM53" s="4"/>
      <c r="AN53" s="4"/>
      <c r="AO53" s="4"/>
      <c r="AP53" s="4"/>
      <c r="AQ53" s="4"/>
      <c r="AR53" s="4"/>
      <c r="AS53" s="4"/>
      <c r="AT53" s="4"/>
      <c r="AU53" s="4" t="str">
        <f>"  " &amp; TEXT(AB53,"#0.00%") &amp; " " &amp; "데이터베이스구축" &amp; "(김프로,김디비)" &amp; " " &amp; IF(M53="","",TEXT(M53,"M/D-")) &amp; IF(N53="","",TEXT(N53,"M/D")) &amp; " "</f>
        <v xml:space="preserve">  0.00% 데이터베이스구축(김프로,김디비) 2/5-2/7 </v>
      </c>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c r="FF53" s="4"/>
      <c r="FG53" s="4"/>
      <c r="FH53" s="4"/>
      <c r="FI53" s="4"/>
      <c r="FJ53" s="4"/>
      <c r="FK53" s="4"/>
      <c r="FL53" s="4"/>
      <c r="FM53" s="4"/>
      <c r="FN53" s="4"/>
      <c r="FO53" s="4"/>
      <c r="FP53" s="4"/>
      <c r="FQ53" s="4"/>
      <c r="FR53" s="4"/>
      <c r="FS53" s="4"/>
      <c r="FT53" s="4"/>
      <c r="FU53" s="4"/>
      <c r="FV53" s="4"/>
      <c r="FW53" s="4"/>
      <c r="FX53" s="4"/>
      <c r="FY53" s="4"/>
      <c r="FZ53" s="4"/>
      <c r="GA53" s="4"/>
      <c r="GB53" s="4"/>
      <c r="GC53" s="4"/>
      <c r="GD53" s="4"/>
      <c r="GE53" s="4"/>
      <c r="GF53" s="4"/>
      <c r="GG53" s="4"/>
    </row>
    <row r="54" spans="1:189" outlineLevel="3">
      <c r="A54" s="116"/>
      <c r="B54" s="116"/>
      <c r="C54" s="116">
        <v>4</v>
      </c>
      <c r="D54" s="3" t="s">
        <v>1047</v>
      </c>
      <c r="E54" s="184"/>
      <c r="F54" s="184"/>
      <c r="G54" s="184"/>
      <c r="H54" s="184" t="s">
        <v>1048</v>
      </c>
      <c r="I54" s="184"/>
      <c r="J54" s="184"/>
      <c r="K54" s="184"/>
      <c r="L54" s="184"/>
      <c r="M54" s="185">
        <v>43501</v>
      </c>
      <c r="N54" s="185">
        <v>43503</v>
      </c>
      <c r="O54" s="186"/>
      <c r="P54" s="187">
        <v>1</v>
      </c>
      <c r="Q54" s="187">
        <v>1</v>
      </c>
      <c r="R54" s="188">
        <v>1</v>
      </c>
      <c r="S54" s="188">
        <v>1</v>
      </c>
      <c r="T54" s="185"/>
      <c r="U54" s="185"/>
      <c r="V54" s="189"/>
      <c r="W54" s="190">
        <v>0</v>
      </c>
      <c r="X54" s="191">
        <v>1</v>
      </c>
      <c r="Y54" s="186" t="s">
        <v>1066</v>
      </c>
      <c r="Z54" s="192"/>
      <c r="AA54" s="97">
        <v>1</v>
      </c>
      <c r="AB54" s="193">
        <v>0</v>
      </c>
      <c r="AC54" s="123"/>
      <c r="AD54" s="4"/>
      <c r="AE54" s="4"/>
      <c r="AF54" s="4"/>
      <c r="AG54" s="4"/>
      <c r="AH54" s="4"/>
      <c r="AI54" s="4"/>
      <c r="AJ54" s="4"/>
      <c r="AK54" s="4"/>
      <c r="AL54" s="4"/>
      <c r="AM54" s="4"/>
      <c r="AN54" s="4"/>
      <c r="AO54" s="4"/>
      <c r="AP54" s="4"/>
      <c r="AQ54" s="4"/>
      <c r="AR54" s="4"/>
      <c r="AS54" s="4"/>
      <c r="AT54" s="4"/>
      <c r="AU54" s="4" t="str">
        <f>"  " &amp; TEXT(AB54,"#0.00%") &amp; " " &amp; "소프트웨어설치" &amp; "(김프로,이개발)" &amp; " " &amp; IF(M54="","",TEXT(M54,"M/D-")) &amp; IF(N54="","",TEXT(N54,"M/D")) &amp; " "</f>
        <v xml:space="preserve">  0.00% 소프트웨어설치(김프로,이개발) 2/5-2/7 </v>
      </c>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c r="FF54" s="4"/>
      <c r="FG54" s="4"/>
      <c r="FH54" s="4"/>
      <c r="FI54" s="4"/>
      <c r="FJ54" s="4"/>
      <c r="FK54" s="4"/>
      <c r="FL54" s="4"/>
      <c r="FM54" s="4"/>
      <c r="FN54" s="4"/>
      <c r="FO54" s="4"/>
      <c r="FP54" s="4"/>
      <c r="FQ54" s="4"/>
      <c r="FR54" s="4"/>
      <c r="FS54" s="4"/>
      <c r="FT54" s="4"/>
      <c r="FU54" s="4"/>
      <c r="FV54" s="4"/>
      <c r="FW54" s="4"/>
      <c r="FX54" s="4"/>
      <c r="FY54" s="4"/>
      <c r="FZ54" s="4"/>
      <c r="GA54" s="4"/>
      <c r="GB54" s="4"/>
      <c r="GC54" s="4"/>
      <c r="GD54" s="4"/>
      <c r="GE54" s="4"/>
      <c r="GF54" s="4"/>
      <c r="GG54" s="4"/>
    </row>
    <row r="55" spans="1:189" outlineLevel="3">
      <c r="A55" s="116"/>
      <c r="B55" s="116"/>
      <c r="C55" s="116">
        <v>4</v>
      </c>
      <c r="D55" s="3" t="s">
        <v>1049</v>
      </c>
      <c r="E55" s="184"/>
      <c r="F55" s="184"/>
      <c r="G55" s="184"/>
      <c r="H55" s="184" t="s">
        <v>1050</v>
      </c>
      <c r="I55" s="184"/>
      <c r="J55" s="184"/>
      <c r="K55" s="184"/>
      <c r="L55" s="184"/>
      <c r="M55" s="185">
        <v>43501</v>
      </c>
      <c r="N55" s="185">
        <v>43503</v>
      </c>
      <c r="O55" s="186"/>
      <c r="P55" s="187">
        <v>1</v>
      </c>
      <c r="Q55" s="187">
        <v>1</v>
      </c>
      <c r="R55" s="188">
        <v>1</v>
      </c>
      <c r="S55" s="188">
        <v>1</v>
      </c>
      <c r="T55" s="185"/>
      <c r="U55" s="185"/>
      <c r="V55" s="189"/>
      <c r="W55" s="190">
        <v>0</v>
      </c>
      <c r="X55" s="191">
        <v>1</v>
      </c>
      <c r="Y55" s="186" t="s">
        <v>1066</v>
      </c>
      <c r="Z55" s="192"/>
      <c r="AA55" s="97">
        <v>1</v>
      </c>
      <c r="AB55" s="193">
        <v>0</v>
      </c>
      <c r="AC55" s="123"/>
      <c r="AD55" s="4"/>
      <c r="AE55" s="4"/>
      <c r="AF55" s="4"/>
      <c r="AG55" s="4"/>
      <c r="AH55" s="4"/>
      <c r="AI55" s="4"/>
      <c r="AJ55" s="4"/>
      <c r="AK55" s="4"/>
      <c r="AL55" s="4"/>
      <c r="AM55" s="4"/>
      <c r="AN55" s="4"/>
      <c r="AO55" s="4"/>
      <c r="AP55" s="4"/>
      <c r="AQ55" s="4"/>
      <c r="AR55" s="4"/>
      <c r="AS55" s="4"/>
      <c r="AT55" s="4"/>
      <c r="AU55" s="4" t="str">
        <f>"  " &amp; TEXT(AB55,"#0.00%") &amp; " " &amp; "인수테스트실시" &amp; "(김프로,이개발)" &amp; " " &amp; IF(M55="","",TEXT(M55,"M/D-")) &amp; IF(N55="","",TEXT(N55,"M/D")) &amp; " "</f>
        <v xml:space="preserve">  0.00% 인수테스트실시(김프로,이개발) 2/5-2/7 </v>
      </c>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c r="FF55" s="4"/>
      <c r="FG55" s="4"/>
      <c r="FH55" s="4"/>
      <c r="FI55" s="4"/>
      <c r="FJ55" s="4"/>
      <c r="FK55" s="4"/>
      <c r="FL55" s="4"/>
      <c r="FM55" s="4"/>
      <c r="FN55" s="4"/>
      <c r="FO55" s="4"/>
      <c r="FP55" s="4"/>
      <c r="FQ55" s="4"/>
      <c r="FR55" s="4"/>
      <c r="FS55" s="4"/>
      <c r="FT55" s="4"/>
      <c r="FU55" s="4"/>
      <c r="FV55" s="4"/>
      <c r="FW55" s="4"/>
      <c r="FX55" s="4"/>
      <c r="FY55" s="4"/>
      <c r="FZ55" s="4"/>
      <c r="GA55" s="4"/>
      <c r="GB55" s="4"/>
      <c r="GC55" s="4"/>
      <c r="GD55" s="4"/>
      <c r="GE55" s="4"/>
      <c r="GF55" s="4"/>
      <c r="GG55" s="4"/>
    </row>
    <row r="56" spans="1:189" outlineLevel="3">
      <c r="A56" s="116"/>
      <c r="B56" s="116"/>
      <c r="C56" s="116">
        <v>4</v>
      </c>
      <c r="D56" s="3" t="s">
        <v>1051</v>
      </c>
      <c r="E56" s="184"/>
      <c r="F56" s="184"/>
      <c r="G56" s="184"/>
      <c r="H56" s="184" t="s">
        <v>1052</v>
      </c>
      <c r="I56" s="184"/>
      <c r="J56" s="184"/>
      <c r="K56" s="184"/>
      <c r="L56" s="184"/>
      <c r="M56" s="185">
        <v>43504</v>
      </c>
      <c r="N56" s="185">
        <v>43504</v>
      </c>
      <c r="O56" s="186"/>
      <c r="P56" s="187">
        <v>1</v>
      </c>
      <c r="Q56" s="187">
        <v>1</v>
      </c>
      <c r="R56" s="188">
        <v>1</v>
      </c>
      <c r="S56" s="188">
        <v>1</v>
      </c>
      <c r="T56" s="185"/>
      <c r="U56" s="185"/>
      <c r="V56" s="189"/>
      <c r="W56" s="190">
        <v>0</v>
      </c>
      <c r="X56" s="191">
        <v>1</v>
      </c>
      <c r="Y56" s="186" t="s">
        <v>1060</v>
      </c>
      <c r="Z56" s="192"/>
      <c r="AA56" s="97">
        <v>1</v>
      </c>
      <c r="AB56" s="193">
        <v>0</v>
      </c>
      <c r="AC56" s="123"/>
      <c r="AD56" s="4"/>
      <c r="AE56" s="4"/>
      <c r="AF56" s="4"/>
      <c r="AG56" s="4"/>
      <c r="AH56" s="4"/>
      <c r="AI56" s="4"/>
      <c r="AJ56" s="4"/>
      <c r="AK56" s="4"/>
      <c r="AL56" s="4"/>
      <c r="AM56" s="4"/>
      <c r="AN56" s="4"/>
      <c r="AO56" s="4"/>
      <c r="AP56" s="4"/>
      <c r="AQ56" s="4"/>
      <c r="AR56" s="4"/>
      <c r="AS56" s="4"/>
      <c r="AT56" s="4"/>
      <c r="AU56" s="4" t="str">
        <f>"     " &amp; TEXT(AB56,"#0.00%") &amp; " " &amp; "시스템오픈" &amp; "(김프로)" &amp; " " &amp; IF(M56="","",TEXT(M56,"M/D-")) &amp; IF(N56="","",TEXT(N56,"M/D")) &amp; " "</f>
        <v xml:space="preserve">     0.00% 시스템오픈(김프로) 2/8-2/8 </v>
      </c>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c r="FF56" s="4"/>
      <c r="FG56" s="4"/>
      <c r="FH56" s="4"/>
      <c r="FI56" s="4"/>
      <c r="FJ56" s="4"/>
      <c r="FK56" s="4"/>
      <c r="FL56" s="4"/>
      <c r="FM56" s="4"/>
      <c r="FN56" s="4"/>
      <c r="FO56" s="4"/>
      <c r="FP56" s="4"/>
      <c r="FQ56" s="4"/>
      <c r="FR56" s="4"/>
      <c r="FS56" s="4"/>
      <c r="FT56" s="4"/>
      <c r="FU56" s="4"/>
      <c r="FV56" s="4"/>
      <c r="FW56" s="4"/>
      <c r="FX56" s="4"/>
      <c r="FY56" s="4"/>
      <c r="FZ56" s="4"/>
      <c r="GA56" s="4"/>
      <c r="GB56" s="4"/>
      <c r="GC56" s="4"/>
      <c r="GD56" s="4"/>
      <c r="GE56" s="4"/>
      <c r="GF56" s="4"/>
      <c r="GG56" s="4"/>
    </row>
    <row r="57" spans="1:189">
      <c r="A57" s="194"/>
      <c r="B57" s="194"/>
      <c r="C57" s="194"/>
      <c r="D57" s="195"/>
      <c r="E57" s="196"/>
      <c r="F57" s="196"/>
      <c r="G57" s="196"/>
      <c r="H57" s="196"/>
      <c r="I57" s="196"/>
      <c r="J57" s="196"/>
      <c r="K57" s="196"/>
      <c r="L57" s="196"/>
      <c r="M57" s="197"/>
      <c r="N57" s="197"/>
      <c r="O57" s="198"/>
      <c r="P57" s="199"/>
      <c r="Q57" s="199"/>
      <c r="R57" s="200"/>
      <c r="S57" s="200"/>
      <c r="T57" s="197"/>
      <c r="U57" s="197"/>
      <c r="V57" s="201"/>
      <c r="W57" s="202"/>
      <c r="X57" s="203"/>
      <c r="Y57" s="198"/>
      <c r="Z57" s="204"/>
      <c r="AA57" s="205"/>
      <c r="AB57" s="206"/>
      <c r="AC57" s="182"/>
      <c r="AD57" s="182"/>
      <c r="AE57" s="182"/>
      <c r="AF57" s="182"/>
      <c r="AG57" s="182"/>
      <c r="AH57" s="182"/>
      <c r="AI57" s="182"/>
      <c r="AJ57" s="182"/>
      <c r="AK57" s="182"/>
      <c r="AL57" s="182"/>
      <c r="AM57" s="182"/>
      <c r="AN57" s="182"/>
      <c r="AO57" s="182"/>
      <c r="AP57" s="182"/>
      <c r="AQ57" s="182"/>
      <c r="AR57" s="182"/>
      <c r="AS57" s="182"/>
      <c r="AT57" s="182"/>
      <c r="AU57" s="182"/>
      <c r="AV57" s="182"/>
      <c r="AW57" s="182"/>
      <c r="AX57" s="182"/>
      <c r="AY57" s="182"/>
      <c r="AZ57" s="182"/>
      <c r="BA57" s="182"/>
      <c r="BB57" s="182"/>
      <c r="BC57" s="182"/>
      <c r="BD57" s="182"/>
      <c r="BE57" s="182"/>
      <c r="BF57" s="182"/>
      <c r="BG57" s="182"/>
      <c r="BH57" s="182"/>
      <c r="BI57" s="182"/>
      <c r="BJ57" s="182"/>
      <c r="BK57" s="182"/>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c r="CS57" s="182"/>
      <c r="CT57" s="182"/>
      <c r="CU57" s="182"/>
      <c r="CV57" s="182"/>
      <c r="CW57" s="182"/>
      <c r="CX57" s="182"/>
      <c r="CY57" s="182"/>
      <c r="CZ57" s="182"/>
      <c r="DA57" s="182"/>
      <c r="DB57" s="182"/>
      <c r="DC57" s="182"/>
      <c r="DD57" s="182"/>
      <c r="DE57" s="182"/>
      <c r="DF57" s="182"/>
      <c r="DG57" s="182"/>
      <c r="DH57" s="182"/>
      <c r="DI57" s="182"/>
      <c r="DJ57" s="182"/>
      <c r="DK57" s="182"/>
      <c r="DL57" s="182"/>
      <c r="DM57" s="182"/>
      <c r="DN57" s="182"/>
      <c r="DO57" s="182"/>
      <c r="DP57" s="182"/>
      <c r="DQ57" s="182"/>
      <c r="DR57" s="182"/>
      <c r="DS57" s="182"/>
      <c r="DT57" s="182"/>
      <c r="DU57" s="182"/>
      <c r="DV57" s="182"/>
      <c r="DW57" s="182"/>
      <c r="DX57" s="182"/>
      <c r="DY57" s="182"/>
      <c r="DZ57" s="182"/>
      <c r="EA57" s="182"/>
      <c r="EB57" s="182"/>
      <c r="EC57" s="182"/>
      <c r="ED57" s="182"/>
      <c r="EE57" s="182"/>
      <c r="EF57" s="182"/>
      <c r="EG57" s="182"/>
      <c r="EH57" s="182"/>
      <c r="EI57" s="182"/>
      <c r="EJ57" s="182"/>
      <c r="EK57" s="182"/>
      <c r="EL57" s="182"/>
      <c r="EM57" s="182"/>
      <c r="EN57" s="182"/>
      <c r="EO57" s="182"/>
      <c r="EP57" s="182"/>
      <c r="EQ57" s="182"/>
      <c r="ER57" s="182"/>
      <c r="ES57" s="182"/>
      <c r="ET57" s="182"/>
      <c r="EU57" s="182"/>
      <c r="EV57" s="182"/>
      <c r="EW57" s="182"/>
      <c r="EX57" s="182"/>
      <c r="EY57" s="182"/>
      <c r="EZ57" s="182"/>
      <c r="FA57" s="182"/>
      <c r="FB57" s="182"/>
      <c r="FC57" s="182"/>
      <c r="FD57" s="182"/>
      <c r="FE57" s="182"/>
      <c r="FF57" s="182"/>
      <c r="FG57" s="182"/>
      <c r="FH57" s="182"/>
      <c r="FI57" s="182"/>
      <c r="FJ57" s="182"/>
      <c r="FK57" s="182"/>
      <c r="FL57" s="182"/>
      <c r="FM57" s="182"/>
      <c r="FN57" s="182"/>
      <c r="FO57" s="182"/>
      <c r="FP57" s="182"/>
      <c r="FQ57" s="182"/>
      <c r="FR57" s="182"/>
      <c r="FS57" s="182"/>
      <c r="FT57" s="182"/>
      <c r="FU57" s="182"/>
      <c r="FV57" s="182"/>
      <c r="FW57" s="182"/>
      <c r="FX57" s="182"/>
      <c r="FY57" s="182"/>
      <c r="FZ57" s="182"/>
      <c r="GA57" s="182"/>
      <c r="GB57" s="182"/>
      <c r="GC57" s="182"/>
      <c r="GD57" s="182"/>
      <c r="GE57" s="182"/>
      <c r="GF57" s="182"/>
      <c r="GG57" s="182"/>
    </row>
    <row r="58" spans="1:189">
      <c r="A58" s="116"/>
      <c r="B58" s="116"/>
      <c r="C58" s="116"/>
      <c r="D58" s="3"/>
      <c r="E58" s="184"/>
      <c r="F58" s="184"/>
      <c r="G58" s="184"/>
      <c r="H58" s="184"/>
      <c r="I58" s="184"/>
      <c r="J58" s="184"/>
      <c r="K58" s="184"/>
      <c r="L58" s="184"/>
      <c r="M58" s="185"/>
      <c r="N58" s="185"/>
      <c r="O58" s="186"/>
      <c r="P58" s="187"/>
      <c r="Q58" s="187"/>
      <c r="R58" s="188"/>
      <c r="S58" s="188"/>
      <c r="T58" s="185"/>
      <c r="U58" s="185"/>
      <c r="V58" s="189"/>
      <c r="W58" s="190"/>
      <c r="X58" s="191"/>
      <c r="Y58" s="186"/>
      <c r="Z58" s="192"/>
      <c r="AA58" s="97"/>
      <c r="AB58" s="193"/>
    </row>
    <row r="59" spans="1:189">
      <c r="A59" s="116"/>
      <c r="B59" s="116"/>
      <c r="C59" s="116"/>
      <c r="D59" s="3"/>
      <c r="E59" s="184"/>
      <c r="F59" s="184"/>
      <c r="G59" s="184"/>
      <c r="H59" s="184"/>
      <c r="I59" s="184"/>
      <c r="J59" s="184"/>
      <c r="K59" s="184"/>
      <c r="L59" s="184"/>
      <c r="M59" s="185"/>
      <c r="N59" s="185"/>
      <c r="O59" s="186"/>
      <c r="P59" s="187"/>
      <c r="Q59" s="187"/>
      <c r="R59" s="188"/>
      <c r="S59" s="188"/>
      <c r="T59" s="185"/>
      <c r="U59" s="185"/>
      <c r="V59" s="189"/>
      <c r="W59" s="190"/>
      <c r="X59" s="191"/>
      <c r="Y59" s="186"/>
      <c r="Z59" s="192"/>
      <c r="AA59" s="97"/>
      <c r="AB59" s="193"/>
    </row>
    <row r="60" spans="1:189">
      <c r="A60" s="116"/>
      <c r="B60" s="116"/>
      <c r="C60" s="116"/>
      <c r="D60" s="3"/>
      <c r="E60" s="184"/>
      <c r="F60" s="184"/>
      <c r="G60" s="184"/>
      <c r="H60" s="184"/>
      <c r="I60" s="184"/>
      <c r="J60" s="184"/>
      <c r="K60" s="184"/>
      <c r="L60" s="184"/>
      <c r="M60" s="185"/>
      <c r="N60" s="185"/>
      <c r="O60" s="186"/>
      <c r="P60" s="187"/>
      <c r="Q60" s="187"/>
      <c r="R60" s="188"/>
      <c r="S60" s="188"/>
      <c r="T60" s="185"/>
      <c r="U60" s="185"/>
      <c r="V60" s="189"/>
      <c r="W60" s="190"/>
      <c r="X60" s="191"/>
      <c r="Y60" s="186"/>
      <c r="Z60" s="192"/>
      <c r="AA60" s="97"/>
      <c r="AB60" s="193"/>
    </row>
    <row r="61" spans="1:189">
      <c r="A61" s="116"/>
      <c r="B61" s="116"/>
      <c r="C61" s="116"/>
      <c r="D61" s="3"/>
      <c r="E61" s="184"/>
      <c r="F61" s="184"/>
      <c r="G61" s="184"/>
      <c r="H61" s="184"/>
      <c r="I61" s="184"/>
      <c r="J61" s="184"/>
      <c r="K61" s="184"/>
      <c r="L61" s="184"/>
      <c r="M61" s="185"/>
      <c r="N61" s="185"/>
      <c r="O61" s="186"/>
      <c r="P61" s="187"/>
      <c r="Q61" s="187"/>
      <c r="R61" s="188"/>
      <c r="S61" s="188"/>
      <c r="T61" s="185"/>
      <c r="U61" s="185"/>
      <c r="V61" s="189"/>
      <c r="W61" s="190"/>
      <c r="X61" s="191"/>
      <c r="Y61" s="186"/>
      <c r="Z61" s="192"/>
      <c r="AA61" s="97"/>
      <c r="AB61" s="193"/>
    </row>
    <row r="62" spans="1:189">
      <c r="A62" s="116"/>
      <c r="B62" s="116"/>
      <c r="C62" s="116"/>
      <c r="D62" s="3"/>
      <c r="E62" s="184"/>
      <c r="F62" s="184"/>
      <c r="G62" s="184"/>
      <c r="H62" s="184"/>
      <c r="I62" s="184"/>
      <c r="J62" s="184"/>
      <c r="K62" s="184"/>
      <c r="L62" s="184"/>
      <c r="M62" s="185"/>
      <c r="N62" s="185"/>
      <c r="O62" s="186"/>
      <c r="P62" s="187"/>
      <c r="Q62" s="187"/>
      <c r="R62" s="188"/>
      <c r="S62" s="188"/>
      <c r="T62" s="185"/>
      <c r="U62" s="185"/>
      <c r="V62" s="189"/>
      <c r="W62" s="190"/>
      <c r="X62" s="191"/>
      <c r="Y62" s="186"/>
      <c r="Z62" s="192"/>
      <c r="AA62" s="97"/>
      <c r="AB62" s="193"/>
    </row>
    <row r="63" spans="1:189">
      <c r="A63" s="116"/>
      <c r="B63" s="116"/>
      <c r="C63" s="116"/>
      <c r="D63" s="3"/>
      <c r="E63" s="184"/>
      <c r="F63" s="184"/>
      <c r="G63" s="184"/>
      <c r="H63" s="184"/>
      <c r="I63" s="184"/>
      <c r="J63" s="184"/>
      <c r="K63" s="184"/>
      <c r="L63" s="184"/>
      <c r="M63" s="185"/>
      <c r="N63" s="185"/>
      <c r="O63" s="186"/>
      <c r="P63" s="187"/>
      <c r="Q63" s="187"/>
      <c r="R63" s="188"/>
      <c r="S63" s="188"/>
      <c r="T63" s="185"/>
      <c r="U63" s="185"/>
      <c r="V63" s="189"/>
      <c r="W63" s="190"/>
      <c r="X63" s="191"/>
      <c r="Y63" s="186"/>
      <c r="Z63" s="192"/>
      <c r="AA63" s="97"/>
      <c r="AB63" s="193"/>
    </row>
    <row r="64" spans="1:189">
      <c r="A64" s="116"/>
      <c r="B64" s="116"/>
      <c r="C64" s="116"/>
      <c r="D64" s="3"/>
      <c r="E64" s="184"/>
      <c r="F64" s="184"/>
      <c r="G64" s="184"/>
      <c r="H64" s="184"/>
      <c r="I64" s="184"/>
      <c r="J64" s="184"/>
      <c r="K64" s="184"/>
      <c r="L64" s="184"/>
      <c r="M64" s="185"/>
      <c r="N64" s="185"/>
      <c r="O64" s="186"/>
      <c r="P64" s="187"/>
      <c r="Q64" s="187"/>
      <c r="R64" s="188"/>
      <c r="S64" s="188"/>
      <c r="T64" s="185"/>
      <c r="U64" s="185"/>
      <c r="V64" s="189"/>
      <c r="W64" s="190"/>
      <c r="X64" s="191"/>
      <c r="Y64" s="186"/>
      <c r="Z64" s="192"/>
      <c r="AA64" s="97"/>
      <c r="AB64" s="193"/>
    </row>
    <row r="65" spans="1:28">
      <c r="A65" s="116"/>
      <c r="B65" s="116"/>
      <c r="C65" s="116"/>
      <c r="D65" s="3"/>
      <c r="E65" s="184"/>
      <c r="F65" s="184"/>
      <c r="G65" s="184"/>
      <c r="H65" s="184"/>
      <c r="I65" s="184"/>
      <c r="J65" s="184"/>
      <c r="K65" s="184"/>
      <c r="L65" s="184"/>
      <c r="M65" s="185"/>
      <c r="N65" s="185"/>
      <c r="O65" s="186"/>
      <c r="P65" s="187"/>
      <c r="Q65" s="187"/>
      <c r="R65" s="188"/>
      <c r="S65" s="188"/>
      <c r="T65" s="185"/>
      <c r="U65" s="185"/>
      <c r="V65" s="189"/>
      <c r="W65" s="190"/>
      <c r="X65" s="191"/>
      <c r="Y65" s="186"/>
      <c r="Z65" s="192"/>
      <c r="AA65" s="97"/>
      <c r="AB65" s="193"/>
    </row>
    <row r="66" spans="1:28">
      <c r="A66" s="116"/>
      <c r="B66" s="116"/>
      <c r="C66" s="116"/>
      <c r="D66" s="3"/>
      <c r="E66" s="184"/>
      <c r="F66" s="184"/>
      <c r="G66" s="184"/>
      <c r="H66" s="184"/>
      <c r="I66" s="184"/>
      <c r="J66" s="184"/>
      <c r="K66" s="184"/>
      <c r="L66" s="184"/>
      <c r="M66" s="185"/>
      <c r="N66" s="185"/>
      <c r="O66" s="186"/>
      <c r="P66" s="187"/>
      <c r="Q66" s="187"/>
      <c r="R66" s="188"/>
      <c r="S66" s="188"/>
      <c r="T66" s="185"/>
      <c r="U66" s="185"/>
      <c r="V66" s="189"/>
      <c r="W66" s="190"/>
      <c r="X66" s="191"/>
      <c r="Y66" s="186"/>
      <c r="Z66" s="192"/>
      <c r="AA66" s="97"/>
      <c r="AB66" s="193"/>
    </row>
    <row r="67" spans="1:28">
      <c r="A67" s="116"/>
      <c r="B67" s="116"/>
      <c r="C67" s="116"/>
      <c r="D67" s="3"/>
      <c r="E67" s="184"/>
      <c r="F67" s="184"/>
      <c r="G67" s="184"/>
      <c r="H67" s="184"/>
      <c r="I67" s="184"/>
      <c r="J67" s="184"/>
      <c r="K67" s="184"/>
      <c r="L67" s="184"/>
      <c r="M67" s="185"/>
      <c r="N67" s="185"/>
      <c r="O67" s="186"/>
      <c r="P67" s="187"/>
      <c r="Q67" s="187"/>
      <c r="R67" s="188"/>
      <c r="S67" s="188"/>
      <c r="T67" s="185"/>
      <c r="U67" s="185"/>
      <c r="V67" s="189"/>
      <c r="W67" s="190"/>
      <c r="X67" s="191"/>
      <c r="Y67" s="186"/>
      <c r="Z67" s="192"/>
      <c r="AA67" s="97"/>
      <c r="AB67" s="193"/>
    </row>
    <row r="68" spans="1:28">
      <c r="A68" s="116"/>
      <c r="B68" s="116"/>
      <c r="C68" s="116"/>
      <c r="D68" s="3"/>
      <c r="E68" s="184"/>
      <c r="F68" s="184"/>
      <c r="G68" s="184"/>
      <c r="H68" s="184"/>
      <c r="I68" s="184"/>
      <c r="J68" s="184"/>
      <c r="K68" s="184"/>
      <c r="L68" s="184"/>
      <c r="M68" s="185"/>
      <c r="N68" s="185"/>
      <c r="O68" s="186"/>
      <c r="P68" s="187"/>
      <c r="Q68" s="187"/>
      <c r="R68" s="188"/>
      <c r="S68" s="188"/>
      <c r="T68" s="185"/>
      <c r="U68" s="185"/>
      <c r="V68" s="189"/>
      <c r="W68" s="190"/>
      <c r="X68" s="191"/>
      <c r="Y68" s="186"/>
      <c r="Z68" s="192"/>
      <c r="AA68" s="97"/>
      <c r="AB68" s="193"/>
    </row>
    <row r="69" spans="1:28">
      <c r="A69" s="116"/>
      <c r="B69" s="116"/>
      <c r="C69" s="116"/>
      <c r="D69" s="3"/>
      <c r="E69" s="184"/>
      <c r="F69" s="184"/>
      <c r="G69" s="184"/>
      <c r="H69" s="184"/>
      <c r="I69" s="184"/>
      <c r="J69" s="184"/>
      <c r="K69" s="184"/>
      <c r="L69" s="184"/>
      <c r="M69" s="185"/>
      <c r="N69" s="185"/>
      <c r="O69" s="186"/>
      <c r="P69" s="187"/>
      <c r="Q69" s="187"/>
      <c r="R69" s="188"/>
      <c r="S69" s="188"/>
      <c r="T69" s="185"/>
      <c r="U69" s="185"/>
      <c r="V69" s="189"/>
      <c r="W69" s="190"/>
      <c r="X69" s="191"/>
      <c r="Y69" s="186"/>
      <c r="Z69" s="192"/>
      <c r="AA69" s="97"/>
      <c r="AB69" s="193"/>
    </row>
    <row r="70" spans="1:28">
      <c r="A70" s="116"/>
      <c r="B70" s="116"/>
      <c r="C70" s="116"/>
      <c r="D70" s="3"/>
      <c r="E70" s="184"/>
      <c r="F70" s="184"/>
      <c r="G70" s="184"/>
      <c r="H70" s="184"/>
      <c r="I70" s="184"/>
      <c r="J70" s="184"/>
      <c r="K70" s="184"/>
      <c r="L70" s="184"/>
      <c r="M70" s="185"/>
      <c r="N70" s="185"/>
      <c r="O70" s="186"/>
      <c r="P70" s="187"/>
      <c r="Q70" s="187"/>
      <c r="R70" s="188"/>
      <c r="S70" s="188"/>
      <c r="T70" s="185"/>
      <c r="U70" s="185"/>
      <c r="V70" s="189"/>
      <c r="W70" s="190"/>
      <c r="X70" s="191"/>
      <c r="Y70" s="186"/>
      <c r="Z70" s="192"/>
      <c r="AA70" s="97"/>
      <c r="AB70" s="193"/>
    </row>
    <row r="71" spans="1:28">
      <c r="A71" s="116"/>
      <c r="B71" s="116"/>
      <c r="C71" s="116"/>
      <c r="D71" s="3"/>
      <c r="E71" s="184"/>
      <c r="F71" s="184"/>
      <c r="G71" s="184"/>
      <c r="H71" s="184"/>
      <c r="I71" s="184"/>
      <c r="J71" s="184"/>
      <c r="K71" s="184"/>
      <c r="L71" s="184"/>
      <c r="M71" s="185"/>
      <c r="N71" s="185"/>
      <c r="O71" s="186"/>
      <c r="P71" s="187"/>
      <c r="Q71" s="187"/>
      <c r="R71" s="188"/>
      <c r="S71" s="188"/>
      <c r="T71" s="185"/>
      <c r="U71" s="185"/>
      <c r="V71" s="189"/>
      <c r="W71" s="190"/>
      <c r="X71" s="191"/>
      <c r="Y71" s="186"/>
      <c r="Z71" s="192"/>
      <c r="AA71" s="97"/>
      <c r="AB71" s="193"/>
    </row>
    <row r="72" spans="1:28">
      <c r="A72" s="116"/>
      <c r="B72" s="116"/>
      <c r="C72" s="116"/>
      <c r="D72" s="3"/>
      <c r="E72" s="184"/>
      <c r="F72" s="184"/>
      <c r="G72" s="184"/>
      <c r="H72" s="184"/>
      <c r="I72" s="184"/>
      <c r="J72" s="184"/>
      <c r="K72" s="184"/>
      <c r="L72" s="184"/>
      <c r="M72" s="185"/>
      <c r="N72" s="185"/>
      <c r="O72" s="186"/>
      <c r="P72" s="187"/>
      <c r="Q72" s="187"/>
      <c r="R72" s="188"/>
      <c r="S72" s="188"/>
      <c r="T72" s="185"/>
      <c r="U72" s="185"/>
      <c r="V72" s="189"/>
      <c r="W72" s="190"/>
      <c r="X72" s="191"/>
      <c r="Y72" s="186"/>
      <c r="Z72" s="192"/>
      <c r="AA72" s="97"/>
      <c r="AB72" s="193"/>
    </row>
    <row r="73" spans="1:28">
      <c r="A73" s="116"/>
      <c r="B73" s="116"/>
      <c r="C73" s="116"/>
      <c r="D73" s="3"/>
      <c r="E73" s="184"/>
      <c r="F73" s="184"/>
      <c r="G73" s="184"/>
      <c r="H73" s="184"/>
      <c r="I73" s="184"/>
      <c r="J73" s="184"/>
      <c r="K73" s="184"/>
      <c r="L73" s="184"/>
      <c r="M73" s="185"/>
      <c r="N73" s="185"/>
      <c r="O73" s="186"/>
      <c r="P73" s="187"/>
      <c r="Q73" s="187"/>
      <c r="R73" s="188"/>
      <c r="S73" s="188"/>
      <c r="T73" s="185"/>
      <c r="U73" s="185"/>
      <c r="V73" s="189"/>
      <c r="W73" s="190"/>
      <c r="X73" s="191"/>
      <c r="Y73" s="186"/>
      <c r="Z73" s="192"/>
      <c r="AA73" s="97"/>
      <c r="AB73" s="193"/>
    </row>
    <row r="74" spans="1:28">
      <c r="A74" s="116"/>
      <c r="B74" s="116"/>
      <c r="C74" s="116"/>
      <c r="D74" s="3"/>
      <c r="E74" s="184"/>
      <c r="F74" s="184"/>
      <c r="G74" s="184"/>
      <c r="H74" s="184"/>
      <c r="I74" s="184"/>
      <c r="J74" s="184"/>
      <c r="K74" s="184"/>
      <c r="L74" s="184"/>
      <c r="M74" s="185"/>
      <c r="N74" s="185"/>
      <c r="O74" s="186"/>
      <c r="P74" s="187"/>
      <c r="Q74" s="187"/>
      <c r="R74" s="188"/>
      <c r="S74" s="188"/>
      <c r="T74" s="185"/>
      <c r="U74" s="185"/>
      <c r="V74" s="189"/>
      <c r="W74" s="190"/>
      <c r="X74" s="191"/>
      <c r="Y74" s="186"/>
      <c r="Z74" s="192"/>
      <c r="AA74" s="97"/>
      <c r="AB74" s="193"/>
    </row>
    <row r="75" spans="1:28">
      <c r="A75" s="116"/>
      <c r="B75" s="116"/>
      <c r="C75" s="116"/>
      <c r="D75" s="3"/>
      <c r="E75" s="184"/>
      <c r="F75" s="184"/>
      <c r="G75" s="184"/>
      <c r="H75" s="184"/>
      <c r="I75" s="184"/>
      <c r="J75" s="184"/>
      <c r="K75" s="184"/>
      <c r="L75" s="184"/>
      <c r="M75" s="185"/>
      <c r="N75" s="185"/>
      <c r="O75" s="186"/>
      <c r="P75" s="187"/>
      <c r="Q75" s="187"/>
      <c r="R75" s="188"/>
      <c r="S75" s="188"/>
      <c r="T75" s="185"/>
      <c r="U75" s="185"/>
      <c r="V75" s="189"/>
      <c r="W75" s="190"/>
      <c r="X75" s="191"/>
      <c r="Y75" s="186"/>
      <c r="Z75" s="192"/>
      <c r="AA75" s="97"/>
      <c r="AB75" s="193"/>
    </row>
    <row r="76" spans="1:28">
      <c r="A76" s="116"/>
      <c r="B76" s="116"/>
      <c r="C76" s="116"/>
      <c r="D76" s="3"/>
      <c r="E76" s="184"/>
      <c r="F76" s="184"/>
      <c r="G76" s="184"/>
      <c r="H76" s="184"/>
      <c r="I76" s="184"/>
      <c r="J76" s="184"/>
      <c r="K76" s="184"/>
      <c r="L76" s="184"/>
      <c r="M76" s="185"/>
      <c r="N76" s="185"/>
      <c r="O76" s="186"/>
      <c r="P76" s="187"/>
      <c r="Q76" s="187"/>
      <c r="R76" s="188"/>
      <c r="S76" s="188"/>
      <c r="T76" s="185"/>
      <c r="U76" s="185"/>
      <c r="V76" s="189"/>
      <c r="W76" s="190"/>
      <c r="X76" s="191"/>
      <c r="Y76" s="186"/>
      <c r="Z76" s="192"/>
      <c r="AA76" s="97"/>
      <c r="AB76" s="193"/>
    </row>
    <row r="77" spans="1:28">
      <c r="A77" s="116"/>
      <c r="B77" s="116"/>
      <c r="C77" s="116"/>
      <c r="D77" s="3"/>
      <c r="E77" s="184"/>
      <c r="F77" s="184"/>
      <c r="G77" s="184"/>
      <c r="H77" s="184"/>
      <c r="I77" s="184"/>
      <c r="J77" s="184"/>
      <c r="K77" s="184"/>
      <c r="L77" s="184"/>
      <c r="M77" s="185"/>
      <c r="N77" s="185"/>
      <c r="O77" s="186"/>
      <c r="P77" s="187"/>
      <c r="Q77" s="187"/>
      <c r="R77" s="188"/>
      <c r="S77" s="188"/>
      <c r="T77" s="185"/>
      <c r="U77" s="185"/>
      <c r="V77" s="189"/>
      <c r="W77" s="190"/>
      <c r="X77" s="191"/>
      <c r="Y77" s="186"/>
      <c r="Z77" s="192"/>
      <c r="AA77" s="97"/>
      <c r="AB77" s="193"/>
    </row>
    <row r="78" spans="1:28">
      <c r="A78" s="116"/>
      <c r="B78" s="116"/>
      <c r="C78" s="116"/>
      <c r="D78" s="3"/>
      <c r="E78" s="184"/>
      <c r="F78" s="184"/>
      <c r="G78" s="184"/>
      <c r="H78" s="184"/>
      <c r="I78" s="184"/>
      <c r="J78" s="184"/>
      <c r="K78" s="184"/>
      <c r="L78" s="184"/>
      <c r="M78" s="185"/>
      <c r="N78" s="185"/>
      <c r="O78" s="186"/>
      <c r="P78" s="187"/>
      <c r="Q78" s="187"/>
      <c r="R78" s="188"/>
      <c r="S78" s="188"/>
      <c r="T78" s="185"/>
      <c r="U78" s="185"/>
      <c r="V78" s="189"/>
      <c r="W78" s="190"/>
      <c r="X78" s="191"/>
      <c r="Y78" s="186"/>
      <c r="Z78" s="192"/>
      <c r="AA78" s="97"/>
      <c r="AB78" s="193"/>
    </row>
    <row r="79" spans="1:28">
      <c r="A79" s="116"/>
      <c r="B79" s="116"/>
      <c r="C79" s="116"/>
      <c r="D79" s="3"/>
      <c r="E79" s="184"/>
      <c r="F79" s="184"/>
      <c r="G79" s="184"/>
      <c r="H79" s="184"/>
      <c r="I79" s="184"/>
      <c r="J79" s="184"/>
      <c r="K79" s="184"/>
      <c r="L79" s="184"/>
      <c r="M79" s="185"/>
      <c r="N79" s="185"/>
      <c r="O79" s="186"/>
      <c r="P79" s="187"/>
      <c r="Q79" s="187"/>
      <c r="R79" s="188"/>
      <c r="S79" s="188"/>
      <c r="T79" s="185"/>
      <c r="U79" s="185"/>
      <c r="V79" s="189"/>
      <c r="W79" s="190"/>
      <c r="X79" s="191"/>
      <c r="Y79" s="186"/>
      <c r="Z79" s="192"/>
      <c r="AA79" s="97"/>
      <c r="AB79" s="193"/>
    </row>
    <row r="80" spans="1:28">
      <c r="A80" s="116"/>
      <c r="B80" s="116"/>
      <c r="C80" s="116"/>
      <c r="D80" s="3"/>
      <c r="E80" s="184"/>
      <c r="F80" s="184"/>
      <c r="G80" s="184"/>
      <c r="H80" s="184"/>
      <c r="I80" s="184"/>
      <c r="J80" s="184"/>
      <c r="K80" s="184"/>
      <c r="L80" s="184"/>
      <c r="M80" s="185"/>
      <c r="N80" s="185"/>
      <c r="O80" s="186"/>
      <c r="P80" s="187"/>
      <c r="Q80" s="187"/>
      <c r="R80" s="188"/>
      <c r="S80" s="188"/>
      <c r="T80" s="185"/>
      <c r="U80" s="185"/>
      <c r="V80" s="189"/>
      <c r="W80" s="190"/>
      <c r="X80" s="191"/>
      <c r="Y80" s="186"/>
      <c r="Z80" s="192"/>
      <c r="AA80" s="97"/>
      <c r="AB80" s="193"/>
    </row>
    <row r="81" spans="1:28">
      <c r="A81" s="116"/>
      <c r="B81" s="116"/>
      <c r="C81" s="116"/>
      <c r="D81" s="3"/>
      <c r="E81" s="184"/>
      <c r="F81" s="184"/>
      <c r="G81" s="184"/>
      <c r="H81" s="184"/>
      <c r="I81" s="184"/>
      <c r="J81" s="184"/>
      <c r="K81" s="184"/>
      <c r="L81" s="184"/>
      <c r="M81" s="185"/>
      <c r="N81" s="185"/>
      <c r="O81" s="186"/>
      <c r="P81" s="187"/>
      <c r="Q81" s="187"/>
      <c r="R81" s="188"/>
      <c r="S81" s="188"/>
      <c r="T81" s="185"/>
      <c r="U81" s="185"/>
      <c r="V81" s="189"/>
      <c r="W81" s="190"/>
      <c r="X81" s="191"/>
      <c r="Y81" s="186"/>
      <c r="Z81" s="192"/>
      <c r="AA81" s="97"/>
      <c r="AB81" s="193"/>
    </row>
    <row r="82" spans="1:28">
      <c r="A82" s="116"/>
      <c r="B82" s="116"/>
      <c r="C82" s="116"/>
      <c r="D82" s="3"/>
      <c r="E82" s="184"/>
      <c r="F82" s="184"/>
      <c r="G82" s="184"/>
      <c r="H82" s="184"/>
      <c r="I82" s="184"/>
      <c r="J82" s="184"/>
      <c r="K82" s="184"/>
      <c r="L82" s="184"/>
      <c r="M82" s="185"/>
      <c r="N82" s="185"/>
      <c r="O82" s="186"/>
      <c r="P82" s="187"/>
      <c r="Q82" s="187"/>
      <c r="R82" s="188"/>
      <c r="S82" s="188"/>
      <c r="T82" s="185"/>
      <c r="U82" s="185"/>
      <c r="V82" s="189"/>
      <c r="W82" s="190"/>
      <c r="X82" s="191"/>
      <c r="Y82" s="186"/>
      <c r="Z82" s="192"/>
      <c r="AA82" s="97"/>
      <c r="AB82" s="193"/>
    </row>
    <row r="83" spans="1:28">
      <c r="A83" s="116"/>
      <c r="B83" s="116"/>
      <c r="C83" s="116"/>
      <c r="D83" s="3"/>
      <c r="E83" s="184"/>
      <c r="F83" s="184"/>
      <c r="G83" s="184"/>
      <c r="H83" s="184"/>
      <c r="I83" s="184"/>
      <c r="J83" s="184"/>
      <c r="K83" s="184"/>
      <c r="L83" s="184"/>
      <c r="M83" s="185"/>
      <c r="N83" s="185"/>
      <c r="O83" s="186"/>
      <c r="P83" s="187"/>
      <c r="Q83" s="187"/>
      <c r="R83" s="188"/>
      <c r="S83" s="188"/>
      <c r="T83" s="185"/>
      <c r="U83" s="185"/>
      <c r="V83" s="189"/>
      <c r="W83" s="190"/>
      <c r="X83" s="191"/>
      <c r="Y83" s="186"/>
      <c r="Z83" s="192"/>
      <c r="AA83" s="97"/>
      <c r="AB83" s="193"/>
    </row>
    <row r="84" spans="1:28">
      <c r="A84" s="116"/>
      <c r="B84" s="116"/>
      <c r="C84" s="116"/>
      <c r="D84" s="3"/>
      <c r="E84" s="184"/>
      <c r="F84" s="184"/>
      <c r="G84" s="184"/>
      <c r="H84" s="184"/>
      <c r="I84" s="184"/>
      <c r="J84" s="184"/>
      <c r="K84" s="184"/>
      <c r="L84" s="184"/>
      <c r="M84" s="185"/>
      <c r="N84" s="185"/>
      <c r="O84" s="186"/>
      <c r="P84" s="187"/>
      <c r="Q84" s="187"/>
      <c r="R84" s="188"/>
      <c r="S84" s="188"/>
      <c r="T84" s="185"/>
      <c r="U84" s="185"/>
      <c r="V84" s="189"/>
      <c r="W84" s="190"/>
      <c r="X84" s="191"/>
      <c r="Y84" s="186"/>
      <c r="Z84" s="192"/>
      <c r="AA84" s="97"/>
      <c r="AB84" s="193"/>
    </row>
    <row r="85" spans="1:28">
      <c r="A85" s="116"/>
      <c r="B85" s="116"/>
      <c r="C85" s="116"/>
      <c r="D85" s="3"/>
      <c r="E85" s="184"/>
      <c r="F85" s="184"/>
      <c r="G85" s="184"/>
      <c r="H85" s="184"/>
      <c r="I85" s="184"/>
      <c r="J85" s="184"/>
      <c r="K85" s="184"/>
      <c r="L85" s="184"/>
      <c r="M85" s="185"/>
      <c r="N85" s="185"/>
      <c r="O85" s="186"/>
      <c r="P85" s="187"/>
      <c r="Q85" s="187"/>
      <c r="R85" s="188"/>
      <c r="S85" s="188"/>
      <c r="T85" s="185"/>
      <c r="U85" s="185"/>
      <c r="V85" s="189"/>
      <c r="W85" s="190"/>
      <c r="X85" s="191"/>
      <c r="Y85" s="186"/>
      <c r="Z85" s="192"/>
      <c r="AA85" s="97"/>
      <c r="AB85" s="193"/>
    </row>
    <row r="86" spans="1:28">
      <c r="A86" s="116"/>
      <c r="B86" s="116"/>
      <c r="C86" s="116"/>
      <c r="D86" s="3"/>
      <c r="E86" s="184"/>
      <c r="F86" s="184"/>
      <c r="G86" s="184"/>
      <c r="H86" s="184"/>
      <c r="I86" s="184"/>
      <c r="J86" s="184"/>
      <c r="K86" s="184"/>
      <c r="L86" s="184"/>
      <c r="M86" s="185"/>
      <c r="N86" s="185"/>
      <c r="O86" s="186"/>
      <c r="P86" s="187"/>
      <c r="Q86" s="187"/>
      <c r="R86" s="188"/>
      <c r="S86" s="188"/>
      <c r="T86" s="185"/>
      <c r="U86" s="185"/>
      <c r="V86" s="189"/>
      <c r="W86" s="190"/>
      <c r="X86" s="191"/>
      <c r="Y86" s="186"/>
      <c r="Z86" s="192"/>
      <c r="AA86" s="97"/>
      <c r="AB86" s="193"/>
    </row>
    <row r="87" spans="1:28">
      <c r="A87" s="116"/>
      <c r="B87" s="116"/>
      <c r="C87" s="116"/>
      <c r="D87" s="3"/>
      <c r="E87" s="184"/>
      <c r="F87" s="184"/>
      <c r="G87" s="184"/>
      <c r="H87" s="184"/>
      <c r="I87" s="184"/>
      <c r="J87" s="184"/>
      <c r="K87" s="184"/>
      <c r="L87" s="184"/>
      <c r="M87" s="185"/>
      <c r="N87" s="185"/>
      <c r="O87" s="186"/>
      <c r="P87" s="187"/>
      <c r="Q87" s="187"/>
      <c r="R87" s="188"/>
      <c r="S87" s="188"/>
      <c r="T87" s="185"/>
      <c r="U87" s="185"/>
      <c r="V87" s="189"/>
      <c r="W87" s="190"/>
      <c r="X87" s="191"/>
      <c r="Y87" s="186"/>
      <c r="Z87" s="192"/>
      <c r="AA87" s="97"/>
      <c r="AB87" s="193"/>
    </row>
    <row r="88" spans="1:28">
      <c r="A88" s="116"/>
      <c r="B88" s="116"/>
      <c r="C88" s="116"/>
      <c r="D88" s="3"/>
      <c r="E88" s="184"/>
      <c r="F88" s="184"/>
      <c r="G88" s="184"/>
      <c r="H88" s="184"/>
      <c r="I88" s="184"/>
      <c r="J88" s="184"/>
      <c r="K88" s="184"/>
      <c r="L88" s="184"/>
      <c r="M88" s="185"/>
      <c r="N88" s="185"/>
      <c r="O88" s="186"/>
      <c r="P88" s="187"/>
      <c r="Q88" s="187"/>
      <c r="R88" s="188"/>
      <c r="S88" s="188"/>
      <c r="T88" s="185"/>
      <c r="U88" s="185"/>
      <c r="V88" s="189"/>
      <c r="W88" s="190"/>
      <c r="X88" s="191"/>
      <c r="Y88" s="186"/>
      <c r="Z88" s="192"/>
      <c r="AA88" s="97"/>
      <c r="AB88" s="193"/>
    </row>
    <row r="89" spans="1:28">
      <c r="A89" s="116"/>
      <c r="B89" s="116"/>
      <c r="C89" s="116"/>
      <c r="D89" s="207"/>
      <c r="E89" s="184"/>
      <c r="F89" s="184"/>
      <c r="G89" s="184"/>
      <c r="H89" s="184"/>
      <c r="I89" s="184"/>
      <c r="J89" s="184"/>
      <c r="K89" s="184"/>
      <c r="L89" s="184"/>
      <c r="M89" s="185"/>
      <c r="N89" s="185"/>
      <c r="O89" s="186"/>
      <c r="P89" s="187"/>
      <c r="Q89" s="187"/>
      <c r="R89" s="188"/>
      <c r="S89" s="188"/>
      <c r="T89" s="185"/>
      <c r="U89" s="185"/>
      <c r="V89" s="189"/>
      <c r="W89" s="190"/>
      <c r="X89" s="191"/>
      <c r="Y89" s="186"/>
      <c r="Z89" s="192"/>
      <c r="AA89" s="97"/>
      <c r="AB89" s="193"/>
    </row>
    <row r="90" spans="1:28">
      <c r="A90" s="116"/>
      <c r="B90" s="116"/>
      <c r="C90" s="116"/>
      <c r="D90" s="3"/>
      <c r="E90" s="184"/>
      <c r="F90" s="184"/>
      <c r="G90" s="184"/>
      <c r="H90" s="184"/>
      <c r="I90" s="184"/>
      <c r="J90" s="184"/>
      <c r="K90" s="184"/>
      <c r="L90" s="184"/>
      <c r="M90" s="185"/>
      <c r="N90" s="185"/>
      <c r="O90" s="186"/>
      <c r="P90" s="187"/>
      <c r="Q90" s="187"/>
      <c r="R90" s="188"/>
      <c r="S90" s="188"/>
      <c r="T90" s="185"/>
      <c r="U90" s="185"/>
      <c r="V90" s="189"/>
      <c r="W90" s="190"/>
      <c r="X90" s="191"/>
      <c r="Y90" s="186"/>
      <c r="Z90" s="192"/>
      <c r="AA90" s="97"/>
      <c r="AB90" s="193"/>
    </row>
    <row r="91" spans="1:28">
      <c r="A91" s="116"/>
      <c r="B91" s="116"/>
      <c r="C91" s="116"/>
      <c r="D91" s="3"/>
      <c r="E91" s="184"/>
      <c r="F91" s="184"/>
      <c r="G91" s="184"/>
      <c r="H91" s="184"/>
      <c r="I91" s="184"/>
      <c r="J91" s="184"/>
      <c r="K91" s="184"/>
      <c r="L91" s="184"/>
      <c r="M91" s="185"/>
      <c r="N91" s="185"/>
      <c r="O91" s="186"/>
      <c r="P91" s="187"/>
      <c r="Q91" s="187"/>
      <c r="R91" s="188"/>
      <c r="S91" s="188"/>
      <c r="T91" s="185"/>
      <c r="U91" s="185"/>
      <c r="V91" s="189"/>
      <c r="W91" s="190"/>
      <c r="X91" s="191"/>
      <c r="Y91" s="186"/>
      <c r="Z91" s="192"/>
      <c r="AA91" s="97"/>
      <c r="AB91" s="193"/>
    </row>
    <row r="92" spans="1:28">
      <c r="A92" s="116"/>
      <c r="B92" s="116"/>
      <c r="C92" s="116"/>
      <c r="D92" s="3"/>
      <c r="E92" s="184"/>
      <c r="F92" s="184"/>
      <c r="G92" s="184"/>
      <c r="H92" s="184"/>
      <c r="I92" s="184"/>
      <c r="J92" s="184"/>
      <c r="K92" s="184"/>
      <c r="L92" s="184"/>
      <c r="M92" s="185"/>
      <c r="N92" s="185"/>
      <c r="O92" s="186"/>
      <c r="P92" s="187"/>
      <c r="Q92" s="187"/>
      <c r="R92" s="188"/>
      <c r="S92" s="188"/>
      <c r="T92" s="185"/>
      <c r="U92" s="185"/>
      <c r="V92" s="189"/>
      <c r="W92" s="190"/>
      <c r="X92" s="191"/>
      <c r="Y92" s="186"/>
      <c r="Z92" s="192"/>
      <c r="AA92" s="97"/>
      <c r="AB92" s="193"/>
    </row>
    <row r="93" spans="1:28">
      <c r="A93" s="116"/>
      <c r="B93" s="116"/>
      <c r="C93" s="116"/>
      <c r="D93" s="3"/>
      <c r="E93" s="184"/>
      <c r="F93" s="184"/>
      <c r="G93" s="184"/>
      <c r="H93" s="184"/>
      <c r="I93" s="184"/>
      <c r="J93" s="184"/>
      <c r="K93" s="184"/>
      <c r="L93" s="184"/>
      <c r="M93" s="185"/>
      <c r="N93" s="185"/>
      <c r="O93" s="186"/>
      <c r="P93" s="187"/>
      <c r="Q93" s="187"/>
      <c r="R93" s="188"/>
      <c r="S93" s="188"/>
      <c r="T93" s="185"/>
      <c r="U93" s="185"/>
      <c r="V93" s="189"/>
      <c r="W93" s="190"/>
      <c r="X93" s="191"/>
      <c r="Y93" s="186"/>
      <c r="Z93" s="192"/>
      <c r="AA93" s="97"/>
      <c r="AB93" s="193"/>
    </row>
    <row r="94" spans="1:28">
      <c r="A94" s="116"/>
      <c r="B94" s="116"/>
      <c r="C94" s="116"/>
      <c r="D94" s="3"/>
      <c r="E94" s="184"/>
      <c r="F94" s="184"/>
      <c r="G94" s="184"/>
      <c r="H94" s="184"/>
      <c r="I94" s="184"/>
      <c r="J94" s="184"/>
      <c r="K94" s="184"/>
      <c r="L94" s="184"/>
      <c r="M94" s="185"/>
      <c r="N94" s="185"/>
      <c r="O94" s="186"/>
      <c r="P94" s="187"/>
      <c r="Q94" s="187"/>
      <c r="R94" s="188"/>
      <c r="S94" s="188"/>
      <c r="T94" s="185"/>
      <c r="U94" s="185"/>
      <c r="V94" s="189"/>
      <c r="W94" s="190"/>
      <c r="X94" s="191"/>
      <c r="Y94" s="186"/>
      <c r="Z94" s="192"/>
      <c r="AA94" s="97"/>
      <c r="AB94" s="193"/>
    </row>
    <row r="95" spans="1:28">
      <c r="A95" s="116"/>
      <c r="B95" s="116"/>
      <c r="C95" s="116"/>
      <c r="D95" s="3"/>
      <c r="E95" s="184"/>
      <c r="F95" s="184"/>
      <c r="G95" s="184"/>
      <c r="H95" s="184"/>
      <c r="I95" s="184"/>
      <c r="J95" s="184"/>
      <c r="K95" s="184"/>
      <c r="L95" s="184"/>
      <c r="M95" s="185"/>
      <c r="N95" s="185"/>
      <c r="O95" s="186"/>
      <c r="P95" s="187"/>
      <c r="Q95" s="187"/>
      <c r="R95" s="188"/>
      <c r="S95" s="188"/>
      <c r="T95" s="185"/>
      <c r="U95" s="185"/>
      <c r="V95" s="189"/>
      <c r="W95" s="190"/>
      <c r="X95" s="191"/>
      <c r="Y95" s="186"/>
      <c r="Z95" s="192"/>
      <c r="AA95" s="97"/>
      <c r="AB95" s="193"/>
    </row>
    <row r="96" spans="1:28">
      <c r="A96" s="116"/>
      <c r="B96" s="116"/>
      <c r="C96" s="116"/>
      <c r="D96" s="3"/>
      <c r="E96" s="184"/>
      <c r="F96" s="184"/>
      <c r="G96" s="184"/>
      <c r="H96" s="184"/>
      <c r="I96" s="184"/>
      <c r="J96" s="184"/>
      <c r="K96" s="184"/>
      <c r="L96" s="184"/>
      <c r="M96" s="185"/>
      <c r="N96" s="185"/>
      <c r="O96" s="186"/>
      <c r="P96" s="187"/>
      <c r="Q96" s="187"/>
      <c r="R96" s="188"/>
      <c r="S96" s="188"/>
      <c r="T96" s="185"/>
      <c r="U96" s="185"/>
      <c r="V96" s="189"/>
      <c r="W96" s="190"/>
      <c r="X96" s="191"/>
      <c r="Y96" s="186"/>
      <c r="Z96" s="192"/>
      <c r="AA96" s="97"/>
      <c r="AB96" s="193"/>
    </row>
    <row r="97" spans="1:28">
      <c r="A97" s="116"/>
      <c r="B97" s="116"/>
      <c r="C97" s="116"/>
      <c r="D97" s="3"/>
      <c r="E97" s="184"/>
      <c r="F97" s="184"/>
      <c r="G97" s="184"/>
      <c r="H97" s="184"/>
      <c r="I97" s="184"/>
      <c r="J97" s="184"/>
      <c r="K97" s="184"/>
      <c r="L97" s="184"/>
      <c r="M97" s="185"/>
      <c r="N97" s="185"/>
      <c r="O97" s="186"/>
      <c r="P97" s="187"/>
      <c r="Q97" s="187"/>
      <c r="R97" s="188"/>
      <c r="S97" s="188"/>
      <c r="T97" s="185"/>
      <c r="U97" s="185"/>
      <c r="V97" s="189"/>
      <c r="W97" s="190"/>
      <c r="X97" s="191"/>
      <c r="Y97" s="186"/>
      <c r="Z97" s="192"/>
      <c r="AA97" s="97"/>
      <c r="AB97" s="193"/>
    </row>
    <row r="98" spans="1:28">
      <c r="A98" s="116"/>
      <c r="B98" s="116"/>
      <c r="C98" s="116"/>
      <c r="D98" s="3"/>
      <c r="E98" s="184"/>
      <c r="F98" s="184"/>
      <c r="G98" s="184"/>
      <c r="H98" s="184"/>
      <c r="I98" s="184"/>
      <c r="J98" s="184"/>
      <c r="K98" s="184"/>
      <c r="L98" s="184"/>
      <c r="M98" s="185"/>
      <c r="N98" s="185"/>
      <c r="O98" s="186"/>
      <c r="P98" s="187"/>
      <c r="Q98" s="187"/>
      <c r="R98" s="188"/>
      <c r="S98" s="188"/>
      <c r="T98" s="185"/>
      <c r="U98" s="185"/>
      <c r="V98" s="189"/>
      <c r="W98" s="190"/>
      <c r="X98" s="191"/>
      <c r="Y98" s="186"/>
      <c r="Z98" s="192"/>
      <c r="AA98" s="97"/>
      <c r="AB98" s="193"/>
    </row>
    <row r="99" spans="1:28">
      <c r="A99" s="116"/>
      <c r="B99" s="116"/>
      <c r="C99" s="116"/>
      <c r="D99" s="3"/>
      <c r="E99" s="184"/>
      <c r="F99" s="184"/>
      <c r="G99" s="184"/>
      <c r="H99" s="184"/>
      <c r="I99" s="184"/>
      <c r="J99" s="184"/>
      <c r="K99" s="184"/>
      <c r="L99" s="184"/>
      <c r="M99" s="185"/>
      <c r="N99" s="185"/>
      <c r="O99" s="186"/>
      <c r="P99" s="187"/>
      <c r="Q99" s="187"/>
      <c r="R99" s="188"/>
      <c r="S99" s="188"/>
      <c r="T99" s="185"/>
      <c r="U99" s="185"/>
      <c r="V99" s="189"/>
      <c r="W99" s="190"/>
      <c r="X99" s="191"/>
      <c r="Y99" s="186"/>
      <c r="Z99" s="192"/>
      <c r="AA99" s="97"/>
      <c r="AB99" s="193"/>
    </row>
    <row r="100" spans="1:28">
      <c r="A100" s="116"/>
      <c r="B100" s="116"/>
      <c r="C100" s="116"/>
      <c r="D100" s="3"/>
      <c r="E100" s="184"/>
      <c r="F100" s="184"/>
      <c r="G100" s="184"/>
      <c r="H100" s="184"/>
      <c r="I100" s="184"/>
      <c r="J100" s="184"/>
      <c r="K100" s="184"/>
      <c r="L100" s="184"/>
      <c r="M100" s="185"/>
      <c r="N100" s="185"/>
      <c r="O100" s="186"/>
      <c r="P100" s="187"/>
      <c r="Q100" s="187"/>
      <c r="R100" s="188"/>
      <c r="S100" s="188"/>
      <c r="T100" s="185"/>
      <c r="U100" s="185"/>
      <c r="V100" s="189"/>
      <c r="W100" s="190"/>
      <c r="X100" s="191"/>
      <c r="Y100" s="186"/>
      <c r="Z100" s="192"/>
      <c r="AA100" s="97"/>
      <c r="AB100" s="193"/>
    </row>
    <row r="101" spans="1:28">
      <c r="A101" s="116"/>
      <c r="B101" s="116"/>
      <c r="C101" s="116"/>
      <c r="D101" s="3"/>
      <c r="E101" s="184"/>
      <c r="F101" s="184"/>
      <c r="G101" s="184"/>
      <c r="H101" s="184"/>
      <c r="I101" s="184"/>
      <c r="J101" s="184"/>
      <c r="K101" s="184"/>
      <c r="L101" s="184"/>
      <c r="M101" s="185"/>
      <c r="N101" s="185"/>
      <c r="O101" s="186"/>
      <c r="P101" s="187"/>
      <c r="Q101" s="187"/>
      <c r="R101" s="188"/>
      <c r="S101" s="188"/>
      <c r="T101" s="185"/>
      <c r="U101" s="185"/>
      <c r="V101" s="189"/>
      <c r="W101" s="190"/>
      <c r="X101" s="191"/>
      <c r="Y101" s="186"/>
      <c r="Z101" s="192"/>
      <c r="AA101" s="97"/>
      <c r="AB101" s="193"/>
    </row>
    <row r="102" spans="1:28">
      <c r="A102" s="116"/>
      <c r="B102" s="116"/>
      <c r="C102" s="116"/>
      <c r="D102" s="3"/>
      <c r="E102" s="184"/>
      <c r="F102" s="184"/>
      <c r="G102" s="184"/>
      <c r="H102" s="184"/>
      <c r="I102" s="184"/>
      <c r="J102" s="184"/>
      <c r="K102" s="184"/>
      <c r="L102" s="184"/>
      <c r="M102" s="185"/>
      <c r="N102" s="185"/>
      <c r="O102" s="186"/>
      <c r="P102" s="187"/>
      <c r="Q102" s="187"/>
      <c r="R102" s="188"/>
      <c r="S102" s="188"/>
      <c r="T102" s="185"/>
      <c r="U102" s="185"/>
      <c r="V102" s="189"/>
      <c r="W102" s="190"/>
      <c r="X102" s="191"/>
      <c r="Y102" s="186"/>
      <c r="Z102" s="192"/>
      <c r="AA102" s="97"/>
      <c r="AB102" s="193"/>
    </row>
    <row r="103" spans="1:28">
      <c r="A103" s="116"/>
      <c r="B103" s="116"/>
      <c r="C103" s="116"/>
      <c r="D103" s="3"/>
      <c r="E103" s="184"/>
      <c r="F103" s="184"/>
      <c r="G103" s="184"/>
      <c r="H103" s="184"/>
      <c r="I103" s="184"/>
      <c r="J103" s="184"/>
      <c r="K103" s="184"/>
      <c r="L103" s="184"/>
      <c r="M103" s="185"/>
      <c r="N103" s="185"/>
      <c r="O103" s="186"/>
      <c r="P103" s="187"/>
      <c r="Q103" s="187"/>
      <c r="R103" s="188"/>
      <c r="S103" s="188"/>
      <c r="T103" s="185"/>
      <c r="U103" s="185"/>
      <c r="V103" s="189"/>
      <c r="W103" s="190"/>
      <c r="X103" s="191"/>
      <c r="Y103" s="186"/>
      <c r="Z103" s="192"/>
      <c r="AA103" s="97"/>
      <c r="AB103" s="193"/>
    </row>
    <row r="104" spans="1:28">
      <c r="A104" s="116"/>
      <c r="B104" s="116"/>
      <c r="C104" s="116"/>
      <c r="D104" s="3"/>
      <c r="E104" s="184"/>
      <c r="F104" s="184"/>
      <c r="G104" s="184"/>
      <c r="H104" s="184"/>
      <c r="I104" s="184"/>
      <c r="J104" s="184"/>
      <c r="K104" s="184"/>
      <c r="L104" s="184"/>
      <c r="M104" s="185"/>
      <c r="N104" s="185"/>
      <c r="O104" s="186"/>
      <c r="P104" s="187"/>
      <c r="Q104" s="187"/>
      <c r="R104" s="188"/>
      <c r="S104" s="188"/>
      <c r="T104" s="185"/>
      <c r="U104" s="185"/>
      <c r="V104" s="189"/>
      <c r="W104" s="190"/>
      <c r="X104" s="191"/>
      <c r="Y104" s="186"/>
      <c r="Z104" s="192"/>
      <c r="AA104" s="97"/>
      <c r="AB104" s="193"/>
    </row>
    <row r="105" spans="1:28">
      <c r="A105" s="116"/>
      <c r="B105" s="116"/>
      <c r="C105" s="116"/>
      <c r="D105" s="3"/>
      <c r="E105" s="184"/>
      <c r="F105" s="184"/>
      <c r="G105" s="184"/>
      <c r="H105" s="184"/>
      <c r="I105" s="184"/>
      <c r="J105" s="184"/>
      <c r="K105" s="184"/>
      <c r="L105" s="184"/>
      <c r="M105" s="185"/>
      <c r="N105" s="185"/>
      <c r="O105" s="186"/>
      <c r="P105" s="187"/>
      <c r="Q105" s="187"/>
      <c r="R105" s="188"/>
      <c r="S105" s="188"/>
      <c r="T105" s="185"/>
      <c r="U105" s="185"/>
      <c r="V105" s="189"/>
      <c r="W105" s="190"/>
      <c r="X105" s="191"/>
      <c r="Y105" s="186"/>
      <c r="Z105" s="192"/>
      <c r="AA105" s="97"/>
      <c r="AB105" s="193"/>
    </row>
    <row r="106" spans="1:28">
      <c r="A106" s="116"/>
      <c r="B106" s="116"/>
      <c r="C106" s="116"/>
      <c r="D106" s="3"/>
      <c r="E106" s="184"/>
      <c r="F106" s="184"/>
      <c r="G106" s="184"/>
      <c r="H106" s="184"/>
      <c r="I106" s="184"/>
      <c r="J106" s="184"/>
      <c r="K106" s="184"/>
      <c r="L106" s="184"/>
      <c r="M106" s="185"/>
      <c r="N106" s="185"/>
      <c r="O106" s="186"/>
      <c r="P106" s="187"/>
      <c r="Q106" s="187"/>
      <c r="R106" s="188"/>
      <c r="S106" s="188"/>
      <c r="T106" s="185"/>
      <c r="U106" s="185"/>
      <c r="V106" s="189"/>
      <c r="W106" s="190"/>
      <c r="X106" s="191"/>
      <c r="Y106" s="186"/>
      <c r="Z106" s="192"/>
      <c r="AA106" s="97"/>
      <c r="AB106" s="193"/>
    </row>
    <row r="107" spans="1:28">
      <c r="A107" s="116"/>
      <c r="B107" s="116"/>
      <c r="C107" s="116"/>
      <c r="D107" s="3"/>
      <c r="E107" s="184"/>
      <c r="F107" s="184"/>
      <c r="G107" s="184"/>
      <c r="H107" s="184"/>
      <c r="I107" s="184"/>
      <c r="J107" s="184"/>
      <c r="K107" s="184"/>
      <c r="L107" s="184"/>
      <c r="M107" s="185"/>
      <c r="N107" s="185"/>
      <c r="O107" s="186"/>
      <c r="P107" s="187"/>
      <c r="Q107" s="187"/>
      <c r="R107" s="188"/>
      <c r="S107" s="188"/>
      <c r="T107" s="185"/>
      <c r="U107" s="185"/>
      <c r="V107" s="189"/>
      <c r="W107" s="190"/>
      <c r="X107" s="191"/>
      <c r="Y107" s="186"/>
      <c r="Z107" s="192"/>
      <c r="AA107" s="97"/>
      <c r="AB107" s="193"/>
    </row>
    <row r="108" spans="1:28">
      <c r="A108" s="116"/>
      <c r="B108" s="116"/>
      <c r="C108" s="116"/>
      <c r="D108" s="3"/>
      <c r="E108" s="184"/>
      <c r="F108" s="184"/>
      <c r="G108" s="184"/>
      <c r="H108" s="184"/>
      <c r="I108" s="184"/>
      <c r="J108" s="184"/>
      <c r="K108" s="184"/>
      <c r="L108" s="184"/>
      <c r="M108" s="185"/>
      <c r="N108" s="185"/>
      <c r="O108" s="186"/>
      <c r="P108" s="187"/>
      <c r="Q108" s="187"/>
      <c r="R108" s="188"/>
      <c r="S108" s="188"/>
      <c r="T108" s="185"/>
      <c r="U108" s="185"/>
      <c r="V108" s="189"/>
      <c r="W108" s="190"/>
      <c r="X108" s="191"/>
      <c r="Y108" s="186"/>
      <c r="Z108" s="192"/>
      <c r="AA108" s="97"/>
      <c r="AB108" s="193"/>
    </row>
    <row r="109" spans="1:28">
      <c r="A109" s="116"/>
      <c r="B109" s="116"/>
      <c r="C109" s="116"/>
      <c r="D109" s="3"/>
      <c r="E109" s="184"/>
      <c r="F109" s="184"/>
      <c r="G109" s="184"/>
      <c r="H109" s="184"/>
      <c r="I109" s="184"/>
      <c r="J109" s="184"/>
      <c r="K109" s="184"/>
      <c r="L109" s="184"/>
      <c r="M109" s="185"/>
      <c r="N109" s="185"/>
      <c r="O109" s="186"/>
      <c r="P109" s="187"/>
      <c r="Q109" s="187"/>
      <c r="R109" s="188"/>
      <c r="S109" s="188"/>
      <c r="T109" s="185"/>
      <c r="U109" s="185"/>
      <c r="V109" s="189"/>
      <c r="W109" s="190"/>
      <c r="X109" s="191"/>
      <c r="Y109" s="186"/>
      <c r="Z109" s="192"/>
      <c r="AA109" s="97"/>
      <c r="AB109" s="193"/>
    </row>
    <row r="110" spans="1:28">
      <c r="A110" s="116"/>
      <c r="B110" s="116"/>
      <c r="C110" s="116"/>
      <c r="D110" s="3"/>
      <c r="E110" s="184"/>
      <c r="F110" s="184"/>
      <c r="G110" s="184"/>
      <c r="H110" s="184"/>
      <c r="I110" s="184"/>
      <c r="J110" s="184"/>
      <c r="K110" s="184"/>
      <c r="L110" s="184"/>
      <c r="M110" s="185"/>
      <c r="N110" s="185"/>
      <c r="O110" s="186"/>
      <c r="P110" s="187"/>
      <c r="Q110" s="187"/>
      <c r="R110" s="188"/>
      <c r="S110" s="188"/>
      <c r="T110" s="185"/>
      <c r="U110" s="185"/>
      <c r="V110" s="189"/>
      <c r="W110" s="190"/>
      <c r="X110" s="191"/>
      <c r="Y110" s="186"/>
      <c r="Z110" s="192"/>
      <c r="AA110" s="97"/>
      <c r="AB110" s="193"/>
    </row>
    <row r="111" spans="1:28">
      <c r="A111" s="116"/>
      <c r="B111" s="116"/>
      <c r="C111" s="116"/>
      <c r="D111" s="3"/>
      <c r="E111" s="184"/>
      <c r="F111" s="184"/>
      <c r="G111" s="184"/>
      <c r="H111" s="184"/>
      <c r="I111" s="184"/>
      <c r="J111" s="184"/>
      <c r="K111" s="184"/>
      <c r="L111" s="184"/>
      <c r="M111" s="185"/>
      <c r="N111" s="185"/>
      <c r="O111" s="186"/>
      <c r="P111" s="187"/>
      <c r="Q111" s="187"/>
      <c r="R111" s="188"/>
      <c r="S111" s="188"/>
      <c r="T111" s="185"/>
      <c r="U111" s="185"/>
      <c r="V111" s="189"/>
      <c r="W111" s="190"/>
      <c r="X111" s="191"/>
      <c r="Y111" s="186"/>
      <c r="Z111" s="192"/>
      <c r="AA111" s="97"/>
      <c r="AB111" s="193"/>
    </row>
    <row r="112" spans="1:28">
      <c r="A112" s="116"/>
      <c r="B112" s="116"/>
      <c r="C112" s="116"/>
      <c r="D112" s="3"/>
      <c r="E112" s="184"/>
      <c r="F112" s="184"/>
      <c r="G112" s="184"/>
      <c r="H112" s="184"/>
      <c r="I112" s="184"/>
      <c r="J112" s="184"/>
      <c r="K112" s="184"/>
      <c r="L112" s="184"/>
      <c r="M112" s="185"/>
      <c r="N112" s="185"/>
      <c r="O112" s="186"/>
      <c r="P112" s="187"/>
      <c r="Q112" s="187"/>
      <c r="R112" s="188"/>
      <c r="S112" s="188"/>
      <c r="T112" s="185"/>
      <c r="U112" s="185"/>
      <c r="V112" s="189"/>
      <c r="W112" s="190"/>
      <c r="X112" s="191"/>
      <c r="Y112" s="186"/>
      <c r="Z112" s="192"/>
      <c r="AA112" s="97"/>
      <c r="AB112" s="193"/>
    </row>
    <row r="113" spans="1:28">
      <c r="A113" s="116"/>
      <c r="B113" s="116"/>
      <c r="C113" s="116"/>
      <c r="D113" s="3"/>
      <c r="E113" s="184"/>
      <c r="F113" s="184"/>
      <c r="G113" s="184"/>
      <c r="H113" s="184"/>
      <c r="I113" s="184"/>
      <c r="J113" s="184"/>
      <c r="K113" s="184"/>
      <c r="L113" s="184"/>
      <c r="M113" s="185"/>
      <c r="N113" s="185"/>
      <c r="O113" s="186"/>
      <c r="P113" s="187"/>
      <c r="Q113" s="187"/>
      <c r="R113" s="188"/>
      <c r="S113" s="188"/>
      <c r="T113" s="185"/>
      <c r="U113" s="185"/>
      <c r="V113" s="189"/>
      <c r="W113" s="190"/>
      <c r="X113" s="191"/>
      <c r="Y113" s="186"/>
      <c r="Z113" s="192"/>
      <c r="AA113" s="97"/>
      <c r="AB113" s="193"/>
    </row>
    <row r="114" spans="1:28">
      <c r="A114" s="116"/>
      <c r="B114" s="116"/>
      <c r="C114" s="116"/>
      <c r="D114" s="3"/>
      <c r="E114" s="184"/>
      <c r="F114" s="184"/>
      <c r="G114" s="184"/>
      <c r="H114" s="184"/>
      <c r="I114" s="184"/>
      <c r="J114" s="184"/>
      <c r="K114" s="184"/>
      <c r="L114" s="184"/>
      <c r="M114" s="185"/>
      <c r="N114" s="185"/>
      <c r="O114" s="186"/>
      <c r="P114" s="187"/>
      <c r="Q114" s="187"/>
      <c r="R114" s="188"/>
      <c r="S114" s="188"/>
      <c r="T114" s="185"/>
      <c r="U114" s="185"/>
      <c r="V114" s="189"/>
      <c r="W114" s="190"/>
      <c r="X114" s="191"/>
      <c r="Y114" s="186"/>
      <c r="Z114" s="192"/>
      <c r="AA114" s="97"/>
      <c r="AB114" s="193"/>
    </row>
    <row r="115" spans="1:28">
      <c r="A115" s="116"/>
      <c r="B115" s="116"/>
      <c r="C115" s="116"/>
      <c r="D115" s="3"/>
      <c r="E115" s="184"/>
      <c r="F115" s="184"/>
      <c r="G115" s="184"/>
      <c r="H115" s="184"/>
      <c r="I115" s="184"/>
      <c r="J115" s="184"/>
      <c r="K115" s="184"/>
      <c r="L115" s="184"/>
      <c r="M115" s="185"/>
      <c r="N115" s="185"/>
      <c r="O115" s="186"/>
      <c r="P115" s="187"/>
      <c r="Q115" s="187"/>
      <c r="R115" s="188"/>
      <c r="S115" s="188"/>
      <c r="T115" s="185"/>
      <c r="U115" s="185"/>
      <c r="V115" s="189"/>
      <c r="W115" s="190"/>
      <c r="X115" s="191"/>
      <c r="Y115" s="186"/>
      <c r="Z115" s="192"/>
      <c r="AA115" s="97"/>
      <c r="AB115" s="193"/>
    </row>
    <row r="116" spans="1:28">
      <c r="A116" s="116"/>
      <c r="B116" s="116"/>
      <c r="C116" s="116"/>
      <c r="D116" s="3"/>
      <c r="E116" s="184"/>
      <c r="F116" s="184"/>
      <c r="G116" s="184"/>
      <c r="H116" s="184"/>
      <c r="I116" s="184"/>
      <c r="J116" s="184"/>
      <c r="K116" s="184"/>
      <c r="L116" s="184"/>
      <c r="M116" s="185"/>
      <c r="N116" s="185"/>
      <c r="O116" s="186"/>
      <c r="P116" s="187"/>
      <c r="Q116" s="187"/>
      <c r="R116" s="188"/>
      <c r="S116" s="188"/>
      <c r="T116" s="185"/>
      <c r="U116" s="185"/>
      <c r="V116" s="189"/>
      <c r="W116" s="190"/>
      <c r="X116" s="191"/>
      <c r="Y116" s="186"/>
      <c r="Z116" s="192"/>
      <c r="AA116" s="97"/>
      <c r="AB116" s="193"/>
    </row>
    <row r="117" spans="1:28">
      <c r="A117" s="116"/>
      <c r="B117" s="116"/>
      <c r="C117" s="116"/>
      <c r="D117" s="3"/>
      <c r="E117" s="184"/>
      <c r="F117" s="184"/>
      <c r="G117" s="184"/>
      <c r="H117" s="184"/>
      <c r="I117" s="184"/>
      <c r="J117" s="184"/>
      <c r="K117" s="184"/>
      <c r="L117" s="184"/>
      <c r="M117" s="185"/>
      <c r="N117" s="185"/>
      <c r="O117" s="186"/>
      <c r="P117" s="187"/>
      <c r="Q117" s="187"/>
      <c r="R117" s="188"/>
      <c r="S117" s="188"/>
      <c r="T117" s="185"/>
      <c r="U117" s="185"/>
      <c r="V117" s="189"/>
      <c r="W117" s="190"/>
      <c r="X117" s="191"/>
      <c r="Y117" s="186"/>
      <c r="Z117" s="192"/>
      <c r="AA117" s="97"/>
      <c r="AB117" s="193"/>
    </row>
    <row r="118" spans="1:28">
      <c r="A118" s="116"/>
      <c r="B118" s="116"/>
      <c r="C118" s="116"/>
      <c r="D118" s="3"/>
      <c r="E118" s="184"/>
      <c r="F118" s="184"/>
      <c r="G118" s="184"/>
      <c r="H118" s="184"/>
      <c r="I118" s="184"/>
      <c r="J118" s="184"/>
      <c r="K118" s="184"/>
      <c r="L118" s="184"/>
      <c r="M118" s="185"/>
      <c r="N118" s="185"/>
      <c r="O118" s="186"/>
      <c r="P118" s="187"/>
      <c r="Q118" s="187"/>
      <c r="R118" s="188"/>
      <c r="S118" s="188"/>
      <c r="T118" s="185"/>
      <c r="U118" s="185"/>
      <c r="V118" s="189"/>
      <c r="W118" s="190"/>
      <c r="X118" s="191"/>
      <c r="Y118" s="186"/>
      <c r="Z118" s="192"/>
      <c r="AA118" s="97"/>
      <c r="AB118" s="193"/>
    </row>
    <row r="119" spans="1:28">
      <c r="A119" s="116"/>
      <c r="B119" s="116"/>
      <c r="C119" s="116"/>
      <c r="D119" s="3"/>
      <c r="E119" s="184"/>
      <c r="F119" s="184"/>
      <c r="G119" s="184"/>
      <c r="H119" s="184"/>
      <c r="I119" s="184"/>
      <c r="J119" s="184"/>
      <c r="K119" s="184"/>
      <c r="L119" s="184"/>
      <c r="M119" s="185"/>
      <c r="N119" s="185"/>
      <c r="O119" s="186"/>
      <c r="P119" s="187"/>
      <c r="Q119" s="187"/>
      <c r="R119" s="188"/>
      <c r="S119" s="188"/>
      <c r="T119" s="185"/>
      <c r="U119" s="185"/>
      <c r="V119" s="189"/>
      <c r="W119" s="190"/>
      <c r="X119" s="191"/>
      <c r="Y119" s="186"/>
      <c r="Z119" s="192"/>
      <c r="AA119" s="97"/>
      <c r="AB119" s="193"/>
    </row>
    <row r="120" spans="1:28">
      <c r="A120" s="116"/>
      <c r="B120" s="116"/>
      <c r="C120" s="116"/>
      <c r="D120" s="3"/>
      <c r="E120" s="184"/>
      <c r="F120" s="184"/>
      <c r="G120" s="184"/>
      <c r="H120" s="184"/>
      <c r="I120" s="184"/>
      <c r="J120" s="184"/>
      <c r="K120" s="184"/>
      <c r="L120" s="184"/>
      <c r="M120" s="185"/>
      <c r="N120" s="185"/>
      <c r="O120" s="186"/>
      <c r="P120" s="187"/>
      <c r="Q120" s="187"/>
      <c r="R120" s="188"/>
      <c r="S120" s="188"/>
      <c r="T120" s="185"/>
      <c r="U120" s="185"/>
      <c r="V120" s="189"/>
      <c r="W120" s="190"/>
      <c r="X120" s="191"/>
      <c r="Y120" s="186"/>
      <c r="Z120" s="192"/>
      <c r="AA120" s="97"/>
      <c r="AB120" s="193"/>
    </row>
    <row r="121" spans="1:28">
      <c r="A121" s="116"/>
      <c r="B121" s="116"/>
      <c r="C121" s="116"/>
      <c r="D121" s="3"/>
      <c r="E121" s="184"/>
      <c r="F121" s="184"/>
      <c r="G121" s="184"/>
      <c r="H121" s="184"/>
      <c r="I121" s="184"/>
      <c r="J121" s="184"/>
      <c r="K121" s="184"/>
      <c r="L121" s="184"/>
      <c r="M121" s="185"/>
      <c r="N121" s="185"/>
      <c r="O121" s="186"/>
      <c r="P121" s="187"/>
      <c r="Q121" s="187"/>
      <c r="R121" s="188"/>
      <c r="S121" s="188"/>
      <c r="T121" s="185"/>
      <c r="U121" s="185"/>
      <c r="V121" s="189"/>
      <c r="W121" s="190"/>
      <c r="X121" s="191"/>
      <c r="Y121" s="186"/>
      <c r="Z121" s="192"/>
      <c r="AA121" s="97"/>
      <c r="AB121" s="193"/>
    </row>
    <row r="122" spans="1:28">
      <c r="A122" s="116"/>
      <c r="B122" s="116"/>
      <c r="C122" s="116"/>
      <c r="D122" s="3"/>
      <c r="E122" s="184"/>
      <c r="F122" s="184"/>
      <c r="G122" s="184"/>
      <c r="H122" s="184"/>
      <c r="I122" s="184"/>
      <c r="J122" s="184"/>
      <c r="K122" s="184"/>
      <c r="L122" s="184"/>
      <c r="M122" s="185"/>
      <c r="N122" s="185"/>
      <c r="O122" s="186"/>
      <c r="P122" s="187"/>
      <c r="Q122" s="187"/>
      <c r="R122" s="188"/>
      <c r="S122" s="188"/>
      <c r="T122" s="185"/>
      <c r="U122" s="185"/>
      <c r="V122" s="189"/>
      <c r="W122" s="190"/>
      <c r="X122" s="191"/>
      <c r="Y122" s="186"/>
      <c r="Z122" s="192"/>
      <c r="AA122" s="97"/>
      <c r="AB122" s="193"/>
    </row>
    <row r="123" spans="1:28">
      <c r="A123" s="116"/>
      <c r="B123" s="116"/>
      <c r="C123" s="116"/>
      <c r="D123" s="3"/>
      <c r="E123" s="184"/>
      <c r="F123" s="184"/>
      <c r="G123" s="184"/>
      <c r="H123" s="184"/>
      <c r="I123" s="184"/>
      <c r="J123" s="184"/>
      <c r="K123" s="184"/>
      <c r="L123" s="184"/>
      <c r="M123" s="185"/>
      <c r="N123" s="185"/>
      <c r="O123" s="186"/>
      <c r="P123" s="187"/>
      <c r="Q123" s="187"/>
      <c r="R123" s="188"/>
      <c r="S123" s="188"/>
      <c r="T123" s="185"/>
      <c r="U123" s="185"/>
      <c r="V123" s="189"/>
      <c r="W123" s="190"/>
      <c r="X123" s="191"/>
      <c r="Y123" s="186"/>
      <c r="Z123" s="192"/>
      <c r="AA123" s="97"/>
      <c r="AB123" s="193"/>
    </row>
    <row r="124" spans="1:28">
      <c r="A124" s="116"/>
      <c r="B124" s="116"/>
      <c r="C124" s="116"/>
      <c r="D124" s="3"/>
      <c r="E124" s="184"/>
      <c r="F124" s="184"/>
      <c r="G124" s="184"/>
      <c r="H124" s="184"/>
      <c r="I124" s="184"/>
      <c r="J124" s="184"/>
      <c r="K124" s="184"/>
      <c r="L124" s="184"/>
      <c r="M124" s="185"/>
      <c r="N124" s="185"/>
      <c r="O124" s="186"/>
      <c r="P124" s="187"/>
      <c r="Q124" s="187"/>
      <c r="R124" s="188"/>
      <c r="S124" s="188"/>
      <c r="T124" s="185"/>
      <c r="U124" s="185"/>
      <c r="V124" s="189"/>
      <c r="W124" s="190"/>
      <c r="X124" s="191"/>
      <c r="Y124" s="186"/>
      <c r="Z124" s="192"/>
      <c r="AA124" s="97"/>
      <c r="AB124" s="193"/>
    </row>
    <row r="125" spans="1:28">
      <c r="A125" s="116"/>
      <c r="B125" s="116"/>
      <c r="C125" s="116"/>
      <c r="D125" s="3"/>
      <c r="E125" s="184"/>
      <c r="F125" s="184"/>
      <c r="G125" s="184"/>
      <c r="H125" s="184"/>
      <c r="I125" s="184"/>
      <c r="J125" s="184"/>
      <c r="K125" s="184"/>
      <c r="L125" s="184"/>
      <c r="M125" s="185"/>
      <c r="N125" s="185"/>
      <c r="O125" s="186"/>
      <c r="P125" s="187"/>
      <c r="Q125" s="187"/>
      <c r="R125" s="188"/>
      <c r="S125" s="188"/>
      <c r="T125" s="185"/>
      <c r="U125" s="185"/>
      <c r="V125" s="189"/>
      <c r="W125" s="190"/>
      <c r="X125" s="191"/>
      <c r="Y125" s="186"/>
      <c r="Z125" s="192"/>
      <c r="AA125" s="97"/>
      <c r="AB125" s="193"/>
    </row>
    <row r="126" spans="1:28">
      <c r="A126" s="116"/>
      <c r="B126" s="116"/>
      <c r="C126" s="116"/>
      <c r="D126" s="3"/>
      <c r="E126" s="184"/>
      <c r="F126" s="184"/>
      <c r="G126" s="184"/>
      <c r="H126" s="184"/>
      <c r="I126" s="184"/>
      <c r="J126" s="184"/>
      <c r="K126" s="184"/>
      <c r="L126" s="184"/>
      <c r="M126" s="185"/>
      <c r="N126" s="185"/>
      <c r="O126" s="186"/>
      <c r="P126" s="187"/>
      <c r="Q126" s="187"/>
      <c r="R126" s="188"/>
      <c r="S126" s="188"/>
      <c r="T126" s="185"/>
      <c r="U126" s="185"/>
      <c r="V126" s="189"/>
      <c r="W126" s="190"/>
      <c r="X126" s="191"/>
      <c r="Y126" s="186"/>
      <c r="Z126" s="192"/>
      <c r="AA126" s="97"/>
      <c r="AB126" s="193"/>
    </row>
    <row r="127" spans="1:28">
      <c r="A127" s="116"/>
      <c r="B127" s="116"/>
      <c r="C127" s="116"/>
      <c r="D127" s="3"/>
      <c r="E127" s="184"/>
      <c r="F127" s="184"/>
      <c r="G127" s="184"/>
      <c r="H127" s="184"/>
      <c r="I127" s="184"/>
      <c r="J127" s="184"/>
      <c r="K127" s="184"/>
      <c r="L127" s="184"/>
      <c r="M127" s="185"/>
      <c r="N127" s="185"/>
      <c r="O127" s="186"/>
      <c r="P127" s="187"/>
      <c r="Q127" s="187"/>
      <c r="R127" s="188"/>
      <c r="S127" s="188"/>
      <c r="T127" s="185"/>
      <c r="U127" s="185"/>
      <c r="V127" s="189"/>
      <c r="W127" s="190"/>
      <c r="X127" s="191"/>
      <c r="Y127" s="186"/>
      <c r="Z127" s="192"/>
      <c r="AA127" s="97"/>
      <c r="AB127" s="193"/>
    </row>
    <row r="128" spans="1:28">
      <c r="A128" s="116"/>
      <c r="B128" s="116"/>
      <c r="C128" s="116"/>
      <c r="D128" s="3"/>
      <c r="E128" s="184"/>
      <c r="F128" s="184"/>
      <c r="G128" s="184"/>
      <c r="H128" s="184"/>
      <c r="I128" s="184"/>
      <c r="J128" s="184"/>
      <c r="K128" s="184"/>
      <c r="L128" s="184"/>
      <c r="M128" s="185"/>
      <c r="N128" s="185"/>
      <c r="O128" s="186"/>
      <c r="P128" s="187"/>
      <c r="Q128" s="187"/>
      <c r="R128" s="188"/>
      <c r="S128" s="188"/>
      <c r="T128" s="185"/>
      <c r="U128" s="185"/>
      <c r="V128" s="189"/>
      <c r="W128" s="190"/>
      <c r="X128" s="191"/>
      <c r="Y128" s="186"/>
      <c r="Z128" s="192"/>
      <c r="AA128" s="97"/>
      <c r="AB128" s="193"/>
    </row>
    <row r="129" spans="1:28">
      <c r="A129" s="116"/>
      <c r="B129" s="116"/>
      <c r="C129" s="116"/>
      <c r="D129" s="3"/>
      <c r="E129" s="184"/>
      <c r="F129" s="184"/>
      <c r="G129" s="184"/>
      <c r="H129" s="184"/>
      <c r="I129" s="184"/>
      <c r="J129" s="184"/>
      <c r="K129" s="184"/>
      <c r="L129" s="184"/>
      <c r="M129" s="185"/>
      <c r="N129" s="185"/>
      <c r="O129" s="186"/>
      <c r="P129" s="187"/>
      <c r="Q129" s="187"/>
      <c r="R129" s="188"/>
      <c r="S129" s="188"/>
      <c r="T129" s="185"/>
      <c r="U129" s="185"/>
      <c r="V129" s="189"/>
      <c r="W129" s="190"/>
      <c r="X129" s="191"/>
      <c r="Y129" s="186"/>
      <c r="Z129" s="192"/>
      <c r="AA129" s="97"/>
      <c r="AB129" s="193"/>
    </row>
    <row r="130" spans="1:28">
      <c r="A130" s="169"/>
      <c r="B130" s="169"/>
      <c r="C130" s="169"/>
      <c r="D130" s="170"/>
      <c r="E130" s="171"/>
      <c r="F130" s="171"/>
      <c r="G130" s="171"/>
      <c r="H130" s="171"/>
      <c r="I130" s="171"/>
      <c r="J130" s="171"/>
      <c r="K130" s="171"/>
      <c r="L130" s="171"/>
      <c r="M130" s="172"/>
      <c r="N130" s="172"/>
      <c r="O130" s="173"/>
      <c r="P130" s="174"/>
      <c r="Q130" s="174"/>
      <c r="R130" s="175"/>
      <c r="S130" s="175"/>
      <c r="T130" s="172"/>
      <c r="U130" s="172"/>
      <c r="V130" s="176"/>
      <c r="W130" s="177"/>
      <c r="X130" s="178"/>
      <c r="Y130" s="173"/>
      <c r="Z130" s="179"/>
      <c r="AA130" s="180"/>
      <c r="AB130" s="181"/>
    </row>
  </sheetData>
  <sheetProtection formatCells="0" formatColumns="0" formatRows="0" insertColumns="0" insertRows="0" insertHyperlinks="0" deleteColumns="0" deleteRows="0" sort="0" autoFilter="0" pivotTables="0"/>
  <dataConsolidate/>
  <mergeCells count="30">
    <mergeCell ref="AB3:AB4"/>
    <mergeCell ref="T3:T4"/>
    <mergeCell ref="U3:U4"/>
    <mergeCell ref="V3:V4"/>
    <mergeCell ref="W3:W4"/>
    <mergeCell ref="X3:X4"/>
    <mergeCell ref="AA3:AA4"/>
    <mergeCell ref="D2:F2"/>
    <mergeCell ref="L3:L4"/>
    <mergeCell ref="M3:M4"/>
    <mergeCell ref="N3:N4"/>
    <mergeCell ref="Z3:Z4"/>
    <mergeCell ref="O3:O4"/>
    <mergeCell ref="P3:P4"/>
    <mergeCell ref="Q3:Q4"/>
    <mergeCell ref="R3:R4"/>
    <mergeCell ref="S3:S4"/>
    <mergeCell ref="Y3:Y4"/>
    <mergeCell ref="A3:A4"/>
    <mergeCell ref="B3:B4"/>
    <mergeCell ref="C3:C4"/>
    <mergeCell ref="D3:D4"/>
    <mergeCell ref="E3:K4"/>
    <mergeCell ref="AC3:AF3"/>
    <mergeCell ref="AC1:CA1"/>
    <mergeCell ref="AG3:AJ3"/>
    <mergeCell ref="AK3:AN3"/>
    <mergeCell ref="AO3:AR3"/>
    <mergeCell ref="AS3:AV3"/>
    <mergeCell ref="AW3:AZ3"/>
  </mergeCells>
  <phoneticPr fontId="8" type="noConversion"/>
  <conditionalFormatting sqref="D5:AB56">
    <cfRule type="expression" dxfId="1" priority="2">
      <formula>($B5="G")</formula>
    </cfRule>
    <cfRule type="expression" dxfId="0" priority="1">
      <formula>($AB5=1)</formula>
    </cfRule>
  </conditionalFormatting>
  <hyperlinks>
    <hyperlink ref="AC1:CA1" r:id="rId1" display="http://xlworks.net/"/>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W30"/>
  <sheetViews>
    <sheetView showGridLines="0" zoomScaleNormal="100" workbookViewId="0">
      <pane ySplit="1" topLeftCell="A2" activePane="bottomLeft" state="frozenSplit"/>
      <selection activeCell="E5" sqref="E5"/>
      <selection pane="bottomLeft" activeCell="C27" sqref="C27"/>
    </sheetView>
  </sheetViews>
  <sheetFormatPr defaultColWidth="10" defaultRowHeight="14.4"/>
  <cols>
    <col min="1" max="1" width="35.3984375" style="73" customWidth="1"/>
    <col min="2" max="2" width="13.19921875" style="71" customWidth="1"/>
    <col min="3" max="3" width="9.8984375" style="75" customWidth="1"/>
    <col min="4" max="4" width="31.3984375" style="75" customWidth="1"/>
    <col min="5" max="6" width="14.09765625" style="75" customWidth="1"/>
    <col min="7" max="7" width="28.3984375" style="75" customWidth="1"/>
    <col min="8" max="9" width="10" style="75"/>
    <col min="10" max="10" width="8.8984375" style="75" bestFit="1" customWidth="1"/>
    <col min="11" max="19" width="10" style="75"/>
    <col min="20" max="22" width="10" style="75" customWidth="1"/>
    <col min="23" max="23" width="10" style="75" hidden="1" customWidth="1"/>
    <col min="24" max="16384" width="10" style="75"/>
  </cols>
  <sheetData>
    <row r="1" spans="1:17" s="20" customFormat="1" ht="36.9" customHeight="1">
      <c r="A1" s="17" t="s">
        <v>1188</v>
      </c>
      <c r="B1" s="18"/>
      <c r="C1" s="18"/>
      <c r="D1" s="18"/>
      <c r="E1" s="18"/>
      <c r="F1" s="18"/>
      <c r="G1" s="18"/>
      <c r="H1" s="18"/>
      <c r="I1" s="18"/>
      <c r="J1" s="18"/>
      <c r="K1" s="18"/>
      <c r="L1" s="241"/>
      <c r="M1" s="242"/>
      <c r="N1" s="242"/>
      <c r="O1" s="19"/>
      <c r="P1" s="19"/>
      <c r="Q1" s="19"/>
    </row>
    <row r="2" spans="1:17" s="23" customFormat="1" ht="13.8">
      <c r="A2" s="21" t="s">
        <v>1113</v>
      </c>
      <c r="B2" s="22"/>
    </row>
    <row r="3" spans="1:17" s="23" customFormat="1" ht="13.8">
      <c r="A3" s="21" t="s">
        <v>1114</v>
      </c>
      <c r="B3" s="22"/>
    </row>
    <row r="4" spans="1:17" s="23" customFormat="1" ht="13.8">
      <c r="A4" s="243"/>
      <c r="B4" s="243"/>
      <c r="C4" s="24"/>
      <c r="D4" s="25"/>
      <c r="E4" s="25"/>
      <c r="F4" s="25"/>
    </row>
    <row r="5" spans="1:17" s="31" customFormat="1" ht="13.8">
      <c r="A5" s="26"/>
      <c r="B5" s="27"/>
      <c r="C5" s="28"/>
      <c r="D5" s="29"/>
      <c r="E5" s="30"/>
      <c r="F5" s="30"/>
      <c r="G5" s="30"/>
    </row>
    <row r="6" spans="1:17" s="31" customFormat="1" ht="13.8">
      <c r="A6" s="32" t="s">
        <v>1115</v>
      </c>
      <c r="B6" s="33">
        <v>263</v>
      </c>
      <c r="C6" s="31" t="s">
        <v>1</v>
      </c>
      <c r="D6" s="240" t="s">
        <v>1116</v>
      </c>
      <c r="E6" s="240"/>
      <c r="F6" s="240"/>
      <c r="G6" s="240"/>
    </row>
    <row r="7" spans="1:17" s="31" customFormat="1" ht="13.8">
      <c r="A7" s="34"/>
      <c r="B7" s="35"/>
      <c r="C7" s="36"/>
      <c r="D7" s="37"/>
      <c r="E7" s="37"/>
      <c r="F7" s="37"/>
      <c r="G7" s="37"/>
    </row>
    <row r="8" spans="1:17" s="31" customFormat="1" ht="12.75" customHeight="1">
      <c r="A8" s="38"/>
      <c r="B8" s="39"/>
      <c r="D8" s="40"/>
      <c r="E8" s="40"/>
      <c r="F8" s="40"/>
      <c r="G8" s="40"/>
      <c r="J8" s="41"/>
    </row>
    <row r="9" spans="1:17" s="31" customFormat="1" ht="13.8">
      <c r="A9" s="32" t="s">
        <v>1117</v>
      </c>
      <c r="B9" s="33">
        <v>263</v>
      </c>
      <c r="C9" s="31" t="s">
        <v>1</v>
      </c>
      <c r="D9" s="239" t="s">
        <v>1118</v>
      </c>
      <c r="E9" s="239"/>
      <c r="F9" s="239"/>
      <c r="G9" s="239"/>
    </row>
    <row r="10" spans="1:17" s="31" customFormat="1" ht="13.8">
      <c r="A10" s="42"/>
      <c r="B10" s="35"/>
      <c r="C10" s="36"/>
      <c r="D10" s="43"/>
      <c r="E10" s="43"/>
      <c r="F10" s="43"/>
      <c r="G10" s="43"/>
    </row>
    <row r="11" spans="1:17" s="31" customFormat="1" ht="13.5" customHeight="1">
      <c r="A11" s="44"/>
      <c r="B11" s="39"/>
      <c r="D11" s="40"/>
      <c r="E11" s="40"/>
      <c r="F11" s="40"/>
      <c r="G11" s="40"/>
    </row>
    <row r="12" spans="1:17" s="31" customFormat="1" ht="12.75" customHeight="1">
      <c r="A12" s="45" t="s">
        <v>1189</v>
      </c>
      <c r="B12" s="33">
        <v>21.89</v>
      </c>
      <c r="C12" s="31" t="s">
        <v>1</v>
      </c>
      <c r="D12" s="239" t="s">
        <v>1190</v>
      </c>
      <c r="E12" s="239"/>
      <c r="F12" s="239"/>
      <c r="G12" s="239"/>
    </row>
    <row r="13" spans="1:17" s="48" customFormat="1" ht="13.8">
      <c r="A13" s="46"/>
      <c r="B13" s="35"/>
      <c r="C13" s="47"/>
      <c r="D13" s="43"/>
      <c r="E13" s="43"/>
      <c r="F13" s="43"/>
      <c r="G13" s="43"/>
      <c r="K13" s="49"/>
    </row>
    <row r="14" spans="1:17" s="48" customFormat="1" ht="14.25" customHeight="1">
      <c r="A14" s="44"/>
      <c r="B14" s="50"/>
      <c r="C14" s="51"/>
      <c r="D14" s="40"/>
      <c r="E14" s="40"/>
      <c r="F14" s="40"/>
      <c r="G14" s="40"/>
    </row>
    <row r="15" spans="1:17" s="31" customFormat="1" ht="12.75" customHeight="1">
      <c r="A15" s="45" t="s">
        <v>1112</v>
      </c>
      <c r="B15" s="33"/>
      <c r="C15" s="31" t="s">
        <v>1</v>
      </c>
      <c r="D15" s="239" t="s">
        <v>1119</v>
      </c>
      <c r="E15" s="239"/>
      <c r="F15" s="239"/>
      <c r="G15" s="239"/>
    </row>
    <row r="16" spans="1:17" s="31" customFormat="1" ht="13.8">
      <c r="A16" s="46"/>
      <c r="B16" s="52"/>
      <c r="C16" s="53"/>
      <c r="D16" s="43"/>
      <c r="E16" s="43"/>
      <c r="F16" s="43"/>
      <c r="G16" s="43"/>
    </row>
    <row r="17" spans="1:7" s="48" customFormat="1" ht="12.75" customHeight="1">
      <c r="A17" s="54"/>
      <c r="B17" s="50"/>
      <c r="C17" s="51"/>
      <c r="D17" s="40"/>
      <c r="E17" s="40"/>
      <c r="F17" s="40"/>
      <c r="G17" s="40"/>
    </row>
    <row r="18" spans="1:7" s="31" customFormat="1" ht="13.8">
      <c r="A18" s="32" t="s">
        <v>1120</v>
      </c>
      <c r="B18" s="55">
        <v>1</v>
      </c>
      <c r="D18" s="239" t="s">
        <v>1121</v>
      </c>
      <c r="E18" s="239"/>
      <c r="F18" s="239"/>
      <c r="G18" s="239"/>
    </row>
    <row r="19" spans="1:7" s="31" customFormat="1" ht="13.8">
      <c r="A19" s="56"/>
      <c r="B19" s="52"/>
      <c r="C19" s="53"/>
      <c r="D19" s="43"/>
      <c r="E19" s="43"/>
      <c r="F19" s="43"/>
      <c r="G19" s="43"/>
    </row>
    <row r="20" spans="1:7" s="31" customFormat="1" ht="12.75" customHeight="1">
      <c r="A20" s="57"/>
      <c r="B20" s="27"/>
      <c r="C20" s="28"/>
      <c r="D20" s="40"/>
      <c r="E20" s="40"/>
      <c r="F20" s="40"/>
      <c r="G20" s="40"/>
    </row>
    <row r="21" spans="1:7" s="31" customFormat="1" ht="13.8">
      <c r="A21" s="32" t="s">
        <v>1122</v>
      </c>
      <c r="B21" s="55">
        <v>8.3231939163498095E-2</v>
      </c>
      <c r="D21" s="239" t="s">
        <v>1123</v>
      </c>
      <c r="E21" s="239"/>
      <c r="F21" s="239"/>
      <c r="G21" s="239"/>
    </row>
    <row r="22" spans="1:7" s="31" customFormat="1" ht="13.8">
      <c r="A22" s="58"/>
      <c r="B22" s="59"/>
      <c r="C22" s="60"/>
      <c r="D22" s="43"/>
      <c r="E22" s="43"/>
      <c r="F22" s="43"/>
      <c r="G22" s="43"/>
    </row>
    <row r="23" spans="1:7" s="31" customFormat="1" ht="13.5" customHeight="1">
      <c r="A23" s="61"/>
      <c r="B23" s="62"/>
      <c r="C23" s="63"/>
      <c r="D23" s="64"/>
      <c r="E23" s="64"/>
      <c r="F23" s="64"/>
      <c r="G23" s="64"/>
    </row>
    <row r="24" spans="1:7" s="31" customFormat="1" ht="13.8">
      <c r="A24" s="32" t="s">
        <v>1124</v>
      </c>
      <c r="B24" s="65">
        <f>ACTUAL_RATE-PLANNED_RATE</f>
        <v>-0.91676806083650186</v>
      </c>
      <c r="D24" s="240" t="s">
        <v>1125</v>
      </c>
      <c r="E24" s="240"/>
      <c r="F24" s="240"/>
      <c r="G24" s="240"/>
    </row>
    <row r="25" spans="1:7" s="31" customFormat="1" ht="13.8">
      <c r="A25" s="66"/>
      <c r="B25" s="67"/>
      <c r="C25" s="68"/>
      <c r="D25" s="69"/>
      <c r="E25" s="69"/>
      <c r="F25" s="69"/>
      <c r="G25" s="69"/>
    </row>
    <row r="26" spans="1:7" s="72" customFormat="1">
      <c r="A26" s="70"/>
      <c r="B26" s="71"/>
    </row>
    <row r="27" spans="1:7">
      <c r="B27" s="74"/>
      <c r="G27" s="73"/>
    </row>
    <row r="28" spans="1:7">
      <c r="B28" s="76"/>
    </row>
    <row r="29" spans="1:7">
      <c r="B29" s="76"/>
    </row>
    <row r="30" spans="1:7">
      <c r="B30" s="77"/>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F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213" customWidth="1"/>
    <col min="2" max="3" width="10.59765625" style="213" bestFit="1" customWidth="1"/>
    <col min="4" max="4" width="9.09765625" style="213"/>
    <col min="5" max="5" width="10.59765625" style="213" customWidth="1"/>
    <col min="6" max="16384" width="9.09765625" style="213"/>
  </cols>
  <sheetData>
    <row r="1" spans="2:6" ht="36.9" customHeight="1">
      <c r="B1" s="78" t="s">
        <v>1159</v>
      </c>
    </row>
    <row r="2" spans="2:6">
      <c r="B2" s="213" t="s">
        <v>1160</v>
      </c>
    </row>
    <row r="3" spans="2:6">
      <c r="B3" s="213" t="s">
        <v>1161</v>
      </c>
    </row>
    <row r="6" spans="2:6" ht="28.8">
      <c r="B6" s="79" t="s">
        <v>1127</v>
      </c>
      <c r="C6" s="183" t="s">
        <v>1128</v>
      </c>
      <c r="D6" s="183" t="s">
        <v>2</v>
      </c>
      <c r="E6" s="183" t="s">
        <v>1162</v>
      </c>
      <c r="F6" s="212" t="s">
        <v>1163</v>
      </c>
    </row>
    <row r="7" spans="2:6">
      <c r="B7" s="208">
        <v>43375</v>
      </c>
      <c r="C7" s="208">
        <v>43379</v>
      </c>
      <c r="D7" s="209">
        <v>1</v>
      </c>
      <c r="E7" s="209">
        <f>D7</f>
        <v>1</v>
      </c>
      <c r="F7" s="214">
        <f t="shared" ref="F7:F28" si="0">E7/$D$29</f>
        <v>3.8022813688212928E-3</v>
      </c>
    </row>
    <row r="8" spans="2:6">
      <c r="B8" s="210">
        <v>43380</v>
      </c>
      <c r="C8" s="210">
        <v>43386</v>
      </c>
      <c r="D8" s="211">
        <v>10</v>
      </c>
      <c r="E8" s="211">
        <f>E7+D8</f>
        <v>11</v>
      </c>
      <c r="F8" s="215">
        <f t="shared" si="0"/>
        <v>4.1825095057034217E-2</v>
      </c>
    </row>
    <row r="9" spans="2:6">
      <c r="B9" s="210">
        <v>43387</v>
      </c>
      <c r="C9" s="210">
        <v>43393</v>
      </c>
      <c r="D9" s="211">
        <v>15</v>
      </c>
      <c r="E9" s="211">
        <f t="shared" ref="E9:E28" si="1">E8+D9</f>
        <v>26</v>
      </c>
      <c r="F9" s="215">
        <f t="shared" si="0"/>
        <v>9.8859315589353611E-2</v>
      </c>
    </row>
    <row r="10" spans="2:6">
      <c r="B10" s="210">
        <v>43394</v>
      </c>
      <c r="C10" s="210">
        <v>43400</v>
      </c>
      <c r="D10" s="211">
        <v>10</v>
      </c>
      <c r="E10" s="211">
        <f t="shared" si="1"/>
        <v>36</v>
      </c>
      <c r="F10" s="215">
        <f t="shared" si="0"/>
        <v>0.13688212927756654</v>
      </c>
    </row>
    <row r="11" spans="2:6">
      <c r="B11" s="210">
        <v>43401</v>
      </c>
      <c r="C11" s="210">
        <v>43407</v>
      </c>
      <c r="D11" s="211">
        <v>9</v>
      </c>
      <c r="E11" s="211">
        <f t="shared" si="1"/>
        <v>45</v>
      </c>
      <c r="F11" s="215">
        <f t="shared" si="0"/>
        <v>0.17110266159695817</v>
      </c>
    </row>
    <row r="12" spans="2:6">
      <c r="B12" s="210">
        <v>43408</v>
      </c>
      <c r="C12" s="210">
        <v>43414</v>
      </c>
      <c r="D12" s="211">
        <v>12</v>
      </c>
      <c r="E12" s="211">
        <f t="shared" si="1"/>
        <v>57</v>
      </c>
      <c r="F12" s="215">
        <f t="shared" si="0"/>
        <v>0.21673003802281368</v>
      </c>
    </row>
    <row r="13" spans="2:6">
      <c r="B13" s="210">
        <v>43415</v>
      </c>
      <c r="C13" s="210">
        <v>43421</v>
      </c>
      <c r="D13" s="211">
        <v>14</v>
      </c>
      <c r="E13" s="211">
        <f t="shared" si="1"/>
        <v>71</v>
      </c>
      <c r="F13" s="215">
        <f t="shared" si="0"/>
        <v>0.26996197718631176</v>
      </c>
    </row>
    <row r="14" spans="2:6">
      <c r="B14" s="210">
        <v>43422</v>
      </c>
      <c r="C14" s="210">
        <v>43428</v>
      </c>
      <c r="D14" s="211">
        <v>7</v>
      </c>
      <c r="E14" s="211">
        <f t="shared" si="1"/>
        <v>78</v>
      </c>
      <c r="F14" s="215">
        <f t="shared" si="0"/>
        <v>0.29657794676806082</v>
      </c>
    </row>
    <row r="15" spans="2:6">
      <c r="B15" s="210">
        <v>43429</v>
      </c>
      <c r="C15" s="210">
        <v>43435</v>
      </c>
      <c r="D15" s="211">
        <v>8</v>
      </c>
      <c r="E15" s="211">
        <f t="shared" si="1"/>
        <v>86</v>
      </c>
      <c r="F15" s="215">
        <f t="shared" si="0"/>
        <v>0.3269961977186312</v>
      </c>
    </row>
    <row r="16" spans="2:6">
      <c r="B16" s="210">
        <v>43436</v>
      </c>
      <c r="C16" s="210">
        <v>43442</v>
      </c>
      <c r="D16" s="211">
        <v>18</v>
      </c>
      <c r="E16" s="211">
        <f t="shared" si="1"/>
        <v>104</v>
      </c>
      <c r="F16" s="215">
        <f t="shared" si="0"/>
        <v>0.39543726235741444</v>
      </c>
    </row>
    <row r="17" spans="2:6">
      <c r="B17" s="210">
        <v>43443</v>
      </c>
      <c r="C17" s="210">
        <v>43449</v>
      </c>
      <c r="D17" s="211">
        <v>18</v>
      </c>
      <c r="E17" s="211">
        <f t="shared" si="1"/>
        <v>122</v>
      </c>
      <c r="F17" s="215">
        <f t="shared" si="0"/>
        <v>0.46387832699619774</v>
      </c>
    </row>
    <row r="18" spans="2:6">
      <c r="B18" s="210">
        <v>43450</v>
      </c>
      <c r="C18" s="210">
        <v>43456</v>
      </c>
      <c r="D18" s="211">
        <v>17</v>
      </c>
      <c r="E18" s="211">
        <f t="shared" si="1"/>
        <v>139</v>
      </c>
      <c r="F18" s="215">
        <f t="shared" si="0"/>
        <v>0.52851711026615966</v>
      </c>
    </row>
    <row r="19" spans="2:6">
      <c r="B19" s="210">
        <v>43457</v>
      </c>
      <c r="C19" s="210">
        <v>43463</v>
      </c>
      <c r="D19" s="211">
        <v>12</v>
      </c>
      <c r="E19" s="211">
        <f t="shared" si="1"/>
        <v>151</v>
      </c>
      <c r="F19" s="215">
        <f t="shared" si="0"/>
        <v>0.57414448669201523</v>
      </c>
    </row>
    <row r="20" spans="2:6">
      <c r="B20" s="210">
        <v>43464</v>
      </c>
      <c r="C20" s="210">
        <v>43470</v>
      </c>
      <c r="D20" s="211">
        <v>14</v>
      </c>
      <c r="E20" s="211">
        <f t="shared" si="1"/>
        <v>165</v>
      </c>
      <c r="F20" s="215">
        <f t="shared" si="0"/>
        <v>0.62737642585551334</v>
      </c>
    </row>
    <row r="21" spans="2:6">
      <c r="B21" s="210">
        <v>43471</v>
      </c>
      <c r="C21" s="210">
        <v>43477</v>
      </c>
      <c r="D21" s="211">
        <v>21</v>
      </c>
      <c r="E21" s="211">
        <f t="shared" si="1"/>
        <v>186</v>
      </c>
      <c r="F21" s="215">
        <f t="shared" si="0"/>
        <v>0.70722433460076051</v>
      </c>
    </row>
    <row r="22" spans="2:6">
      <c r="B22" s="210">
        <v>43478</v>
      </c>
      <c r="C22" s="210">
        <v>43484</v>
      </c>
      <c r="D22" s="211">
        <v>25</v>
      </c>
      <c r="E22" s="211">
        <f t="shared" si="1"/>
        <v>211</v>
      </c>
      <c r="F22" s="215">
        <f t="shared" si="0"/>
        <v>0.80228136882129275</v>
      </c>
    </row>
    <row r="23" spans="2:6">
      <c r="B23" s="210">
        <v>43485</v>
      </c>
      <c r="C23" s="210">
        <v>43491</v>
      </c>
      <c r="D23" s="211">
        <v>25</v>
      </c>
      <c r="E23" s="211">
        <f t="shared" si="1"/>
        <v>236</v>
      </c>
      <c r="F23" s="215">
        <f t="shared" si="0"/>
        <v>0.89733840304182511</v>
      </c>
    </row>
    <row r="24" spans="2:6">
      <c r="B24" s="210">
        <v>43492</v>
      </c>
      <c r="C24" s="210">
        <v>43498</v>
      </c>
      <c r="D24" s="211">
        <v>8</v>
      </c>
      <c r="E24" s="211">
        <f t="shared" si="1"/>
        <v>244</v>
      </c>
      <c r="F24" s="215">
        <f t="shared" si="0"/>
        <v>0.92775665399239549</v>
      </c>
    </row>
    <row r="25" spans="2:6">
      <c r="B25" s="210">
        <v>43499</v>
      </c>
      <c r="C25" s="210">
        <v>43505</v>
      </c>
      <c r="D25" s="211">
        <v>6</v>
      </c>
      <c r="E25" s="211">
        <f t="shared" si="1"/>
        <v>250</v>
      </c>
      <c r="F25" s="215">
        <f t="shared" si="0"/>
        <v>0.95057034220532322</v>
      </c>
    </row>
    <row r="26" spans="2:6">
      <c r="B26" s="210">
        <v>43506</v>
      </c>
      <c r="C26" s="210">
        <v>43512</v>
      </c>
      <c r="D26" s="211">
        <v>4</v>
      </c>
      <c r="E26" s="211">
        <f t="shared" si="1"/>
        <v>254</v>
      </c>
      <c r="F26" s="215">
        <f t="shared" si="0"/>
        <v>0.96577946768060841</v>
      </c>
    </row>
    <row r="27" spans="2:6">
      <c r="B27" s="210">
        <v>43513</v>
      </c>
      <c r="C27" s="210">
        <v>43519</v>
      </c>
      <c r="D27" s="211">
        <v>5</v>
      </c>
      <c r="E27" s="211">
        <f t="shared" si="1"/>
        <v>259</v>
      </c>
      <c r="F27" s="215">
        <f t="shared" si="0"/>
        <v>0.98479087452471481</v>
      </c>
    </row>
    <row r="28" spans="2:6">
      <c r="B28" s="210">
        <v>43520</v>
      </c>
      <c r="C28" s="210">
        <v>43526</v>
      </c>
      <c r="D28" s="211">
        <v>4</v>
      </c>
      <c r="E28" s="211">
        <f t="shared" si="1"/>
        <v>263</v>
      </c>
      <c r="F28" s="215">
        <f t="shared" si="0"/>
        <v>1</v>
      </c>
    </row>
    <row r="29" spans="2:6">
      <c r="C29" s="213" t="s">
        <v>4</v>
      </c>
      <c r="D29" s="213">
        <f>SUM(D7:D28)</f>
        <v>263</v>
      </c>
    </row>
  </sheetData>
  <sortState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4.4"/>
  <cols>
    <col min="1" max="1" width="31.59765625" style="86" customWidth="1"/>
    <col min="2" max="2" width="14.5" style="86" customWidth="1"/>
    <col min="3" max="3" width="7.59765625" style="86" customWidth="1"/>
    <col min="4" max="4" width="21.5" style="86" customWidth="1"/>
    <col min="5" max="5" width="14.09765625" style="86" customWidth="1"/>
    <col min="6" max="6" width="10" style="86"/>
    <col min="7" max="7" width="24.19921875" style="86" customWidth="1"/>
    <col min="8" max="8" width="18.3984375" style="86" bestFit="1" customWidth="1"/>
    <col min="9" max="9" width="11.09765625" style="86" bestFit="1" customWidth="1"/>
    <col min="10" max="10" width="27.3984375" style="86" bestFit="1" customWidth="1"/>
    <col min="11" max="19" width="10" style="86"/>
    <col min="20" max="23" width="10" style="86" customWidth="1"/>
    <col min="24" max="16384" width="10" style="86"/>
  </cols>
  <sheetData>
    <row r="1" spans="1:9" s="80" customFormat="1" ht="36.9" customHeight="1">
      <c r="A1" s="17" t="s">
        <v>1130</v>
      </c>
      <c r="B1" s="17"/>
      <c r="C1" s="17"/>
      <c r="D1" s="17"/>
      <c r="E1" s="17"/>
      <c r="F1" s="17"/>
      <c r="G1" s="17"/>
      <c r="H1" s="17"/>
    </row>
    <row r="2" spans="1:9" s="81" customFormat="1" ht="78.75" customHeight="1">
      <c r="A2" s="244" t="s">
        <v>1131</v>
      </c>
      <c r="B2" s="244"/>
      <c r="C2" s="244"/>
      <c r="D2" s="244"/>
      <c r="E2" s="244"/>
      <c r="F2" s="244"/>
      <c r="G2" s="244"/>
      <c r="H2" s="244"/>
    </row>
    <row r="3" spans="1:9" s="81" customFormat="1" ht="24.75" customHeight="1">
      <c r="A3" s="245" t="s">
        <v>1132</v>
      </c>
      <c r="B3" s="245"/>
      <c r="D3" s="245" t="s">
        <v>1133</v>
      </c>
      <c r="E3" s="245"/>
      <c r="G3" s="245" t="s">
        <v>1134</v>
      </c>
      <c r="H3" s="245"/>
    </row>
    <row r="4" spans="1:9" s="83" customFormat="1" ht="19.5" customHeight="1">
      <c r="A4" s="82" t="s">
        <v>1135</v>
      </c>
      <c r="B4" s="82" t="s">
        <v>1137</v>
      </c>
      <c r="D4" s="82" t="s">
        <v>1136</v>
      </c>
      <c r="E4" s="82" t="s">
        <v>1138</v>
      </c>
      <c r="G4" s="82" t="s">
        <v>1136</v>
      </c>
      <c r="H4" s="82" t="s">
        <v>1137</v>
      </c>
    </row>
    <row r="5" spans="1:9" ht="17.399999999999999">
      <c r="A5" s="118" t="s">
        <v>1071</v>
      </c>
      <c r="B5" s="119">
        <v>43101</v>
      </c>
      <c r="C5" s="86" t="str">
        <f t="shared" ref="C5:C68" si="0">IF(B5&gt;0,TEXT(B5,"(aaa)"),"")</f>
        <v>(월)</v>
      </c>
      <c r="D5" s="84"/>
      <c r="E5" s="85"/>
      <c r="F5" s="86" t="str">
        <f t="shared" ref="F5:F68" si="1">IF(E5&gt;0,TEXT(E5,"(aaa)"),"")</f>
        <v/>
      </c>
      <c r="G5" s="84"/>
      <c r="H5" s="85"/>
      <c r="I5" s="86" t="str">
        <f t="shared" ref="I5:I68" si="2">IF(H5&gt;0,TEXT(H5,"(aaa)"),"")</f>
        <v/>
      </c>
    </row>
    <row r="6" spans="1:9" ht="17.399999999999999">
      <c r="A6" s="118" t="s">
        <v>1072</v>
      </c>
      <c r="B6" s="119">
        <v>43146</v>
      </c>
      <c r="C6" s="86" t="str">
        <f t="shared" si="0"/>
        <v>(목)</v>
      </c>
      <c r="D6" s="84"/>
      <c r="E6" s="85"/>
      <c r="F6" s="86" t="str">
        <f t="shared" si="1"/>
        <v/>
      </c>
      <c r="G6" s="84"/>
      <c r="H6" s="85"/>
      <c r="I6" s="86" t="str">
        <f t="shared" si="2"/>
        <v/>
      </c>
    </row>
    <row r="7" spans="1:9" ht="17.399999999999999">
      <c r="A7" s="118" t="s">
        <v>1073</v>
      </c>
      <c r="B7" s="119">
        <v>43147</v>
      </c>
      <c r="C7" s="86" t="str">
        <f t="shared" si="0"/>
        <v>(금)</v>
      </c>
      <c r="D7" s="84"/>
      <c r="E7" s="85"/>
      <c r="F7" s="86" t="str">
        <f t="shared" si="1"/>
        <v/>
      </c>
      <c r="G7" s="84"/>
      <c r="H7" s="85"/>
      <c r="I7" s="86" t="str">
        <f t="shared" si="2"/>
        <v/>
      </c>
    </row>
    <row r="8" spans="1:9" ht="17.399999999999999">
      <c r="A8" s="118" t="s">
        <v>1074</v>
      </c>
      <c r="B8" s="119">
        <v>43160</v>
      </c>
      <c r="C8" s="86" t="str">
        <f t="shared" si="0"/>
        <v>(목)</v>
      </c>
      <c r="D8" s="84"/>
      <c r="E8" s="85"/>
      <c r="F8" s="86" t="str">
        <f t="shared" si="1"/>
        <v/>
      </c>
      <c r="G8" s="84"/>
      <c r="H8" s="85"/>
      <c r="I8" s="86" t="str">
        <f t="shared" si="2"/>
        <v/>
      </c>
    </row>
    <row r="9" spans="1:9" ht="17.399999999999999">
      <c r="A9" s="118" t="s">
        <v>915</v>
      </c>
      <c r="B9" s="119">
        <v>43227</v>
      </c>
      <c r="C9" s="86" t="str">
        <f t="shared" si="0"/>
        <v>(월)</v>
      </c>
      <c r="D9" s="84"/>
      <c r="E9" s="85"/>
      <c r="F9" s="86" t="str">
        <f t="shared" si="1"/>
        <v/>
      </c>
      <c r="G9" s="84"/>
      <c r="H9" s="85"/>
      <c r="I9" s="86" t="str">
        <f t="shared" si="2"/>
        <v/>
      </c>
    </row>
    <row r="10" spans="1:9" ht="17.399999999999999">
      <c r="A10" s="118" t="s">
        <v>916</v>
      </c>
      <c r="B10" s="119">
        <v>43242</v>
      </c>
      <c r="C10" s="86" t="str">
        <f t="shared" si="0"/>
        <v>(화)</v>
      </c>
      <c r="D10" s="84"/>
      <c r="E10" s="85"/>
      <c r="F10" s="86" t="str">
        <f t="shared" si="1"/>
        <v/>
      </c>
      <c r="G10" s="84"/>
      <c r="H10" s="85"/>
      <c r="I10" s="86" t="str">
        <f t="shared" si="2"/>
        <v/>
      </c>
    </row>
    <row r="11" spans="1:9" ht="17.399999999999999">
      <c r="A11" s="118" t="s">
        <v>917</v>
      </c>
      <c r="B11" s="119">
        <v>43257</v>
      </c>
      <c r="C11" s="86" t="str">
        <f t="shared" si="0"/>
        <v>(수)</v>
      </c>
      <c r="D11" s="84"/>
      <c r="E11" s="85"/>
      <c r="F11" s="86" t="str">
        <f t="shared" si="1"/>
        <v/>
      </c>
      <c r="G11" s="84"/>
      <c r="H11" s="85"/>
      <c r="I11" s="86" t="str">
        <f t="shared" si="2"/>
        <v/>
      </c>
    </row>
    <row r="12" spans="1:9" ht="17.399999999999999">
      <c r="A12" s="118" t="s">
        <v>918</v>
      </c>
      <c r="B12" s="119">
        <v>43327</v>
      </c>
      <c r="C12" s="86" t="str">
        <f t="shared" si="0"/>
        <v>(수)</v>
      </c>
      <c r="D12" s="84"/>
      <c r="E12" s="85"/>
      <c r="F12" s="86" t="str">
        <f t="shared" si="1"/>
        <v/>
      </c>
      <c r="G12" s="84"/>
      <c r="H12" s="85"/>
      <c r="I12" s="86" t="str">
        <f t="shared" si="2"/>
        <v/>
      </c>
    </row>
    <row r="13" spans="1:9" ht="17.399999999999999">
      <c r="A13" s="118" t="s">
        <v>919</v>
      </c>
      <c r="B13" s="119">
        <v>43367</v>
      </c>
      <c r="C13" s="86" t="str">
        <f t="shared" si="0"/>
        <v>(월)</v>
      </c>
      <c r="D13" s="84"/>
      <c r="E13" s="85"/>
      <c r="F13" s="86" t="str">
        <f t="shared" si="1"/>
        <v/>
      </c>
      <c r="G13" s="84"/>
      <c r="H13" s="85"/>
      <c r="I13" s="86" t="str">
        <f t="shared" si="2"/>
        <v/>
      </c>
    </row>
    <row r="14" spans="1:9" ht="17.399999999999999">
      <c r="A14" s="118" t="s">
        <v>920</v>
      </c>
      <c r="B14" s="119">
        <v>43368</v>
      </c>
      <c r="C14" s="86" t="str">
        <f t="shared" si="0"/>
        <v>(화)</v>
      </c>
      <c r="D14" s="84"/>
      <c r="E14" s="85"/>
      <c r="F14" s="86" t="str">
        <f t="shared" si="1"/>
        <v/>
      </c>
      <c r="G14" s="84"/>
      <c r="H14" s="85"/>
      <c r="I14" s="86" t="str">
        <f t="shared" si="2"/>
        <v/>
      </c>
    </row>
    <row r="15" spans="1:9" ht="17.399999999999999">
      <c r="A15" s="118" t="s">
        <v>921</v>
      </c>
      <c r="B15" s="119">
        <v>43369</v>
      </c>
      <c r="C15" s="86" t="str">
        <f t="shared" si="0"/>
        <v>(수)</v>
      </c>
      <c r="D15" s="84"/>
      <c r="E15" s="85"/>
      <c r="F15" s="86" t="str">
        <f t="shared" si="1"/>
        <v/>
      </c>
      <c r="G15" s="84"/>
      <c r="H15" s="85"/>
      <c r="I15" s="86" t="str">
        <f t="shared" si="2"/>
        <v/>
      </c>
    </row>
    <row r="16" spans="1:9" ht="17.399999999999999">
      <c r="A16" s="118" t="s">
        <v>922</v>
      </c>
      <c r="B16" s="119">
        <v>43376</v>
      </c>
      <c r="C16" s="86" t="str">
        <f t="shared" si="0"/>
        <v>(수)</v>
      </c>
      <c r="D16" s="84"/>
      <c r="E16" s="85"/>
      <c r="F16" s="86" t="str">
        <f t="shared" si="1"/>
        <v/>
      </c>
      <c r="G16" s="84"/>
      <c r="H16" s="85"/>
      <c r="I16" s="86" t="str">
        <f t="shared" si="2"/>
        <v/>
      </c>
    </row>
    <row r="17" spans="1:10" ht="17.399999999999999">
      <c r="A17" s="118" t="s">
        <v>923</v>
      </c>
      <c r="B17" s="119">
        <v>43382</v>
      </c>
      <c r="C17" s="86" t="str">
        <f t="shared" si="0"/>
        <v>(화)</v>
      </c>
      <c r="D17" s="84"/>
      <c r="E17" s="85"/>
      <c r="F17" s="86" t="str">
        <f t="shared" si="1"/>
        <v/>
      </c>
      <c r="G17" s="84"/>
      <c r="H17" s="85"/>
      <c r="I17" s="86" t="str">
        <f t="shared" si="2"/>
        <v/>
      </c>
    </row>
    <row r="18" spans="1:10" ht="17.399999999999999">
      <c r="A18" s="118" t="s">
        <v>924</v>
      </c>
      <c r="B18" s="119">
        <v>43459</v>
      </c>
      <c r="C18" s="86" t="str">
        <f t="shared" si="0"/>
        <v>(화)</v>
      </c>
      <c r="D18" s="84"/>
      <c r="E18" s="85"/>
      <c r="F18" s="86" t="str">
        <f t="shared" si="1"/>
        <v/>
      </c>
      <c r="G18" s="84"/>
      <c r="H18" s="85"/>
      <c r="I18" s="86" t="str">
        <f t="shared" si="2"/>
        <v/>
      </c>
    </row>
    <row r="19" spans="1:10" ht="17.399999999999999">
      <c r="A19" s="118" t="s">
        <v>1075</v>
      </c>
      <c r="B19" s="119">
        <v>43466</v>
      </c>
      <c r="C19" s="86" t="str">
        <f t="shared" si="0"/>
        <v>(화)</v>
      </c>
      <c r="D19" s="84"/>
      <c r="E19" s="85"/>
      <c r="F19" s="86" t="str">
        <f t="shared" si="1"/>
        <v/>
      </c>
      <c r="G19" s="84"/>
      <c r="H19" s="85"/>
      <c r="I19" s="86" t="str">
        <f t="shared" si="2"/>
        <v/>
      </c>
      <c r="J19" s="87"/>
    </row>
    <row r="20" spans="1:10" ht="17.399999999999999">
      <c r="A20" s="118" t="s">
        <v>1076</v>
      </c>
      <c r="B20" s="119">
        <v>43500</v>
      </c>
      <c r="C20" s="86" t="str">
        <f t="shared" si="0"/>
        <v>(월)</v>
      </c>
      <c r="D20" s="84"/>
      <c r="E20" s="85"/>
      <c r="F20" s="86" t="str">
        <f t="shared" si="1"/>
        <v/>
      </c>
      <c r="G20" s="84"/>
      <c r="H20" s="85"/>
      <c r="I20" s="86" t="str">
        <f t="shared" si="2"/>
        <v/>
      </c>
      <c r="J20" s="87"/>
    </row>
    <row r="21" spans="1:10" ht="17.399999999999999">
      <c r="A21" s="118" t="s">
        <v>1077</v>
      </c>
      <c r="B21" s="119">
        <v>43501</v>
      </c>
      <c r="C21" s="86" t="str">
        <f t="shared" si="0"/>
        <v>(화)</v>
      </c>
      <c r="D21" s="84"/>
      <c r="E21" s="85"/>
      <c r="F21" s="86" t="str">
        <f t="shared" si="1"/>
        <v/>
      </c>
      <c r="G21" s="84"/>
      <c r="H21" s="85"/>
      <c r="I21" s="86" t="str">
        <f t="shared" si="2"/>
        <v/>
      </c>
    </row>
    <row r="22" spans="1:10" ht="17.399999999999999">
      <c r="A22" s="118" t="s">
        <v>1076</v>
      </c>
      <c r="B22" s="119">
        <v>43502</v>
      </c>
      <c r="C22" s="86" t="str">
        <f t="shared" si="0"/>
        <v>(수)</v>
      </c>
      <c r="D22" s="84"/>
      <c r="E22" s="85"/>
      <c r="F22" s="86" t="str">
        <f t="shared" si="1"/>
        <v/>
      </c>
      <c r="G22" s="84"/>
      <c r="H22" s="85"/>
      <c r="I22" s="86" t="str">
        <f t="shared" si="2"/>
        <v/>
      </c>
    </row>
    <row r="23" spans="1:10" ht="17.399999999999999">
      <c r="A23" s="118" t="s">
        <v>1078</v>
      </c>
      <c r="B23" s="119">
        <v>43525</v>
      </c>
      <c r="C23" s="86" t="str">
        <f t="shared" si="0"/>
        <v>(금)</v>
      </c>
      <c r="D23" s="84"/>
      <c r="E23" s="85"/>
      <c r="F23" s="86" t="str">
        <f t="shared" si="1"/>
        <v/>
      </c>
      <c r="G23" s="84"/>
      <c r="H23" s="85"/>
      <c r="I23" s="86" t="str">
        <f t="shared" si="2"/>
        <v/>
      </c>
    </row>
    <row r="24" spans="1:10" ht="17.399999999999999">
      <c r="A24" s="118" t="s">
        <v>1079</v>
      </c>
      <c r="B24" s="119">
        <v>43591</v>
      </c>
      <c r="C24" s="86" t="str">
        <f t="shared" si="0"/>
        <v>(월)</v>
      </c>
      <c r="D24" s="84"/>
      <c r="E24" s="85"/>
      <c r="F24" s="86" t="str">
        <f t="shared" si="1"/>
        <v/>
      </c>
      <c r="G24" s="84"/>
      <c r="H24" s="85"/>
      <c r="I24" s="86" t="str">
        <f t="shared" si="2"/>
        <v/>
      </c>
    </row>
    <row r="25" spans="1:10" ht="17.399999999999999">
      <c r="A25" s="118" t="s">
        <v>1080</v>
      </c>
      <c r="B25" s="119">
        <v>43622</v>
      </c>
      <c r="C25" s="86" t="str">
        <f t="shared" si="0"/>
        <v>(목)</v>
      </c>
      <c r="D25" s="84"/>
      <c r="E25" s="85"/>
      <c r="F25" s="86" t="str">
        <f t="shared" si="1"/>
        <v/>
      </c>
      <c r="G25" s="84"/>
      <c r="H25" s="85"/>
      <c r="I25" s="86" t="str">
        <f t="shared" si="2"/>
        <v/>
      </c>
    </row>
    <row r="26" spans="1:10" ht="17.399999999999999">
      <c r="A26" s="118" t="s">
        <v>1081</v>
      </c>
      <c r="B26" s="119">
        <v>43692</v>
      </c>
      <c r="C26" s="86" t="str">
        <f t="shared" si="0"/>
        <v>(목)</v>
      </c>
      <c r="D26" s="84"/>
      <c r="E26" s="85"/>
      <c r="F26" s="86" t="str">
        <f t="shared" si="1"/>
        <v/>
      </c>
      <c r="G26" s="84"/>
      <c r="H26" s="85"/>
      <c r="I26" s="86" t="str">
        <f t="shared" si="2"/>
        <v/>
      </c>
    </row>
    <row r="27" spans="1:10" ht="17.399999999999999">
      <c r="A27" s="118" t="s">
        <v>1082</v>
      </c>
      <c r="B27" s="119">
        <v>43720</v>
      </c>
      <c r="C27" s="86" t="str">
        <f t="shared" si="0"/>
        <v>(목)</v>
      </c>
      <c r="D27" s="84"/>
      <c r="E27" s="85"/>
      <c r="F27" s="86" t="str">
        <f t="shared" si="1"/>
        <v/>
      </c>
      <c r="G27" s="84"/>
      <c r="H27" s="85"/>
      <c r="I27" s="86" t="str">
        <f t="shared" si="2"/>
        <v/>
      </c>
    </row>
    <row r="28" spans="1:10" ht="17.399999999999999">
      <c r="A28" s="118" t="s">
        <v>1083</v>
      </c>
      <c r="B28" s="119">
        <v>43721</v>
      </c>
      <c r="C28" s="86" t="str">
        <f t="shared" si="0"/>
        <v>(금)</v>
      </c>
      <c r="D28" s="84"/>
      <c r="E28" s="85"/>
      <c r="F28" s="86" t="str">
        <f t="shared" si="1"/>
        <v/>
      </c>
      <c r="G28" s="84"/>
      <c r="H28" s="85"/>
      <c r="I28" s="86" t="str">
        <f t="shared" si="2"/>
        <v/>
      </c>
    </row>
    <row r="29" spans="1:10" ht="17.399999999999999">
      <c r="A29" s="118" t="s">
        <v>1084</v>
      </c>
      <c r="B29" s="119">
        <v>43741</v>
      </c>
      <c r="C29" s="86" t="str">
        <f t="shared" si="0"/>
        <v>(목)</v>
      </c>
      <c r="D29" s="84"/>
      <c r="E29" s="85"/>
      <c r="F29" s="86" t="str">
        <f t="shared" si="1"/>
        <v/>
      </c>
      <c r="G29" s="84"/>
      <c r="H29" s="85"/>
      <c r="I29" s="86" t="str">
        <f t="shared" si="2"/>
        <v/>
      </c>
    </row>
    <row r="30" spans="1:10" ht="17.399999999999999">
      <c r="A30" s="118" t="s">
        <v>1085</v>
      </c>
      <c r="B30" s="119">
        <v>43747</v>
      </c>
      <c r="C30" s="86" t="str">
        <f t="shared" si="0"/>
        <v>(수)</v>
      </c>
      <c r="D30" s="84"/>
      <c r="E30" s="85"/>
      <c r="F30" s="86" t="str">
        <f t="shared" si="1"/>
        <v/>
      </c>
      <c r="G30" s="84"/>
      <c r="H30" s="85"/>
      <c r="I30" s="86" t="str">
        <f t="shared" si="2"/>
        <v/>
      </c>
    </row>
    <row r="31" spans="1:10" ht="17.399999999999999">
      <c r="A31" s="118" t="s">
        <v>1086</v>
      </c>
      <c r="B31" s="119">
        <v>43824</v>
      </c>
      <c r="C31" s="86" t="str">
        <f t="shared" si="0"/>
        <v>(수)</v>
      </c>
      <c r="D31" s="84"/>
      <c r="E31" s="85"/>
      <c r="F31" s="86" t="str">
        <f t="shared" si="1"/>
        <v/>
      </c>
      <c r="G31" s="84"/>
      <c r="H31" s="85"/>
      <c r="I31" s="86" t="str">
        <f t="shared" si="2"/>
        <v/>
      </c>
    </row>
    <row r="32" spans="1:10">
      <c r="A32" s="118"/>
      <c r="B32" s="119"/>
      <c r="C32" s="86" t="str">
        <f t="shared" si="0"/>
        <v/>
      </c>
      <c r="D32" s="84"/>
      <c r="E32" s="85"/>
      <c r="F32" s="86" t="str">
        <f t="shared" si="1"/>
        <v/>
      </c>
      <c r="G32" s="84"/>
      <c r="H32" s="85"/>
      <c r="I32" s="86" t="str">
        <f t="shared" si="2"/>
        <v/>
      </c>
    </row>
    <row r="33" spans="1:9">
      <c r="A33" s="118"/>
      <c r="B33" s="119"/>
      <c r="C33" s="86" t="str">
        <f t="shared" si="0"/>
        <v/>
      </c>
      <c r="D33" s="84"/>
      <c r="E33" s="85"/>
      <c r="F33" s="86" t="str">
        <f t="shared" si="1"/>
        <v/>
      </c>
      <c r="G33" s="84"/>
      <c r="H33" s="85"/>
      <c r="I33" s="86" t="str">
        <f t="shared" si="2"/>
        <v/>
      </c>
    </row>
    <row r="34" spans="1:9">
      <c r="A34" s="118"/>
      <c r="B34" s="119"/>
      <c r="C34" s="86" t="str">
        <f t="shared" si="0"/>
        <v/>
      </c>
      <c r="D34" s="84"/>
      <c r="E34" s="85"/>
      <c r="F34" s="86" t="str">
        <f t="shared" si="1"/>
        <v/>
      </c>
      <c r="G34" s="84"/>
      <c r="H34" s="85"/>
      <c r="I34" s="86" t="str">
        <f t="shared" si="2"/>
        <v/>
      </c>
    </row>
    <row r="35" spans="1:9">
      <c r="A35" s="118"/>
      <c r="B35" s="119"/>
      <c r="C35" s="86" t="str">
        <f t="shared" si="0"/>
        <v/>
      </c>
      <c r="D35" s="84"/>
      <c r="E35" s="85"/>
      <c r="F35" s="86" t="str">
        <f t="shared" si="1"/>
        <v/>
      </c>
      <c r="G35" s="84"/>
      <c r="H35" s="85"/>
      <c r="I35" s="86" t="str">
        <f t="shared" si="2"/>
        <v/>
      </c>
    </row>
    <row r="36" spans="1:9">
      <c r="A36" s="118"/>
      <c r="B36" s="119"/>
      <c r="C36" s="86" t="str">
        <f t="shared" si="0"/>
        <v/>
      </c>
      <c r="D36" s="84"/>
      <c r="E36" s="85"/>
      <c r="F36" s="86" t="str">
        <f t="shared" si="1"/>
        <v/>
      </c>
      <c r="G36" s="84"/>
      <c r="H36" s="85"/>
      <c r="I36" s="86" t="str">
        <f t="shared" si="2"/>
        <v/>
      </c>
    </row>
    <row r="37" spans="1:9">
      <c r="A37" s="118"/>
      <c r="B37" s="119"/>
      <c r="C37" s="86" t="str">
        <f t="shared" si="0"/>
        <v/>
      </c>
      <c r="D37" s="84"/>
      <c r="E37" s="85"/>
      <c r="F37" s="86" t="str">
        <f t="shared" si="1"/>
        <v/>
      </c>
      <c r="G37" s="84"/>
      <c r="H37" s="85"/>
      <c r="I37" s="86" t="str">
        <f t="shared" si="2"/>
        <v/>
      </c>
    </row>
    <row r="38" spans="1:9">
      <c r="A38" s="118"/>
      <c r="B38" s="119"/>
      <c r="C38" s="86" t="str">
        <f t="shared" si="0"/>
        <v/>
      </c>
      <c r="D38" s="84"/>
      <c r="E38" s="85"/>
      <c r="F38" s="86" t="str">
        <f t="shared" si="1"/>
        <v/>
      </c>
      <c r="G38" s="84"/>
      <c r="H38" s="85"/>
      <c r="I38" s="86" t="str">
        <f t="shared" si="2"/>
        <v/>
      </c>
    </row>
    <row r="39" spans="1:9">
      <c r="A39" s="118"/>
      <c r="B39" s="119"/>
      <c r="C39" s="86" t="str">
        <f t="shared" si="0"/>
        <v/>
      </c>
      <c r="D39" s="84"/>
      <c r="E39" s="85"/>
      <c r="F39" s="86" t="str">
        <f t="shared" si="1"/>
        <v/>
      </c>
      <c r="G39" s="84"/>
      <c r="H39" s="85"/>
      <c r="I39" s="86" t="str">
        <f t="shared" si="2"/>
        <v/>
      </c>
    </row>
    <row r="40" spans="1:9">
      <c r="A40" s="118"/>
      <c r="B40" s="119"/>
      <c r="C40" s="86" t="str">
        <f t="shared" si="0"/>
        <v/>
      </c>
      <c r="D40" s="84"/>
      <c r="E40" s="85"/>
      <c r="F40" s="86" t="str">
        <f t="shared" si="1"/>
        <v/>
      </c>
      <c r="G40" s="84"/>
      <c r="H40" s="85"/>
      <c r="I40" s="86" t="str">
        <f t="shared" si="2"/>
        <v/>
      </c>
    </row>
    <row r="41" spans="1:9">
      <c r="A41" s="118"/>
      <c r="B41" s="119"/>
      <c r="C41" s="86" t="str">
        <f t="shared" si="0"/>
        <v/>
      </c>
      <c r="D41" s="84"/>
      <c r="E41" s="85"/>
      <c r="F41" s="86" t="str">
        <f t="shared" si="1"/>
        <v/>
      </c>
      <c r="G41" s="84"/>
      <c r="H41" s="85"/>
      <c r="I41" s="86" t="str">
        <f t="shared" si="2"/>
        <v/>
      </c>
    </row>
    <row r="42" spans="1:9">
      <c r="A42" s="118"/>
      <c r="B42" s="119"/>
      <c r="C42" s="86" t="str">
        <f t="shared" si="0"/>
        <v/>
      </c>
      <c r="D42" s="84"/>
      <c r="E42" s="85"/>
      <c r="F42" s="86" t="str">
        <f t="shared" si="1"/>
        <v/>
      </c>
      <c r="G42" s="84"/>
      <c r="H42" s="85"/>
      <c r="I42" s="86" t="str">
        <f t="shared" si="2"/>
        <v/>
      </c>
    </row>
    <row r="43" spans="1:9">
      <c r="A43" s="118"/>
      <c r="B43" s="119"/>
      <c r="C43" s="86" t="str">
        <f t="shared" si="0"/>
        <v/>
      </c>
      <c r="D43" s="84"/>
      <c r="E43" s="85"/>
      <c r="F43" s="86" t="str">
        <f t="shared" si="1"/>
        <v/>
      </c>
      <c r="G43" s="84"/>
      <c r="H43" s="85"/>
      <c r="I43" s="86" t="str">
        <f t="shared" si="2"/>
        <v/>
      </c>
    </row>
    <row r="44" spans="1:9">
      <c r="A44" s="118"/>
      <c r="B44" s="119"/>
      <c r="C44" s="86" t="str">
        <f t="shared" si="0"/>
        <v/>
      </c>
      <c r="D44" s="84"/>
      <c r="E44" s="85"/>
      <c r="F44" s="86" t="str">
        <f t="shared" si="1"/>
        <v/>
      </c>
      <c r="G44" s="84"/>
      <c r="H44" s="85"/>
      <c r="I44" s="86" t="str">
        <f t="shared" si="2"/>
        <v/>
      </c>
    </row>
    <row r="45" spans="1:9">
      <c r="A45" s="118"/>
      <c r="B45" s="119"/>
      <c r="C45" s="86" t="str">
        <f t="shared" si="0"/>
        <v/>
      </c>
      <c r="D45" s="84"/>
      <c r="E45" s="85"/>
      <c r="F45" s="86" t="str">
        <f t="shared" si="1"/>
        <v/>
      </c>
      <c r="G45" s="84"/>
      <c r="H45" s="85"/>
      <c r="I45" s="86" t="str">
        <f t="shared" si="2"/>
        <v/>
      </c>
    </row>
    <row r="46" spans="1:9">
      <c r="A46" s="118"/>
      <c r="B46" s="119"/>
      <c r="C46" s="86" t="str">
        <f t="shared" si="0"/>
        <v/>
      </c>
      <c r="D46" s="84"/>
      <c r="E46" s="85"/>
      <c r="F46" s="86" t="str">
        <f t="shared" si="1"/>
        <v/>
      </c>
      <c r="G46" s="84"/>
      <c r="H46" s="85"/>
      <c r="I46" s="86" t="str">
        <f t="shared" si="2"/>
        <v/>
      </c>
    </row>
    <row r="47" spans="1:9">
      <c r="A47" s="118"/>
      <c r="B47" s="119"/>
      <c r="C47" s="86" t="str">
        <f t="shared" si="0"/>
        <v/>
      </c>
      <c r="D47" s="84"/>
      <c r="E47" s="85"/>
      <c r="F47" s="86" t="str">
        <f t="shared" si="1"/>
        <v/>
      </c>
      <c r="G47" s="84"/>
      <c r="H47" s="85"/>
      <c r="I47" s="86" t="str">
        <f t="shared" si="2"/>
        <v/>
      </c>
    </row>
    <row r="48" spans="1:9">
      <c r="A48" s="118"/>
      <c r="B48" s="119"/>
      <c r="C48" s="86" t="str">
        <f t="shared" si="0"/>
        <v/>
      </c>
      <c r="D48" s="84"/>
      <c r="E48" s="85"/>
      <c r="F48" s="86" t="str">
        <f t="shared" si="1"/>
        <v/>
      </c>
      <c r="G48" s="84"/>
      <c r="H48" s="85"/>
      <c r="I48" s="86" t="str">
        <f t="shared" si="2"/>
        <v/>
      </c>
    </row>
    <row r="49" spans="1:9">
      <c r="A49" s="118"/>
      <c r="B49" s="119"/>
      <c r="C49" s="86" t="str">
        <f t="shared" si="0"/>
        <v/>
      </c>
      <c r="D49" s="84"/>
      <c r="E49" s="85"/>
      <c r="F49" s="86" t="str">
        <f t="shared" si="1"/>
        <v/>
      </c>
      <c r="G49" s="84"/>
      <c r="H49" s="85"/>
      <c r="I49" s="86" t="str">
        <f t="shared" si="2"/>
        <v/>
      </c>
    </row>
    <row r="50" spans="1:9">
      <c r="A50" s="118"/>
      <c r="B50" s="119"/>
      <c r="C50" s="86" t="str">
        <f t="shared" si="0"/>
        <v/>
      </c>
      <c r="D50" s="84"/>
      <c r="E50" s="85"/>
      <c r="F50" s="86" t="str">
        <f t="shared" si="1"/>
        <v/>
      </c>
      <c r="G50" s="84"/>
      <c r="H50" s="85"/>
      <c r="I50" s="86" t="str">
        <f t="shared" si="2"/>
        <v/>
      </c>
    </row>
    <row r="51" spans="1:9">
      <c r="A51" s="118"/>
      <c r="B51" s="119"/>
      <c r="C51" s="86" t="str">
        <f t="shared" si="0"/>
        <v/>
      </c>
      <c r="D51" s="84"/>
      <c r="E51" s="85"/>
      <c r="F51" s="86" t="str">
        <f t="shared" si="1"/>
        <v/>
      </c>
      <c r="G51" s="84"/>
      <c r="H51" s="85"/>
      <c r="I51" s="86" t="str">
        <f t="shared" si="2"/>
        <v/>
      </c>
    </row>
    <row r="52" spans="1:9">
      <c r="A52" s="118"/>
      <c r="B52" s="119"/>
      <c r="C52" s="86" t="str">
        <f t="shared" si="0"/>
        <v/>
      </c>
      <c r="D52" s="84"/>
      <c r="E52" s="85"/>
      <c r="F52" s="86" t="str">
        <f t="shared" si="1"/>
        <v/>
      </c>
      <c r="G52" s="84"/>
      <c r="H52" s="85"/>
      <c r="I52" s="86" t="str">
        <f t="shared" si="2"/>
        <v/>
      </c>
    </row>
    <row r="53" spans="1:9">
      <c r="A53" s="118"/>
      <c r="B53" s="119"/>
      <c r="C53" s="86" t="str">
        <f t="shared" si="0"/>
        <v/>
      </c>
      <c r="D53" s="84"/>
      <c r="E53" s="85"/>
      <c r="F53" s="86" t="str">
        <f t="shared" si="1"/>
        <v/>
      </c>
      <c r="G53" s="84"/>
      <c r="H53" s="85"/>
      <c r="I53" s="86" t="str">
        <f t="shared" si="2"/>
        <v/>
      </c>
    </row>
    <row r="54" spans="1:9">
      <c r="A54" s="118"/>
      <c r="B54" s="119"/>
      <c r="C54" s="86" t="str">
        <f t="shared" si="0"/>
        <v/>
      </c>
      <c r="D54" s="84"/>
      <c r="E54" s="85"/>
      <c r="F54" s="86" t="str">
        <f t="shared" si="1"/>
        <v/>
      </c>
      <c r="G54" s="84"/>
      <c r="H54" s="85"/>
      <c r="I54" s="86" t="str">
        <f t="shared" si="2"/>
        <v/>
      </c>
    </row>
    <row r="55" spans="1:9">
      <c r="A55" s="118"/>
      <c r="B55" s="119"/>
      <c r="C55" s="86" t="str">
        <f t="shared" si="0"/>
        <v/>
      </c>
      <c r="D55" s="84"/>
      <c r="E55" s="85"/>
      <c r="F55" s="86" t="str">
        <f t="shared" si="1"/>
        <v/>
      </c>
      <c r="G55" s="84"/>
      <c r="H55" s="85"/>
      <c r="I55" s="86" t="str">
        <f t="shared" si="2"/>
        <v/>
      </c>
    </row>
    <row r="56" spans="1:9">
      <c r="A56" s="118"/>
      <c r="B56" s="119"/>
      <c r="C56" s="86" t="str">
        <f t="shared" si="0"/>
        <v/>
      </c>
      <c r="D56" s="84"/>
      <c r="E56" s="85"/>
      <c r="F56" s="86" t="str">
        <f t="shared" si="1"/>
        <v/>
      </c>
      <c r="G56" s="84"/>
      <c r="H56" s="85"/>
      <c r="I56" s="86" t="str">
        <f t="shared" si="2"/>
        <v/>
      </c>
    </row>
    <row r="57" spans="1:9">
      <c r="A57" s="118"/>
      <c r="B57" s="119"/>
      <c r="C57" s="86" t="str">
        <f t="shared" si="0"/>
        <v/>
      </c>
      <c r="D57" s="84"/>
      <c r="E57" s="85"/>
      <c r="F57" s="86" t="str">
        <f t="shared" si="1"/>
        <v/>
      </c>
      <c r="G57" s="84"/>
      <c r="H57" s="85"/>
      <c r="I57" s="86" t="str">
        <f t="shared" si="2"/>
        <v/>
      </c>
    </row>
    <row r="58" spans="1:9">
      <c r="A58" s="118"/>
      <c r="B58" s="119"/>
      <c r="C58" s="86" t="str">
        <f t="shared" si="0"/>
        <v/>
      </c>
      <c r="D58" s="84"/>
      <c r="E58" s="85"/>
      <c r="F58" s="86" t="str">
        <f t="shared" si="1"/>
        <v/>
      </c>
      <c r="G58" s="84"/>
      <c r="H58" s="85"/>
      <c r="I58" s="86" t="str">
        <f t="shared" si="2"/>
        <v/>
      </c>
    </row>
    <row r="59" spans="1:9">
      <c r="A59" s="118"/>
      <c r="B59" s="119"/>
      <c r="C59" s="86" t="str">
        <f t="shared" si="0"/>
        <v/>
      </c>
      <c r="D59" s="84"/>
      <c r="E59" s="85"/>
      <c r="F59" s="86" t="str">
        <f t="shared" si="1"/>
        <v/>
      </c>
      <c r="G59" s="84"/>
      <c r="H59" s="85"/>
      <c r="I59" s="86" t="str">
        <f t="shared" si="2"/>
        <v/>
      </c>
    </row>
    <row r="60" spans="1:9">
      <c r="A60" s="118"/>
      <c r="B60" s="119"/>
      <c r="C60" s="86" t="str">
        <f t="shared" si="0"/>
        <v/>
      </c>
      <c r="D60" s="84"/>
      <c r="E60" s="85"/>
      <c r="F60" s="86" t="str">
        <f t="shared" si="1"/>
        <v/>
      </c>
      <c r="G60" s="84"/>
      <c r="H60" s="85"/>
      <c r="I60" s="86" t="str">
        <f t="shared" si="2"/>
        <v/>
      </c>
    </row>
    <row r="61" spans="1:9">
      <c r="A61" s="118"/>
      <c r="B61" s="119"/>
      <c r="C61" s="86" t="str">
        <f t="shared" si="0"/>
        <v/>
      </c>
      <c r="D61" s="84"/>
      <c r="E61" s="85"/>
      <c r="F61" s="86" t="str">
        <f t="shared" si="1"/>
        <v/>
      </c>
      <c r="G61" s="84"/>
      <c r="H61" s="85"/>
      <c r="I61" s="86" t="str">
        <f t="shared" si="2"/>
        <v/>
      </c>
    </row>
    <row r="62" spans="1:9">
      <c r="A62" s="118"/>
      <c r="B62" s="119"/>
      <c r="C62" s="86" t="str">
        <f t="shared" si="0"/>
        <v/>
      </c>
      <c r="D62" s="84"/>
      <c r="E62" s="85"/>
      <c r="F62" s="86" t="str">
        <f t="shared" si="1"/>
        <v/>
      </c>
      <c r="G62" s="84"/>
      <c r="H62" s="85"/>
      <c r="I62" s="86" t="str">
        <f t="shared" si="2"/>
        <v/>
      </c>
    </row>
    <row r="63" spans="1:9">
      <c r="A63" s="118"/>
      <c r="B63" s="119"/>
      <c r="C63" s="86" t="str">
        <f t="shared" si="0"/>
        <v/>
      </c>
      <c r="D63" s="84"/>
      <c r="E63" s="85"/>
      <c r="F63" s="86" t="str">
        <f t="shared" si="1"/>
        <v/>
      </c>
      <c r="G63" s="84"/>
      <c r="H63" s="85"/>
      <c r="I63" s="86" t="str">
        <f t="shared" si="2"/>
        <v/>
      </c>
    </row>
    <row r="64" spans="1:9">
      <c r="A64" s="118"/>
      <c r="B64" s="119"/>
      <c r="C64" s="86" t="str">
        <f t="shared" si="0"/>
        <v/>
      </c>
      <c r="D64" s="84"/>
      <c r="E64" s="85"/>
      <c r="F64" s="86" t="str">
        <f t="shared" si="1"/>
        <v/>
      </c>
      <c r="G64" s="84"/>
      <c r="H64" s="85"/>
      <c r="I64" s="86" t="str">
        <f t="shared" si="2"/>
        <v/>
      </c>
    </row>
    <row r="65" spans="1:9">
      <c r="A65" s="118"/>
      <c r="B65" s="119"/>
      <c r="C65" s="86" t="str">
        <f t="shared" si="0"/>
        <v/>
      </c>
      <c r="D65" s="84"/>
      <c r="E65" s="85"/>
      <c r="F65" s="86" t="str">
        <f t="shared" si="1"/>
        <v/>
      </c>
      <c r="G65" s="84"/>
      <c r="H65" s="85"/>
      <c r="I65" s="86" t="str">
        <f t="shared" si="2"/>
        <v/>
      </c>
    </row>
    <row r="66" spans="1:9">
      <c r="A66" s="118"/>
      <c r="B66" s="119"/>
      <c r="C66" s="86" t="str">
        <f t="shared" si="0"/>
        <v/>
      </c>
      <c r="D66" s="84"/>
      <c r="E66" s="85"/>
      <c r="F66" s="86" t="str">
        <f t="shared" si="1"/>
        <v/>
      </c>
      <c r="G66" s="84"/>
      <c r="H66" s="85"/>
      <c r="I66" s="86" t="str">
        <f t="shared" si="2"/>
        <v/>
      </c>
    </row>
    <row r="67" spans="1:9">
      <c r="A67" s="118"/>
      <c r="B67" s="119"/>
      <c r="C67" s="86" t="str">
        <f t="shared" si="0"/>
        <v/>
      </c>
      <c r="D67" s="84"/>
      <c r="E67" s="85"/>
      <c r="F67" s="86" t="str">
        <f t="shared" si="1"/>
        <v/>
      </c>
      <c r="G67" s="84"/>
      <c r="H67" s="85"/>
      <c r="I67" s="86" t="str">
        <f t="shared" si="2"/>
        <v/>
      </c>
    </row>
    <row r="68" spans="1:9">
      <c r="A68" s="118"/>
      <c r="B68" s="119"/>
      <c r="C68" s="86" t="str">
        <f t="shared" si="0"/>
        <v/>
      </c>
      <c r="D68" s="84"/>
      <c r="E68" s="85"/>
      <c r="F68" s="86" t="str">
        <f t="shared" si="1"/>
        <v/>
      </c>
      <c r="G68" s="84"/>
      <c r="H68" s="85"/>
      <c r="I68" s="86" t="str">
        <f t="shared" si="2"/>
        <v/>
      </c>
    </row>
    <row r="69" spans="1:9">
      <c r="A69" s="118"/>
      <c r="B69" s="119"/>
      <c r="C69" s="86" t="str">
        <f t="shared" ref="C69:C132" si="3">IF(B69&gt;0,TEXT(B69,"(aaa)"),"")</f>
        <v/>
      </c>
      <c r="D69" s="84"/>
      <c r="E69" s="85"/>
      <c r="F69" s="86" t="str">
        <f t="shared" ref="F69:F132" si="4">IF(E69&gt;0,TEXT(E69,"(aaa)"),"")</f>
        <v/>
      </c>
      <c r="G69" s="84"/>
      <c r="H69" s="85"/>
      <c r="I69" s="86" t="str">
        <f t="shared" ref="I69:I132" si="5">IF(H69&gt;0,TEXT(H69,"(aaa)"),"")</f>
        <v/>
      </c>
    </row>
    <row r="70" spans="1:9">
      <c r="A70" s="118"/>
      <c r="B70" s="119"/>
      <c r="C70" s="86" t="str">
        <f t="shared" si="3"/>
        <v/>
      </c>
      <c r="D70" s="84"/>
      <c r="E70" s="85"/>
      <c r="F70" s="86" t="str">
        <f t="shared" si="4"/>
        <v/>
      </c>
      <c r="G70" s="84"/>
      <c r="H70" s="85"/>
      <c r="I70" s="86" t="str">
        <f t="shared" si="5"/>
        <v/>
      </c>
    </row>
    <row r="71" spans="1:9">
      <c r="A71" s="118"/>
      <c r="B71" s="119"/>
      <c r="C71" s="86" t="str">
        <f t="shared" si="3"/>
        <v/>
      </c>
      <c r="D71" s="84"/>
      <c r="E71" s="85"/>
      <c r="F71" s="86" t="str">
        <f t="shared" si="4"/>
        <v/>
      </c>
      <c r="G71" s="84"/>
      <c r="H71" s="85"/>
      <c r="I71" s="86" t="str">
        <f t="shared" si="5"/>
        <v/>
      </c>
    </row>
    <row r="72" spans="1:9">
      <c r="A72" s="118"/>
      <c r="B72" s="119"/>
      <c r="C72" s="86" t="str">
        <f t="shared" si="3"/>
        <v/>
      </c>
      <c r="D72" s="84"/>
      <c r="E72" s="85"/>
      <c r="F72" s="86" t="str">
        <f t="shared" si="4"/>
        <v/>
      </c>
      <c r="G72" s="84"/>
      <c r="H72" s="85"/>
      <c r="I72" s="86" t="str">
        <f t="shared" si="5"/>
        <v/>
      </c>
    </row>
    <row r="73" spans="1:9">
      <c r="A73" s="118"/>
      <c r="B73" s="119"/>
      <c r="C73" s="86" t="str">
        <f t="shared" si="3"/>
        <v/>
      </c>
      <c r="D73" s="84"/>
      <c r="E73" s="85"/>
      <c r="F73" s="86" t="str">
        <f t="shared" si="4"/>
        <v/>
      </c>
      <c r="G73" s="84"/>
      <c r="H73" s="85"/>
      <c r="I73" s="86" t="str">
        <f t="shared" si="5"/>
        <v/>
      </c>
    </row>
    <row r="74" spans="1:9">
      <c r="A74" s="118"/>
      <c r="B74" s="119"/>
      <c r="C74" s="86" t="str">
        <f t="shared" si="3"/>
        <v/>
      </c>
      <c r="D74" s="84"/>
      <c r="E74" s="85"/>
      <c r="F74" s="86" t="str">
        <f t="shared" si="4"/>
        <v/>
      </c>
      <c r="G74" s="84"/>
      <c r="H74" s="85"/>
      <c r="I74" s="86" t="str">
        <f t="shared" si="5"/>
        <v/>
      </c>
    </row>
    <row r="75" spans="1:9">
      <c r="A75" s="118"/>
      <c r="B75" s="119"/>
      <c r="C75" s="86" t="str">
        <f t="shared" si="3"/>
        <v/>
      </c>
      <c r="D75" s="84"/>
      <c r="E75" s="85"/>
      <c r="F75" s="86" t="str">
        <f t="shared" si="4"/>
        <v/>
      </c>
      <c r="G75" s="84"/>
      <c r="H75" s="85"/>
      <c r="I75" s="86" t="str">
        <f t="shared" si="5"/>
        <v/>
      </c>
    </row>
    <row r="76" spans="1:9">
      <c r="A76" s="118"/>
      <c r="B76" s="119"/>
      <c r="C76" s="86" t="str">
        <f t="shared" si="3"/>
        <v/>
      </c>
      <c r="D76" s="84"/>
      <c r="E76" s="85"/>
      <c r="F76" s="86" t="str">
        <f t="shared" si="4"/>
        <v/>
      </c>
      <c r="G76" s="84"/>
      <c r="H76" s="85"/>
      <c r="I76" s="86" t="str">
        <f t="shared" si="5"/>
        <v/>
      </c>
    </row>
    <row r="77" spans="1:9">
      <c r="A77" s="118"/>
      <c r="B77" s="119"/>
      <c r="C77" s="86" t="str">
        <f t="shared" si="3"/>
        <v/>
      </c>
      <c r="D77" s="84"/>
      <c r="E77" s="85"/>
      <c r="F77" s="86" t="str">
        <f t="shared" si="4"/>
        <v/>
      </c>
      <c r="G77" s="84"/>
      <c r="H77" s="85"/>
      <c r="I77" s="86" t="str">
        <f t="shared" si="5"/>
        <v/>
      </c>
    </row>
    <row r="78" spans="1:9">
      <c r="A78" s="118"/>
      <c r="B78" s="119"/>
      <c r="C78" s="86" t="str">
        <f t="shared" si="3"/>
        <v/>
      </c>
      <c r="D78" s="84"/>
      <c r="E78" s="85"/>
      <c r="F78" s="86" t="str">
        <f t="shared" si="4"/>
        <v/>
      </c>
      <c r="G78" s="84"/>
      <c r="H78" s="85"/>
      <c r="I78" s="86" t="str">
        <f t="shared" si="5"/>
        <v/>
      </c>
    </row>
    <row r="79" spans="1:9">
      <c r="A79" s="118"/>
      <c r="B79" s="119"/>
      <c r="C79" s="86" t="str">
        <f t="shared" si="3"/>
        <v/>
      </c>
      <c r="D79" s="84"/>
      <c r="E79" s="85"/>
      <c r="F79" s="86" t="str">
        <f t="shared" si="4"/>
        <v/>
      </c>
      <c r="G79" s="84"/>
      <c r="H79" s="85"/>
      <c r="I79" s="86" t="str">
        <f t="shared" si="5"/>
        <v/>
      </c>
    </row>
    <row r="80" spans="1:9">
      <c r="A80" s="118"/>
      <c r="B80" s="119"/>
      <c r="C80" s="86" t="str">
        <f t="shared" si="3"/>
        <v/>
      </c>
      <c r="D80" s="84"/>
      <c r="E80" s="85"/>
      <c r="F80" s="86" t="str">
        <f t="shared" si="4"/>
        <v/>
      </c>
      <c r="G80" s="84"/>
      <c r="H80" s="85"/>
      <c r="I80" s="86" t="str">
        <f t="shared" si="5"/>
        <v/>
      </c>
    </row>
    <row r="81" spans="1:9">
      <c r="A81" s="118"/>
      <c r="B81" s="119"/>
      <c r="C81" s="86" t="str">
        <f t="shared" si="3"/>
        <v/>
      </c>
      <c r="D81" s="84"/>
      <c r="E81" s="85"/>
      <c r="F81" s="86" t="str">
        <f t="shared" si="4"/>
        <v/>
      </c>
      <c r="G81" s="84"/>
      <c r="H81" s="85"/>
      <c r="I81" s="86" t="str">
        <f t="shared" si="5"/>
        <v/>
      </c>
    </row>
    <row r="82" spans="1:9">
      <c r="A82" s="118"/>
      <c r="B82" s="119"/>
      <c r="C82" s="86" t="str">
        <f t="shared" si="3"/>
        <v/>
      </c>
      <c r="D82" s="84"/>
      <c r="E82" s="85"/>
      <c r="F82" s="86" t="str">
        <f t="shared" si="4"/>
        <v/>
      </c>
      <c r="G82" s="84"/>
      <c r="H82" s="85"/>
      <c r="I82" s="86" t="str">
        <f t="shared" si="5"/>
        <v/>
      </c>
    </row>
    <row r="83" spans="1:9">
      <c r="A83" s="118"/>
      <c r="B83" s="119"/>
      <c r="C83" s="86" t="str">
        <f t="shared" si="3"/>
        <v/>
      </c>
      <c r="D83" s="84"/>
      <c r="E83" s="85"/>
      <c r="F83" s="86" t="str">
        <f t="shared" si="4"/>
        <v/>
      </c>
      <c r="G83" s="84"/>
      <c r="H83" s="85"/>
      <c r="I83" s="86" t="str">
        <f t="shared" si="5"/>
        <v/>
      </c>
    </row>
    <row r="84" spans="1:9">
      <c r="A84" s="118"/>
      <c r="B84" s="119"/>
      <c r="C84" s="86" t="str">
        <f t="shared" si="3"/>
        <v/>
      </c>
      <c r="D84" s="84"/>
      <c r="E84" s="85"/>
      <c r="F84" s="86" t="str">
        <f t="shared" si="4"/>
        <v/>
      </c>
      <c r="G84" s="84"/>
      <c r="H84" s="85"/>
      <c r="I84" s="86" t="str">
        <f t="shared" si="5"/>
        <v/>
      </c>
    </row>
    <row r="85" spans="1:9">
      <c r="A85" s="118"/>
      <c r="B85" s="119"/>
      <c r="C85" s="86" t="str">
        <f t="shared" si="3"/>
        <v/>
      </c>
      <c r="D85" s="84"/>
      <c r="E85" s="85"/>
      <c r="F85" s="86" t="str">
        <f t="shared" si="4"/>
        <v/>
      </c>
      <c r="G85" s="84"/>
      <c r="H85" s="85"/>
      <c r="I85" s="86" t="str">
        <f t="shared" si="5"/>
        <v/>
      </c>
    </row>
    <row r="86" spans="1:9">
      <c r="A86" s="118"/>
      <c r="B86" s="119"/>
      <c r="C86" s="86" t="str">
        <f t="shared" si="3"/>
        <v/>
      </c>
      <c r="D86" s="84"/>
      <c r="E86" s="85"/>
      <c r="F86" s="86" t="str">
        <f t="shared" si="4"/>
        <v/>
      </c>
      <c r="G86" s="84"/>
      <c r="H86" s="85"/>
      <c r="I86" s="86" t="str">
        <f t="shared" si="5"/>
        <v/>
      </c>
    </row>
    <row r="87" spans="1:9">
      <c r="A87" s="118"/>
      <c r="B87" s="119"/>
      <c r="C87" s="86" t="str">
        <f t="shared" si="3"/>
        <v/>
      </c>
      <c r="D87" s="84"/>
      <c r="E87" s="85"/>
      <c r="F87" s="86" t="str">
        <f t="shared" si="4"/>
        <v/>
      </c>
      <c r="G87" s="84"/>
      <c r="H87" s="85"/>
      <c r="I87" s="86" t="str">
        <f t="shared" si="5"/>
        <v/>
      </c>
    </row>
    <row r="88" spans="1:9">
      <c r="A88" s="118"/>
      <c r="B88" s="119"/>
      <c r="C88" s="86" t="str">
        <f t="shared" si="3"/>
        <v/>
      </c>
      <c r="D88" s="84"/>
      <c r="E88" s="85"/>
      <c r="F88" s="86" t="str">
        <f t="shared" si="4"/>
        <v/>
      </c>
      <c r="G88" s="84"/>
      <c r="H88" s="85"/>
      <c r="I88" s="86" t="str">
        <f t="shared" si="5"/>
        <v/>
      </c>
    </row>
    <row r="89" spans="1:9">
      <c r="A89" s="118"/>
      <c r="B89" s="119"/>
      <c r="C89" s="86" t="str">
        <f t="shared" si="3"/>
        <v/>
      </c>
      <c r="D89" s="84"/>
      <c r="E89" s="85"/>
      <c r="F89" s="86" t="str">
        <f t="shared" si="4"/>
        <v/>
      </c>
      <c r="G89" s="84"/>
      <c r="H89" s="85"/>
      <c r="I89" s="86" t="str">
        <f t="shared" si="5"/>
        <v/>
      </c>
    </row>
    <row r="90" spans="1:9">
      <c r="A90" s="118"/>
      <c r="B90" s="119"/>
      <c r="C90" s="86" t="str">
        <f t="shared" si="3"/>
        <v/>
      </c>
      <c r="D90" s="84"/>
      <c r="E90" s="85"/>
      <c r="F90" s="86" t="str">
        <f t="shared" si="4"/>
        <v/>
      </c>
      <c r="G90" s="84"/>
      <c r="H90" s="85"/>
      <c r="I90" s="86" t="str">
        <f t="shared" si="5"/>
        <v/>
      </c>
    </row>
    <row r="91" spans="1:9">
      <c r="A91" s="118"/>
      <c r="B91" s="119"/>
      <c r="C91" s="86" t="str">
        <f t="shared" si="3"/>
        <v/>
      </c>
      <c r="D91" s="84"/>
      <c r="E91" s="85"/>
      <c r="F91" s="86" t="str">
        <f t="shared" si="4"/>
        <v/>
      </c>
      <c r="G91" s="84"/>
      <c r="H91" s="85"/>
      <c r="I91" s="86" t="str">
        <f t="shared" si="5"/>
        <v/>
      </c>
    </row>
    <row r="92" spans="1:9">
      <c r="A92" s="118"/>
      <c r="B92" s="119"/>
      <c r="C92" s="86" t="str">
        <f t="shared" si="3"/>
        <v/>
      </c>
      <c r="D92" s="84"/>
      <c r="E92" s="85"/>
      <c r="F92" s="86" t="str">
        <f t="shared" si="4"/>
        <v/>
      </c>
      <c r="G92" s="84"/>
      <c r="H92" s="85"/>
      <c r="I92" s="86" t="str">
        <f t="shared" si="5"/>
        <v/>
      </c>
    </row>
    <row r="93" spans="1:9">
      <c r="A93" s="118"/>
      <c r="B93" s="119"/>
      <c r="C93" s="86" t="str">
        <f t="shared" si="3"/>
        <v/>
      </c>
      <c r="D93" s="84"/>
      <c r="E93" s="85"/>
      <c r="F93" s="86" t="str">
        <f t="shared" si="4"/>
        <v/>
      </c>
      <c r="G93" s="84"/>
      <c r="H93" s="85"/>
      <c r="I93" s="86" t="str">
        <f t="shared" si="5"/>
        <v/>
      </c>
    </row>
    <row r="94" spans="1:9">
      <c r="A94" s="118"/>
      <c r="B94" s="119"/>
      <c r="C94" s="86" t="str">
        <f t="shared" si="3"/>
        <v/>
      </c>
      <c r="D94" s="84"/>
      <c r="E94" s="85"/>
      <c r="F94" s="86" t="str">
        <f t="shared" si="4"/>
        <v/>
      </c>
      <c r="G94" s="84"/>
      <c r="H94" s="85"/>
      <c r="I94" s="86" t="str">
        <f t="shared" si="5"/>
        <v/>
      </c>
    </row>
    <row r="95" spans="1:9">
      <c r="A95" s="118"/>
      <c r="B95" s="119"/>
      <c r="C95" s="86" t="str">
        <f t="shared" si="3"/>
        <v/>
      </c>
      <c r="D95" s="84"/>
      <c r="E95" s="85"/>
      <c r="F95" s="86" t="str">
        <f t="shared" si="4"/>
        <v/>
      </c>
      <c r="G95" s="84"/>
      <c r="H95" s="85"/>
      <c r="I95" s="86" t="str">
        <f t="shared" si="5"/>
        <v/>
      </c>
    </row>
    <row r="96" spans="1:9">
      <c r="A96" s="118"/>
      <c r="B96" s="119"/>
      <c r="C96" s="86" t="str">
        <f t="shared" si="3"/>
        <v/>
      </c>
      <c r="D96" s="84"/>
      <c r="E96" s="85"/>
      <c r="F96" s="86" t="str">
        <f t="shared" si="4"/>
        <v/>
      </c>
      <c r="G96" s="84"/>
      <c r="H96" s="85"/>
      <c r="I96" s="86" t="str">
        <f t="shared" si="5"/>
        <v/>
      </c>
    </row>
    <row r="97" spans="1:9">
      <c r="A97" s="118"/>
      <c r="B97" s="119"/>
      <c r="C97" s="86" t="str">
        <f t="shared" si="3"/>
        <v/>
      </c>
      <c r="D97" s="84"/>
      <c r="E97" s="85"/>
      <c r="F97" s="86" t="str">
        <f t="shared" si="4"/>
        <v/>
      </c>
      <c r="G97" s="84"/>
      <c r="H97" s="85"/>
      <c r="I97" s="86" t="str">
        <f t="shared" si="5"/>
        <v/>
      </c>
    </row>
    <row r="98" spans="1:9">
      <c r="A98" s="118"/>
      <c r="B98" s="119"/>
      <c r="C98" s="86" t="str">
        <f t="shared" si="3"/>
        <v/>
      </c>
      <c r="D98" s="84"/>
      <c r="E98" s="85"/>
      <c r="F98" s="86" t="str">
        <f t="shared" si="4"/>
        <v/>
      </c>
      <c r="G98" s="84"/>
      <c r="H98" s="85"/>
      <c r="I98" s="86" t="str">
        <f t="shared" si="5"/>
        <v/>
      </c>
    </row>
    <row r="99" spans="1:9">
      <c r="A99" s="118"/>
      <c r="B99" s="119"/>
      <c r="C99" s="86" t="str">
        <f t="shared" si="3"/>
        <v/>
      </c>
      <c r="D99" s="84"/>
      <c r="E99" s="85"/>
      <c r="F99" s="86" t="str">
        <f t="shared" si="4"/>
        <v/>
      </c>
      <c r="G99" s="84"/>
      <c r="H99" s="85"/>
      <c r="I99" s="86" t="str">
        <f t="shared" si="5"/>
        <v/>
      </c>
    </row>
    <row r="100" spans="1:9">
      <c r="A100" s="118"/>
      <c r="B100" s="119"/>
      <c r="C100" s="86" t="str">
        <f t="shared" si="3"/>
        <v/>
      </c>
      <c r="D100" s="84"/>
      <c r="E100" s="85"/>
      <c r="F100" s="86" t="str">
        <f t="shared" si="4"/>
        <v/>
      </c>
      <c r="G100" s="84"/>
      <c r="H100" s="85"/>
      <c r="I100" s="86" t="str">
        <f t="shared" si="5"/>
        <v/>
      </c>
    </row>
    <row r="101" spans="1:9">
      <c r="A101" s="118"/>
      <c r="B101" s="119"/>
      <c r="C101" s="86" t="str">
        <f t="shared" si="3"/>
        <v/>
      </c>
      <c r="D101" s="84"/>
      <c r="E101" s="85"/>
      <c r="F101" s="86" t="str">
        <f t="shared" si="4"/>
        <v/>
      </c>
      <c r="G101" s="84"/>
      <c r="H101" s="85"/>
      <c r="I101" s="86" t="str">
        <f t="shared" si="5"/>
        <v/>
      </c>
    </row>
    <row r="102" spans="1:9">
      <c r="A102" s="118"/>
      <c r="B102" s="119"/>
      <c r="C102" s="86" t="str">
        <f t="shared" si="3"/>
        <v/>
      </c>
      <c r="D102" s="84"/>
      <c r="E102" s="85"/>
      <c r="F102" s="86" t="str">
        <f t="shared" si="4"/>
        <v/>
      </c>
      <c r="G102" s="84"/>
      <c r="H102" s="85"/>
      <c r="I102" s="86" t="str">
        <f t="shared" si="5"/>
        <v/>
      </c>
    </row>
    <row r="103" spans="1:9">
      <c r="A103" s="118"/>
      <c r="B103" s="119"/>
      <c r="C103" s="86" t="str">
        <f t="shared" si="3"/>
        <v/>
      </c>
      <c r="D103" s="84"/>
      <c r="E103" s="85"/>
      <c r="F103" s="86" t="str">
        <f t="shared" si="4"/>
        <v/>
      </c>
      <c r="G103" s="84"/>
      <c r="H103" s="85"/>
      <c r="I103" s="86" t="str">
        <f t="shared" si="5"/>
        <v/>
      </c>
    </row>
    <row r="104" spans="1:9">
      <c r="A104" s="118"/>
      <c r="B104" s="119"/>
      <c r="C104" s="86" t="str">
        <f t="shared" si="3"/>
        <v/>
      </c>
      <c r="D104" s="84"/>
      <c r="E104" s="85"/>
      <c r="F104" s="86" t="str">
        <f t="shared" si="4"/>
        <v/>
      </c>
      <c r="G104" s="84"/>
      <c r="H104" s="85"/>
      <c r="I104" s="86" t="str">
        <f t="shared" si="5"/>
        <v/>
      </c>
    </row>
    <row r="105" spans="1:9">
      <c r="A105" s="118"/>
      <c r="B105" s="119"/>
      <c r="C105" s="86" t="str">
        <f t="shared" si="3"/>
        <v/>
      </c>
      <c r="D105" s="84"/>
      <c r="E105" s="85"/>
      <c r="F105" s="86" t="str">
        <f t="shared" si="4"/>
        <v/>
      </c>
      <c r="G105" s="84"/>
      <c r="H105" s="85"/>
      <c r="I105" s="86" t="str">
        <f t="shared" si="5"/>
        <v/>
      </c>
    </row>
    <row r="106" spans="1:9">
      <c r="A106" s="118"/>
      <c r="B106" s="119"/>
      <c r="C106" s="86" t="str">
        <f t="shared" si="3"/>
        <v/>
      </c>
      <c r="D106" s="84"/>
      <c r="E106" s="85"/>
      <c r="F106" s="86" t="str">
        <f t="shared" si="4"/>
        <v/>
      </c>
      <c r="G106" s="84"/>
      <c r="H106" s="85"/>
      <c r="I106" s="86" t="str">
        <f t="shared" si="5"/>
        <v/>
      </c>
    </row>
    <row r="107" spans="1:9">
      <c r="A107" s="118"/>
      <c r="B107" s="119"/>
      <c r="C107" s="86" t="str">
        <f t="shared" si="3"/>
        <v/>
      </c>
      <c r="D107" s="84"/>
      <c r="E107" s="85"/>
      <c r="F107" s="86" t="str">
        <f t="shared" si="4"/>
        <v/>
      </c>
      <c r="G107" s="84"/>
      <c r="H107" s="85"/>
      <c r="I107" s="86" t="str">
        <f t="shared" si="5"/>
        <v/>
      </c>
    </row>
    <row r="108" spans="1:9">
      <c r="A108" s="118"/>
      <c r="B108" s="119"/>
      <c r="C108" s="86" t="str">
        <f t="shared" si="3"/>
        <v/>
      </c>
      <c r="D108" s="84"/>
      <c r="E108" s="85"/>
      <c r="F108" s="86" t="str">
        <f t="shared" si="4"/>
        <v/>
      </c>
      <c r="G108" s="84"/>
      <c r="H108" s="85"/>
      <c r="I108" s="86" t="str">
        <f t="shared" si="5"/>
        <v/>
      </c>
    </row>
    <row r="109" spans="1:9">
      <c r="A109" s="118"/>
      <c r="B109" s="119"/>
      <c r="C109" s="86" t="str">
        <f t="shared" si="3"/>
        <v/>
      </c>
      <c r="D109" s="84"/>
      <c r="E109" s="85"/>
      <c r="F109" s="86" t="str">
        <f t="shared" si="4"/>
        <v/>
      </c>
      <c r="G109" s="84"/>
      <c r="H109" s="85"/>
      <c r="I109" s="86" t="str">
        <f t="shared" si="5"/>
        <v/>
      </c>
    </row>
    <row r="110" spans="1:9">
      <c r="A110" s="118"/>
      <c r="B110" s="119"/>
      <c r="C110" s="86" t="str">
        <f t="shared" si="3"/>
        <v/>
      </c>
      <c r="D110" s="84"/>
      <c r="E110" s="85"/>
      <c r="F110" s="86" t="str">
        <f t="shared" si="4"/>
        <v/>
      </c>
      <c r="G110" s="84"/>
      <c r="H110" s="85"/>
      <c r="I110" s="86" t="str">
        <f t="shared" si="5"/>
        <v/>
      </c>
    </row>
    <row r="111" spans="1:9">
      <c r="A111" s="118"/>
      <c r="B111" s="119"/>
      <c r="C111" s="86" t="str">
        <f t="shared" si="3"/>
        <v/>
      </c>
      <c r="D111" s="84"/>
      <c r="E111" s="85"/>
      <c r="F111" s="86" t="str">
        <f t="shared" si="4"/>
        <v/>
      </c>
      <c r="G111" s="84"/>
      <c r="H111" s="85"/>
      <c r="I111" s="86" t="str">
        <f t="shared" si="5"/>
        <v/>
      </c>
    </row>
    <row r="112" spans="1:9">
      <c r="A112" s="118"/>
      <c r="B112" s="119"/>
      <c r="C112" s="86" t="str">
        <f t="shared" si="3"/>
        <v/>
      </c>
      <c r="D112" s="84"/>
      <c r="E112" s="85"/>
      <c r="F112" s="86" t="str">
        <f t="shared" si="4"/>
        <v/>
      </c>
      <c r="G112" s="84"/>
      <c r="H112" s="85"/>
      <c r="I112" s="86" t="str">
        <f t="shared" si="5"/>
        <v/>
      </c>
    </row>
    <row r="113" spans="1:9">
      <c r="A113" s="118"/>
      <c r="B113" s="119"/>
      <c r="C113" s="86" t="str">
        <f t="shared" si="3"/>
        <v/>
      </c>
      <c r="D113" s="84"/>
      <c r="E113" s="85"/>
      <c r="F113" s="86" t="str">
        <f t="shared" si="4"/>
        <v/>
      </c>
      <c r="G113" s="84"/>
      <c r="H113" s="85"/>
      <c r="I113" s="86" t="str">
        <f t="shared" si="5"/>
        <v/>
      </c>
    </row>
    <row r="114" spans="1:9">
      <c r="A114" s="118"/>
      <c r="B114" s="119"/>
      <c r="C114" s="86" t="str">
        <f t="shared" si="3"/>
        <v/>
      </c>
      <c r="D114" s="84"/>
      <c r="E114" s="85"/>
      <c r="F114" s="86" t="str">
        <f t="shared" si="4"/>
        <v/>
      </c>
      <c r="G114" s="84"/>
      <c r="H114" s="85"/>
      <c r="I114" s="86" t="str">
        <f t="shared" si="5"/>
        <v/>
      </c>
    </row>
    <row r="115" spans="1:9">
      <c r="A115" s="118"/>
      <c r="B115" s="119"/>
      <c r="C115" s="86" t="str">
        <f t="shared" si="3"/>
        <v/>
      </c>
      <c r="D115" s="84"/>
      <c r="E115" s="85"/>
      <c r="F115" s="86" t="str">
        <f t="shared" si="4"/>
        <v/>
      </c>
      <c r="G115" s="84"/>
      <c r="H115" s="85"/>
      <c r="I115" s="86" t="str">
        <f t="shared" si="5"/>
        <v/>
      </c>
    </row>
    <row r="116" spans="1:9">
      <c r="A116" s="118"/>
      <c r="B116" s="119"/>
      <c r="C116" s="86" t="str">
        <f t="shared" si="3"/>
        <v/>
      </c>
      <c r="D116" s="84"/>
      <c r="E116" s="85"/>
      <c r="F116" s="86" t="str">
        <f t="shared" si="4"/>
        <v/>
      </c>
      <c r="G116" s="84"/>
      <c r="H116" s="85"/>
      <c r="I116" s="86" t="str">
        <f t="shared" si="5"/>
        <v/>
      </c>
    </row>
    <row r="117" spans="1:9">
      <c r="A117" s="118"/>
      <c r="B117" s="119"/>
      <c r="C117" s="86" t="str">
        <f t="shared" si="3"/>
        <v/>
      </c>
      <c r="D117" s="84"/>
      <c r="E117" s="85"/>
      <c r="F117" s="86" t="str">
        <f t="shared" si="4"/>
        <v/>
      </c>
      <c r="G117" s="84"/>
      <c r="H117" s="85"/>
      <c r="I117" s="86" t="str">
        <f t="shared" si="5"/>
        <v/>
      </c>
    </row>
    <row r="118" spans="1:9">
      <c r="A118" s="118"/>
      <c r="B118" s="119"/>
      <c r="C118" s="86" t="str">
        <f t="shared" si="3"/>
        <v/>
      </c>
      <c r="D118" s="84"/>
      <c r="E118" s="85"/>
      <c r="F118" s="86" t="str">
        <f t="shared" si="4"/>
        <v/>
      </c>
      <c r="G118" s="84"/>
      <c r="H118" s="85"/>
      <c r="I118" s="86" t="str">
        <f t="shared" si="5"/>
        <v/>
      </c>
    </row>
    <row r="119" spans="1:9">
      <c r="A119" s="118"/>
      <c r="B119" s="119"/>
      <c r="C119" s="86" t="str">
        <f t="shared" si="3"/>
        <v/>
      </c>
      <c r="D119" s="84"/>
      <c r="E119" s="85"/>
      <c r="F119" s="86" t="str">
        <f t="shared" si="4"/>
        <v/>
      </c>
      <c r="G119" s="84"/>
      <c r="H119" s="85"/>
      <c r="I119" s="86" t="str">
        <f t="shared" si="5"/>
        <v/>
      </c>
    </row>
    <row r="120" spans="1:9">
      <c r="A120" s="118"/>
      <c r="B120" s="119"/>
      <c r="C120" s="86" t="str">
        <f t="shared" si="3"/>
        <v/>
      </c>
      <c r="D120" s="84"/>
      <c r="E120" s="85"/>
      <c r="F120" s="86" t="str">
        <f t="shared" si="4"/>
        <v/>
      </c>
      <c r="G120" s="84"/>
      <c r="H120" s="85"/>
      <c r="I120" s="86" t="str">
        <f t="shared" si="5"/>
        <v/>
      </c>
    </row>
    <row r="121" spans="1:9">
      <c r="A121" s="118"/>
      <c r="B121" s="119"/>
      <c r="C121" s="86" t="str">
        <f t="shared" si="3"/>
        <v/>
      </c>
      <c r="D121" s="84"/>
      <c r="E121" s="85"/>
      <c r="F121" s="86" t="str">
        <f t="shared" si="4"/>
        <v/>
      </c>
      <c r="G121" s="84"/>
      <c r="H121" s="85"/>
      <c r="I121" s="86" t="str">
        <f t="shared" si="5"/>
        <v/>
      </c>
    </row>
    <row r="122" spans="1:9">
      <c r="A122" s="118"/>
      <c r="B122" s="119"/>
      <c r="C122" s="86" t="str">
        <f t="shared" si="3"/>
        <v/>
      </c>
      <c r="D122" s="84"/>
      <c r="E122" s="85"/>
      <c r="F122" s="86" t="str">
        <f t="shared" si="4"/>
        <v/>
      </c>
      <c r="G122" s="84"/>
      <c r="H122" s="85"/>
      <c r="I122" s="86" t="str">
        <f t="shared" si="5"/>
        <v/>
      </c>
    </row>
    <row r="123" spans="1:9">
      <c r="A123" s="118"/>
      <c r="B123" s="120"/>
      <c r="C123" s="86" t="str">
        <f t="shared" si="3"/>
        <v/>
      </c>
      <c r="D123" s="84"/>
      <c r="E123" s="85"/>
      <c r="F123" s="86" t="str">
        <f t="shared" si="4"/>
        <v/>
      </c>
      <c r="G123" s="84"/>
      <c r="H123" s="85"/>
      <c r="I123" s="86" t="str">
        <f t="shared" si="5"/>
        <v/>
      </c>
    </row>
    <row r="124" spans="1:9">
      <c r="A124" s="118"/>
      <c r="B124" s="119"/>
      <c r="C124" s="86" t="str">
        <f t="shared" si="3"/>
        <v/>
      </c>
      <c r="D124" s="84"/>
      <c r="E124" s="85"/>
      <c r="F124" s="86" t="str">
        <f t="shared" si="4"/>
        <v/>
      </c>
      <c r="G124" s="84"/>
      <c r="H124" s="85"/>
      <c r="I124" s="86" t="str">
        <f t="shared" si="5"/>
        <v/>
      </c>
    </row>
    <row r="125" spans="1:9">
      <c r="A125" s="118"/>
      <c r="B125" s="119"/>
      <c r="C125" s="86" t="str">
        <f t="shared" si="3"/>
        <v/>
      </c>
      <c r="D125" s="84"/>
      <c r="E125" s="85"/>
      <c r="F125" s="86" t="str">
        <f t="shared" si="4"/>
        <v/>
      </c>
      <c r="G125" s="84"/>
      <c r="H125" s="85"/>
      <c r="I125" s="86" t="str">
        <f t="shared" si="5"/>
        <v/>
      </c>
    </row>
    <row r="126" spans="1:9">
      <c r="A126" s="118"/>
      <c r="B126" s="119"/>
      <c r="C126" s="86" t="str">
        <f t="shared" si="3"/>
        <v/>
      </c>
      <c r="D126" s="84"/>
      <c r="E126" s="85"/>
      <c r="F126" s="86" t="str">
        <f t="shared" si="4"/>
        <v/>
      </c>
      <c r="G126" s="84"/>
      <c r="H126" s="85"/>
      <c r="I126" s="86" t="str">
        <f t="shared" si="5"/>
        <v/>
      </c>
    </row>
    <row r="127" spans="1:9">
      <c r="A127" s="118"/>
      <c r="B127" s="119"/>
      <c r="C127" s="86" t="str">
        <f t="shared" si="3"/>
        <v/>
      </c>
      <c r="D127" s="84"/>
      <c r="E127" s="85"/>
      <c r="F127" s="86" t="str">
        <f t="shared" si="4"/>
        <v/>
      </c>
      <c r="G127" s="84"/>
      <c r="H127" s="85"/>
      <c r="I127" s="86" t="str">
        <f t="shared" si="5"/>
        <v/>
      </c>
    </row>
    <row r="128" spans="1:9">
      <c r="A128" s="118"/>
      <c r="B128" s="119"/>
      <c r="C128" s="86" t="str">
        <f t="shared" si="3"/>
        <v/>
      </c>
      <c r="D128" s="84"/>
      <c r="E128" s="85"/>
      <c r="F128" s="86" t="str">
        <f t="shared" si="4"/>
        <v/>
      </c>
      <c r="G128" s="84"/>
      <c r="H128" s="85"/>
      <c r="I128" s="86" t="str">
        <f t="shared" si="5"/>
        <v/>
      </c>
    </row>
    <row r="129" spans="1:9">
      <c r="A129" s="118"/>
      <c r="B129" s="119"/>
      <c r="C129" s="86" t="str">
        <f t="shared" si="3"/>
        <v/>
      </c>
      <c r="D129" s="84"/>
      <c r="E129" s="85"/>
      <c r="F129" s="86" t="str">
        <f t="shared" si="4"/>
        <v/>
      </c>
      <c r="G129" s="84"/>
      <c r="H129" s="85"/>
      <c r="I129" s="86" t="str">
        <f t="shared" si="5"/>
        <v/>
      </c>
    </row>
    <row r="130" spans="1:9">
      <c r="A130" s="118"/>
      <c r="B130" s="119"/>
      <c r="C130" s="86" t="str">
        <f t="shared" si="3"/>
        <v/>
      </c>
      <c r="D130" s="84"/>
      <c r="E130" s="85"/>
      <c r="F130" s="86" t="str">
        <f t="shared" si="4"/>
        <v/>
      </c>
      <c r="G130" s="84"/>
      <c r="H130" s="85"/>
      <c r="I130" s="86" t="str">
        <f t="shared" si="5"/>
        <v/>
      </c>
    </row>
    <row r="131" spans="1:9">
      <c r="A131" s="118"/>
      <c r="B131" s="119"/>
      <c r="C131" s="86" t="str">
        <f t="shared" si="3"/>
        <v/>
      </c>
      <c r="D131" s="84"/>
      <c r="E131" s="85"/>
      <c r="F131" s="86" t="str">
        <f t="shared" si="4"/>
        <v/>
      </c>
      <c r="G131" s="84"/>
      <c r="H131" s="85"/>
      <c r="I131" s="86" t="str">
        <f t="shared" si="5"/>
        <v/>
      </c>
    </row>
    <row r="132" spans="1:9">
      <c r="A132" s="118"/>
      <c r="B132" s="119"/>
      <c r="C132" s="86" t="str">
        <f t="shared" si="3"/>
        <v/>
      </c>
      <c r="D132" s="84"/>
      <c r="E132" s="85"/>
      <c r="F132" s="86" t="str">
        <f t="shared" si="4"/>
        <v/>
      </c>
      <c r="G132" s="84"/>
      <c r="H132" s="85"/>
      <c r="I132" s="86" t="str">
        <f t="shared" si="5"/>
        <v/>
      </c>
    </row>
    <row r="133" spans="1:9">
      <c r="A133" s="118"/>
      <c r="B133" s="119"/>
      <c r="C133" s="86" t="str">
        <f t="shared" ref="C133:C196" si="6">IF(B133&gt;0,TEXT(B133,"(aaa)"),"")</f>
        <v/>
      </c>
      <c r="D133" s="84"/>
      <c r="E133" s="85"/>
      <c r="F133" s="86" t="str">
        <f t="shared" ref="F133:F196" si="7">IF(E133&gt;0,TEXT(E133,"(aaa)"),"")</f>
        <v/>
      </c>
      <c r="G133" s="84"/>
      <c r="H133" s="85"/>
      <c r="I133" s="86" t="str">
        <f t="shared" ref="I133:I196" si="8">IF(H133&gt;0,TEXT(H133,"(aaa)"),"")</f>
        <v/>
      </c>
    </row>
    <row r="134" spans="1:9">
      <c r="A134" s="118"/>
      <c r="B134" s="119"/>
      <c r="C134" s="86" t="str">
        <f t="shared" si="6"/>
        <v/>
      </c>
      <c r="D134" s="84"/>
      <c r="E134" s="85"/>
      <c r="F134" s="86" t="str">
        <f t="shared" si="7"/>
        <v/>
      </c>
      <c r="G134" s="84"/>
      <c r="H134" s="85"/>
      <c r="I134" s="86" t="str">
        <f t="shared" si="8"/>
        <v/>
      </c>
    </row>
    <row r="135" spans="1:9">
      <c r="A135" s="118"/>
      <c r="B135" s="119"/>
      <c r="C135" s="86" t="str">
        <f t="shared" si="6"/>
        <v/>
      </c>
      <c r="D135" s="84"/>
      <c r="E135" s="85"/>
      <c r="F135" s="86" t="str">
        <f t="shared" si="7"/>
        <v/>
      </c>
      <c r="G135" s="84"/>
      <c r="H135" s="85"/>
      <c r="I135" s="86" t="str">
        <f t="shared" si="8"/>
        <v/>
      </c>
    </row>
    <row r="136" spans="1:9">
      <c r="A136" s="118"/>
      <c r="B136" s="119"/>
      <c r="C136" s="86" t="str">
        <f t="shared" si="6"/>
        <v/>
      </c>
      <c r="D136" s="84"/>
      <c r="E136" s="85"/>
      <c r="F136" s="86" t="str">
        <f t="shared" si="7"/>
        <v/>
      </c>
      <c r="G136" s="84"/>
      <c r="H136" s="85"/>
      <c r="I136" s="86" t="str">
        <f t="shared" si="8"/>
        <v/>
      </c>
    </row>
    <row r="137" spans="1:9">
      <c r="A137" s="118"/>
      <c r="B137" s="119"/>
      <c r="C137" s="86" t="str">
        <f t="shared" si="6"/>
        <v/>
      </c>
      <c r="D137" s="84"/>
      <c r="E137" s="85"/>
      <c r="F137" s="86" t="str">
        <f t="shared" si="7"/>
        <v/>
      </c>
      <c r="G137" s="84"/>
      <c r="H137" s="85"/>
      <c r="I137" s="86" t="str">
        <f t="shared" si="8"/>
        <v/>
      </c>
    </row>
    <row r="138" spans="1:9">
      <c r="A138" s="118"/>
      <c r="B138" s="119"/>
      <c r="C138" s="86" t="str">
        <f t="shared" si="6"/>
        <v/>
      </c>
      <c r="D138" s="84"/>
      <c r="E138" s="85"/>
      <c r="F138" s="86" t="str">
        <f t="shared" si="7"/>
        <v/>
      </c>
      <c r="G138" s="84"/>
      <c r="H138" s="85"/>
      <c r="I138" s="86" t="str">
        <f t="shared" si="8"/>
        <v/>
      </c>
    </row>
    <row r="139" spans="1:9">
      <c r="A139" s="118"/>
      <c r="B139" s="119"/>
      <c r="C139" s="86" t="str">
        <f t="shared" si="6"/>
        <v/>
      </c>
      <c r="D139" s="84"/>
      <c r="E139" s="85"/>
      <c r="F139" s="86" t="str">
        <f t="shared" si="7"/>
        <v/>
      </c>
      <c r="G139" s="84"/>
      <c r="H139" s="85"/>
      <c r="I139" s="86" t="str">
        <f t="shared" si="8"/>
        <v/>
      </c>
    </row>
    <row r="140" spans="1:9">
      <c r="A140" s="118"/>
      <c r="B140" s="119"/>
      <c r="C140" s="86" t="str">
        <f t="shared" si="6"/>
        <v/>
      </c>
      <c r="D140" s="84"/>
      <c r="E140" s="85"/>
      <c r="F140" s="86" t="str">
        <f t="shared" si="7"/>
        <v/>
      </c>
      <c r="G140" s="84"/>
      <c r="H140" s="85"/>
      <c r="I140" s="86" t="str">
        <f t="shared" si="8"/>
        <v/>
      </c>
    </row>
    <row r="141" spans="1:9">
      <c r="A141" s="118"/>
      <c r="B141" s="119"/>
      <c r="C141" s="86" t="str">
        <f t="shared" si="6"/>
        <v/>
      </c>
      <c r="D141" s="84"/>
      <c r="E141" s="85"/>
      <c r="F141" s="86" t="str">
        <f t="shared" si="7"/>
        <v/>
      </c>
      <c r="G141" s="84"/>
      <c r="H141" s="85"/>
      <c r="I141" s="86" t="str">
        <f t="shared" si="8"/>
        <v/>
      </c>
    </row>
    <row r="142" spans="1:9">
      <c r="A142" s="118"/>
      <c r="B142" s="119"/>
      <c r="C142" s="86" t="str">
        <f t="shared" si="6"/>
        <v/>
      </c>
      <c r="D142" s="84"/>
      <c r="E142" s="85"/>
      <c r="F142" s="86" t="str">
        <f t="shared" si="7"/>
        <v/>
      </c>
      <c r="G142" s="84"/>
      <c r="H142" s="85"/>
      <c r="I142" s="86" t="str">
        <f t="shared" si="8"/>
        <v/>
      </c>
    </row>
    <row r="143" spans="1:9">
      <c r="A143" s="118"/>
      <c r="B143" s="119"/>
      <c r="C143" s="86" t="str">
        <f t="shared" si="6"/>
        <v/>
      </c>
      <c r="D143" s="84"/>
      <c r="E143" s="85"/>
      <c r="F143" s="86" t="str">
        <f t="shared" si="7"/>
        <v/>
      </c>
      <c r="G143" s="84"/>
      <c r="H143" s="85"/>
      <c r="I143" s="86" t="str">
        <f t="shared" si="8"/>
        <v/>
      </c>
    </row>
    <row r="144" spans="1:9">
      <c r="A144" s="118"/>
      <c r="B144" s="119"/>
      <c r="C144" s="86" t="str">
        <f t="shared" si="6"/>
        <v/>
      </c>
      <c r="D144" s="84"/>
      <c r="E144" s="85"/>
      <c r="F144" s="86" t="str">
        <f t="shared" si="7"/>
        <v/>
      </c>
      <c r="G144" s="84"/>
      <c r="H144" s="85"/>
      <c r="I144" s="86" t="str">
        <f t="shared" si="8"/>
        <v/>
      </c>
    </row>
    <row r="145" spans="1:9">
      <c r="A145" s="118"/>
      <c r="B145" s="119"/>
      <c r="C145" s="86" t="str">
        <f t="shared" si="6"/>
        <v/>
      </c>
      <c r="D145" s="84"/>
      <c r="E145" s="85"/>
      <c r="F145" s="86" t="str">
        <f t="shared" si="7"/>
        <v/>
      </c>
      <c r="G145" s="84"/>
      <c r="H145" s="85"/>
      <c r="I145" s="86" t="str">
        <f t="shared" si="8"/>
        <v/>
      </c>
    </row>
    <row r="146" spans="1:9">
      <c r="A146" s="118"/>
      <c r="B146" s="119"/>
      <c r="C146" s="86" t="str">
        <f t="shared" si="6"/>
        <v/>
      </c>
      <c r="D146" s="84"/>
      <c r="E146" s="85"/>
      <c r="F146" s="86" t="str">
        <f t="shared" si="7"/>
        <v/>
      </c>
      <c r="G146" s="84"/>
      <c r="H146" s="85"/>
      <c r="I146" s="86" t="str">
        <f t="shared" si="8"/>
        <v/>
      </c>
    </row>
    <row r="147" spans="1:9">
      <c r="A147" s="118"/>
      <c r="B147" s="119"/>
      <c r="C147" s="86" t="str">
        <f t="shared" si="6"/>
        <v/>
      </c>
      <c r="D147" s="84"/>
      <c r="E147" s="85"/>
      <c r="F147" s="86" t="str">
        <f t="shared" si="7"/>
        <v/>
      </c>
      <c r="G147" s="84"/>
      <c r="H147" s="85"/>
      <c r="I147" s="86" t="str">
        <f t="shared" si="8"/>
        <v/>
      </c>
    </row>
    <row r="148" spans="1:9">
      <c r="A148" s="118"/>
      <c r="B148" s="119"/>
      <c r="C148" s="86" t="str">
        <f t="shared" si="6"/>
        <v/>
      </c>
      <c r="D148" s="84"/>
      <c r="E148" s="85"/>
      <c r="F148" s="86" t="str">
        <f t="shared" si="7"/>
        <v/>
      </c>
      <c r="G148" s="84"/>
      <c r="H148" s="85"/>
      <c r="I148" s="86" t="str">
        <f t="shared" si="8"/>
        <v/>
      </c>
    </row>
    <row r="149" spans="1:9">
      <c r="A149" s="118"/>
      <c r="B149" s="119"/>
      <c r="C149" s="86" t="str">
        <f t="shared" si="6"/>
        <v/>
      </c>
      <c r="D149" s="84"/>
      <c r="E149" s="85"/>
      <c r="F149" s="86" t="str">
        <f t="shared" si="7"/>
        <v/>
      </c>
      <c r="G149" s="84"/>
      <c r="H149" s="85"/>
      <c r="I149" s="86" t="str">
        <f t="shared" si="8"/>
        <v/>
      </c>
    </row>
    <row r="150" spans="1:9">
      <c r="A150" s="118"/>
      <c r="B150" s="119"/>
      <c r="C150" s="86" t="str">
        <f t="shared" si="6"/>
        <v/>
      </c>
      <c r="D150" s="84"/>
      <c r="E150" s="85"/>
      <c r="F150" s="86" t="str">
        <f t="shared" si="7"/>
        <v/>
      </c>
      <c r="G150" s="84"/>
      <c r="H150" s="85"/>
      <c r="I150" s="86" t="str">
        <f t="shared" si="8"/>
        <v/>
      </c>
    </row>
    <row r="151" spans="1:9">
      <c r="A151" s="118"/>
      <c r="B151" s="119"/>
      <c r="C151" s="86" t="str">
        <f t="shared" si="6"/>
        <v/>
      </c>
      <c r="D151" s="84"/>
      <c r="E151" s="85"/>
      <c r="F151" s="86" t="str">
        <f t="shared" si="7"/>
        <v/>
      </c>
      <c r="G151" s="84"/>
      <c r="H151" s="85"/>
      <c r="I151" s="86" t="str">
        <f t="shared" si="8"/>
        <v/>
      </c>
    </row>
    <row r="152" spans="1:9">
      <c r="A152" s="118"/>
      <c r="B152" s="119"/>
      <c r="C152" s="86" t="str">
        <f t="shared" si="6"/>
        <v/>
      </c>
      <c r="D152" s="84"/>
      <c r="E152" s="85"/>
      <c r="F152" s="86" t="str">
        <f t="shared" si="7"/>
        <v/>
      </c>
      <c r="G152" s="84"/>
      <c r="H152" s="85"/>
      <c r="I152" s="86" t="str">
        <f t="shared" si="8"/>
        <v/>
      </c>
    </row>
    <row r="153" spans="1:9">
      <c r="A153" s="118"/>
      <c r="B153" s="119"/>
      <c r="C153" s="86" t="str">
        <f t="shared" si="6"/>
        <v/>
      </c>
      <c r="D153" s="84"/>
      <c r="E153" s="85"/>
      <c r="F153" s="86" t="str">
        <f t="shared" si="7"/>
        <v/>
      </c>
      <c r="G153" s="84"/>
      <c r="H153" s="85"/>
      <c r="I153" s="86" t="str">
        <f t="shared" si="8"/>
        <v/>
      </c>
    </row>
    <row r="154" spans="1:9">
      <c r="A154" s="118"/>
      <c r="B154" s="119"/>
      <c r="C154" s="86" t="str">
        <f t="shared" si="6"/>
        <v/>
      </c>
      <c r="D154" s="84"/>
      <c r="E154" s="85"/>
      <c r="F154" s="86" t="str">
        <f t="shared" si="7"/>
        <v/>
      </c>
      <c r="G154" s="84"/>
      <c r="H154" s="85"/>
      <c r="I154" s="86" t="str">
        <f t="shared" si="8"/>
        <v/>
      </c>
    </row>
    <row r="155" spans="1:9">
      <c r="A155" s="118"/>
      <c r="B155" s="119"/>
      <c r="C155" s="86" t="str">
        <f t="shared" si="6"/>
        <v/>
      </c>
      <c r="D155" s="84"/>
      <c r="E155" s="85"/>
      <c r="F155" s="86" t="str">
        <f t="shared" si="7"/>
        <v/>
      </c>
      <c r="G155" s="84"/>
      <c r="H155" s="85"/>
      <c r="I155" s="86" t="str">
        <f t="shared" si="8"/>
        <v/>
      </c>
    </row>
    <row r="156" spans="1:9">
      <c r="A156" s="118"/>
      <c r="B156" s="119"/>
      <c r="C156" s="86" t="str">
        <f t="shared" si="6"/>
        <v/>
      </c>
      <c r="D156" s="84"/>
      <c r="E156" s="85"/>
      <c r="F156" s="86" t="str">
        <f t="shared" si="7"/>
        <v/>
      </c>
      <c r="G156" s="84"/>
      <c r="H156" s="85"/>
      <c r="I156" s="86" t="str">
        <f t="shared" si="8"/>
        <v/>
      </c>
    </row>
    <row r="157" spans="1:9">
      <c r="A157" s="118"/>
      <c r="B157" s="119"/>
      <c r="C157" s="86" t="str">
        <f t="shared" si="6"/>
        <v/>
      </c>
      <c r="D157" s="84"/>
      <c r="E157" s="85"/>
      <c r="F157" s="86" t="str">
        <f t="shared" si="7"/>
        <v/>
      </c>
      <c r="G157" s="84"/>
      <c r="H157" s="85"/>
      <c r="I157" s="86" t="str">
        <f t="shared" si="8"/>
        <v/>
      </c>
    </row>
    <row r="158" spans="1:9">
      <c r="A158" s="118"/>
      <c r="B158" s="119"/>
      <c r="C158" s="86" t="str">
        <f t="shared" si="6"/>
        <v/>
      </c>
      <c r="D158" s="84"/>
      <c r="E158" s="85"/>
      <c r="F158" s="86" t="str">
        <f t="shared" si="7"/>
        <v/>
      </c>
      <c r="G158" s="84"/>
      <c r="H158" s="85"/>
      <c r="I158" s="86" t="str">
        <f t="shared" si="8"/>
        <v/>
      </c>
    </row>
    <row r="159" spans="1:9">
      <c r="A159" s="118"/>
      <c r="B159" s="119"/>
      <c r="C159" s="86" t="str">
        <f t="shared" si="6"/>
        <v/>
      </c>
      <c r="D159" s="84"/>
      <c r="E159" s="85"/>
      <c r="F159" s="86" t="str">
        <f t="shared" si="7"/>
        <v/>
      </c>
      <c r="G159" s="84"/>
      <c r="H159" s="85"/>
      <c r="I159" s="86" t="str">
        <f t="shared" si="8"/>
        <v/>
      </c>
    </row>
    <row r="160" spans="1:9">
      <c r="A160" s="118"/>
      <c r="B160" s="119"/>
      <c r="C160" s="86" t="str">
        <f t="shared" si="6"/>
        <v/>
      </c>
      <c r="D160" s="84"/>
      <c r="E160" s="85"/>
      <c r="F160" s="86" t="str">
        <f t="shared" si="7"/>
        <v/>
      </c>
      <c r="G160" s="84"/>
      <c r="H160" s="85"/>
      <c r="I160" s="86" t="str">
        <f t="shared" si="8"/>
        <v/>
      </c>
    </row>
    <row r="161" spans="1:9">
      <c r="A161" s="118"/>
      <c r="B161" s="119"/>
      <c r="C161" s="86" t="str">
        <f t="shared" si="6"/>
        <v/>
      </c>
      <c r="D161" s="84"/>
      <c r="E161" s="85"/>
      <c r="F161" s="86" t="str">
        <f t="shared" si="7"/>
        <v/>
      </c>
      <c r="G161" s="84"/>
      <c r="H161" s="85"/>
      <c r="I161" s="86" t="str">
        <f t="shared" si="8"/>
        <v/>
      </c>
    </row>
    <row r="162" spans="1:9">
      <c r="A162" s="118"/>
      <c r="B162" s="119"/>
      <c r="C162" s="86" t="str">
        <f t="shared" si="6"/>
        <v/>
      </c>
      <c r="D162" s="84"/>
      <c r="E162" s="85"/>
      <c r="F162" s="86" t="str">
        <f t="shared" si="7"/>
        <v/>
      </c>
      <c r="G162" s="84"/>
      <c r="H162" s="85"/>
      <c r="I162" s="86" t="str">
        <f t="shared" si="8"/>
        <v/>
      </c>
    </row>
    <row r="163" spans="1:9">
      <c r="A163" s="118"/>
      <c r="B163" s="119"/>
      <c r="C163" s="86" t="str">
        <f t="shared" si="6"/>
        <v/>
      </c>
      <c r="D163" s="84"/>
      <c r="E163" s="85"/>
      <c r="F163" s="86" t="str">
        <f t="shared" si="7"/>
        <v/>
      </c>
      <c r="G163" s="84"/>
      <c r="H163" s="85"/>
      <c r="I163" s="86" t="str">
        <f t="shared" si="8"/>
        <v/>
      </c>
    </row>
    <row r="164" spans="1:9">
      <c r="A164" s="118"/>
      <c r="B164" s="119"/>
      <c r="C164" s="86" t="str">
        <f t="shared" si="6"/>
        <v/>
      </c>
      <c r="D164" s="84"/>
      <c r="E164" s="85"/>
      <c r="F164" s="86" t="str">
        <f t="shared" si="7"/>
        <v/>
      </c>
      <c r="G164" s="84"/>
      <c r="H164" s="85"/>
      <c r="I164" s="86" t="str">
        <f t="shared" si="8"/>
        <v/>
      </c>
    </row>
    <row r="165" spans="1:9">
      <c r="A165" s="118"/>
      <c r="B165" s="119"/>
      <c r="C165" s="86" t="str">
        <f t="shared" si="6"/>
        <v/>
      </c>
      <c r="D165" s="84"/>
      <c r="E165" s="85"/>
      <c r="F165" s="86" t="str">
        <f t="shared" si="7"/>
        <v/>
      </c>
      <c r="G165" s="84"/>
      <c r="H165" s="85"/>
      <c r="I165" s="86" t="str">
        <f t="shared" si="8"/>
        <v/>
      </c>
    </row>
    <row r="166" spans="1:9">
      <c r="A166" s="118"/>
      <c r="B166" s="119"/>
      <c r="C166" s="86" t="str">
        <f t="shared" si="6"/>
        <v/>
      </c>
      <c r="D166" s="84"/>
      <c r="E166" s="85"/>
      <c r="F166" s="86" t="str">
        <f t="shared" si="7"/>
        <v/>
      </c>
      <c r="G166" s="84"/>
      <c r="H166" s="85"/>
      <c r="I166" s="86" t="str">
        <f t="shared" si="8"/>
        <v/>
      </c>
    </row>
    <row r="167" spans="1:9">
      <c r="A167" s="118"/>
      <c r="B167" s="119"/>
      <c r="C167" s="86" t="str">
        <f t="shared" si="6"/>
        <v/>
      </c>
      <c r="D167" s="84"/>
      <c r="E167" s="85"/>
      <c r="F167" s="86" t="str">
        <f t="shared" si="7"/>
        <v/>
      </c>
      <c r="G167" s="84"/>
      <c r="H167" s="85"/>
      <c r="I167" s="86" t="str">
        <f t="shared" si="8"/>
        <v/>
      </c>
    </row>
    <row r="168" spans="1:9">
      <c r="A168" s="118"/>
      <c r="B168" s="119"/>
      <c r="C168" s="86" t="str">
        <f t="shared" si="6"/>
        <v/>
      </c>
      <c r="D168" s="84"/>
      <c r="E168" s="85"/>
      <c r="F168" s="86" t="str">
        <f t="shared" si="7"/>
        <v/>
      </c>
      <c r="G168" s="84"/>
      <c r="H168" s="85"/>
      <c r="I168" s="86" t="str">
        <f t="shared" si="8"/>
        <v/>
      </c>
    </row>
    <row r="169" spans="1:9">
      <c r="A169" s="118"/>
      <c r="B169" s="119"/>
      <c r="C169" s="86" t="str">
        <f t="shared" si="6"/>
        <v/>
      </c>
      <c r="D169" s="84"/>
      <c r="E169" s="85"/>
      <c r="F169" s="86" t="str">
        <f t="shared" si="7"/>
        <v/>
      </c>
      <c r="G169" s="84"/>
      <c r="H169" s="85"/>
      <c r="I169" s="86" t="str">
        <f t="shared" si="8"/>
        <v/>
      </c>
    </row>
    <row r="170" spans="1:9">
      <c r="A170" s="118"/>
      <c r="B170" s="119"/>
      <c r="C170" s="86" t="str">
        <f t="shared" si="6"/>
        <v/>
      </c>
      <c r="D170" s="84"/>
      <c r="E170" s="85"/>
      <c r="F170" s="86" t="str">
        <f t="shared" si="7"/>
        <v/>
      </c>
      <c r="G170" s="84"/>
      <c r="H170" s="85"/>
      <c r="I170" s="86" t="str">
        <f t="shared" si="8"/>
        <v/>
      </c>
    </row>
    <row r="171" spans="1:9">
      <c r="A171" s="118"/>
      <c r="B171" s="119"/>
      <c r="C171" s="86" t="str">
        <f t="shared" si="6"/>
        <v/>
      </c>
      <c r="D171" s="84"/>
      <c r="E171" s="85"/>
      <c r="F171" s="86" t="str">
        <f t="shared" si="7"/>
        <v/>
      </c>
      <c r="G171" s="84"/>
      <c r="H171" s="85"/>
      <c r="I171" s="86" t="str">
        <f t="shared" si="8"/>
        <v/>
      </c>
    </row>
    <row r="172" spans="1:9">
      <c r="A172" s="118"/>
      <c r="B172" s="119"/>
      <c r="C172" s="86" t="str">
        <f t="shared" si="6"/>
        <v/>
      </c>
      <c r="D172" s="84"/>
      <c r="E172" s="85"/>
      <c r="F172" s="86" t="str">
        <f t="shared" si="7"/>
        <v/>
      </c>
      <c r="G172" s="84"/>
      <c r="H172" s="85"/>
      <c r="I172" s="86" t="str">
        <f t="shared" si="8"/>
        <v/>
      </c>
    </row>
    <row r="173" spans="1:9">
      <c r="A173" s="118"/>
      <c r="B173" s="119"/>
      <c r="C173" s="86" t="str">
        <f t="shared" si="6"/>
        <v/>
      </c>
      <c r="D173" s="84"/>
      <c r="E173" s="85"/>
      <c r="F173" s="86" t="str">
        <f t="shared" si="7"/>
        <v/>
      </c>
      <c r="G173" s="84"/>
      <c r="H173" s="85"/>
      <c r="I173" s="86" t="str">
        <f t="shared" si="8"/>
        <v/>
      </c>
    </row>
    <row r="174" spans="1:9">
      <c r="A174" s="118"/>
      <c r="B174" s="119"/>
      <c r="C174" s="86" t="str">
        <f t="shared" si="6"/>
        <v/>
      </c>
      <c r="D174" s="84"/>
      <c r="E174" s="85"/>
      <c r="F174" s="86" t="str">
        <f t="shared" si="7"/>
        <v/>
      </c>
      <c r="G174" s="84"/>
      <c r="H174" s="85"/>
      <c r="I174" s="86" t="str">
        <f t="shared" si="8"/>
        <v/>
      </c>
    </row>
    <row r="175" spans="1:9">
      <c r="A175" s="118"/>
      <c r="B175" s="119"/>
      <c r="C175" s="86" t="str">
        <f t="shared" si="6"/>
        <v/>
      </c>
      <c r="D175" s="84"/>
      <c r="E175" s="85"/>
      <c r="F175" s="86" t="str">
        <f t="shared" si="7"/>
        <v/>
      </c>
      <c r="G175" s="84"/>
      <c r="H175" s="85"/>
      <c r="I175" s="86" t="str">
        <f t="shared" si="8"/>
        <v/>
      </c>
    </row>
    <row r="176" spans="1:9">
      <c r="A176" s="118"/>
      <c r="B176" s="119"/>
      <c r="C176" s="86" t="str">
        <f t="shared" si="6"/>
        <v/>
      </c>
      <c r="D176" s="84"/>
      <c r="E176" s="85"/>
      <c r="F176" s="86" t="str">
        <f t="shared" si="7"/>
        <v/>
      </c>
      <c r="G176" s="84"/>
      <c r="H176" s="85"/>
      <c r="I176" s="86" t="str">
        <f t="shared" si="8"/>
        <v/>
      </c>
    </row>
    <row r="177" spans="1:9">
      <c r="A177" s="118"/>
      <c r="B177" s="119"/>
      <c r="C177" s="86" t="str">
        <f t="shared" si="6"/>
        <v/>
      </c>
      <c r="D177" s="84"/>
      <c r="E177" s="85"/>
      <c r="F177" s="86" t="str">
        <f t="shared" si="7"/>
        <v/>
      </c>
      <c r="G177" s="84"/>
      <c r="H177" s="85"/>
      <c r="I177" s="86" t="str">
        <f t="shared" si="8"/>
        <v/>
      </c>
    </row>
    <row r="178" spans="1:9">
      <c r="A178" s="118"/>
      <c r="B178" s="119"/>
      <c r="C178" s="86" t="str">
        <f t="shared" si="6"/>
        <v/>
      </c>
      <c r="D178" s="84"/>
      <c r="E178" s="85"/>
      <c r="F178" s="86" t="str">
        <f t="shared" si="7"/>
        <v/>
      </c>
      <c r="G178" s="84"/>
      <c r="H178" s="85"/>
      <c r="I178" s="86" t="str">
        <f t="shared" si="8"/>
        <v/>
      </c>
    </row>
    <row r="179" spans="1:9">
      <c r="A179" s="118"/>
      <c r="B179" s="119"/>
      <c r="C179" s="86" t="str">
        <f t="shared" si="6"/>
        <v/>
      </c>
      <c r="D179" s="84"/>
      <c r="E179" s="85"/>
      <c r="F179" s="86" t="str">
        <f t="shared" si="7"/>
        <v/>
      </c>
      <c r="G179" s="84"/>
      <c r="H179" s="85"/>
      <c r="I179" s="86" t="str">
        <f t="shared" si="8"/>
        <v/>
      </c>
    </row>
    <row r="180" spans="1:9">
      <c r="A180" s="118"/>
      <c r="B180" s="119"/>
      <c r="C180" s="86" t="str">
        <f t="shared" si="6"/>
        <v/>
      </c>
      <c r="D180" s="84"/>
      <c r="E180" s="85"/>
      <c r="F180" s="86" t="str">
        <f t="shared" si="7"/>
        <v/>
      </c>
      <c r="G180" s="84"/>
      <c r="H180" s="85"/>
      <c r="I180" s="86" t="str">
        <f t="shared" si="8"/>
        <v/>
      </c>
    </row>
    <row r="181" spans="1:9">
      <c r="A181" s="118"/>
      <c r="B181" s="119"/>
      <c r="C181" s="86" t="str">
        <f t="shared" si="6"/>
        <v/>
      </c>
      <c r="D181" s="84"/>
      <c r="E181" s="85"/>
      <c r="F181" s="86" t="str">
        <f t="shared" si="7"/>
        <v/>
      </c>
      <c r="G181" s="84"/>
      <c r="H181" s="85"/>
      <c r="I181" s="86" t="str">
        <f t="shared" si="8"/>
        <v/>
      </c>
    </row>
    <row r="182" spans="1:9">
      <c r="A182" s="118"/>
      <c r="B182" s="119"/>
      <c r="C182" s="86" t="str">
        <f t="shared" si="6"/>
        <v/>
      </c>
      <c r="D182" s="84"/>
      <c r="E182" s="85"/>
      <c r="F182" s="86" t="str">
        <f t="shared" si="7"/>
        <v/>
      </c>
      <c r="G182" s="84"/>
      <c r="H182" s="85"/>
      <c r="I182" s="86" t="str">
        <f t="shared" si="8"/>
        <v/>
      </c>
    </row>
    <row r="183" spans="1:9">
      <c r="A183" s="118"/>
      <c r="B183" s="119"/>
      <c r="C183" s="86" t="str">
        <f t="shared" si="6"/>
        <v/>
      </c>
      <c r="D183" s="84"/>
      <c r="E183" s="85"/>
      <c r="F183" s="86" t="str">
        <f t="shared" si="7"/>
        <v/>
      </c>
      <c r="G183" s="84"/>
      <c r="H183" s="85"/>
      <c r="I183" s="86" t="str">
        <f t="shared" si="8"/>
        <v/>
      </c>
    </row>
    <row r="184" spans="1:9">
      <c r="A184" s="118"/>
      <c r="B184" s="119"/>
      <c r="C184" s="86" t="str">
        <f t="shared" si="6"/>
        <v/>
      </c>
      <c r="D184" s="84"/>
      <c r="E184" s="85"/>
      <c r="F184" s="86" t="str">
        <f t="shared" si="7"/>
        <v/>
      </c>
      <c r="G184" s="84"/>
      <c r="H184" s="85"/>
      <c r="I184" s="86" t="str">
        <f t="shared" si="8"/>
        <v/>
      </c>
    </row>
    <row r="185" spans="1:9">
      <c r="A185" s="118"/>
      <c r="B185" s="119"/>
      <c r="C185" s="86" t="str">
        <f t="shared" si="6"/>
        <v/>
      </c>
      <c r="D185" s="84"/>
      <c r="E185" s="85"/>
      <c r="F185" s="86" t="str">
        <f t="shared" si="7"/>
        <v/>
      </c>
      <c r="G185" s="84"/>
      <c r="H185" s="85"/>
      <c r="I185" s="86" t="str">
        <f t="shared" si="8"/>
        <v/>
      </c>
    </row>
    <row r="186" spans="1:9">
      <c r="A186" s="118"/>
      <c r="B186" s="119"/>
      <c r="C186" s="86" t="str">
        <f t="shared" si="6"/>
        <v/>
      </c>
      <c r="D186" s="84"/>
      <c r="E186" s="85"/>
      <c r="F186" s="86" t="str">
        <f t="shared" si="7"/>
        <v/>
      </c>
      <c r="G186" s="84"/>
      <c r="H186" s="85"/>
      <c r="I186" s="86" t="str">
        <f t="shared" si="8"/>
        <v/>
      </c>
    </row>
    <row r="187" spans="1:9">
      <c r="A187" s="118"/>
      <c r="B187" s="119"/>
      <c r="C187" s="86" t="str">
        <f t="shared" si="6"/>
        <v/>
      </c>
      <c r="D187" s="84"/>
      <c r="E187" s="85"/>
      <c r="F187" s="86" t="str">
        <f t="shared" si="7"/>
        <v/>
      </c>
      <c r="G187" s="84"/>
      <c r="H187" s="85"/>
      <c r="I187" s="86" t="str">
        <f t="shared" si="8"/>
        <v/>
      </c>
    </row>
    <row r="188" spans="1:9">
      <c r="A188" s="118"/>
      <c r="B188" s="119"/>
      <c r="C188" s="86" t="str">
        <f t="shared" si="6"/>
        <v/>
      </c>
      <c r="D188" s="84"/>
      <c r="E188" s="85"/>
      <c r="F188" s="86" t="str">
        <f t="shared" si="7"/>
        <v/>
      </c>
      <c r="G188" s="84"/>
      <c r="H188" s="85"/>
      <c r="I188" s="86" t="str">
        <f t="shared" si="8"/>
        <v/>
      </c>
    </row>
    <row r="189" spans="1:9">
      <c r="A189" s="118"/>
      <c r="B189" s="119"/>
      <c r="C189" s="86" t="str">
        <f t="shared" si="6"/>
        <v/>
      </c>
      <c r="D189" s="84"/>
      <c r="E189" s="85"/>
      <c r="F189" s="86" t="str">
        <f t="shared" si="7"/>
        <v/>
      </c>
      <c r="G189" s="84"/>
      <c r="H189" s="85"/>
      <c r="I189" s="86" t="str">
        <f t="shared" si="8"/>
        <v/>
      </c>
    </row>
    <row r="190" spans="1:9">
      <c r="A190" s="118"/>
      <c r="B190" s="119"/>
      <c r="C190" s="86" t="str">
        <f t="shared" si="6"/>
        <v/>
      </c>
      <c r="D190" s="84"/>
      <c r="E190" s="85"/>
      <c r="F190" s="86" t="str">
        <f t="shared" si="7"/>
        <v/>
      </c>
      <c r="G190" s="84"/>
      <c r="H190" s="85"/>
      <c r="I190" s="86" t="str">
        <f t="shared" si="8"/>
        <v/>
      </c>
    </row>
    <row r="191" spans="1:9">
      <c r="A191" s="118"/>
      <c r="B191" s="119"/>
      <c r="C191" s="86" t="str">
        <f t="shared" si="6"/>
        <v/>
      </c>
      <c r="D191" s="84"/>
      <c r="E191" s="85"/>
      <c r="F191" s="86" t="str">
        <f t="shared" si="7"/>
        <v/>
      </c>
      <c r="G191" s="84"/>
      <c r="H191" s="85"/>
      <c r="I191" s="86" t="str">
        <f t="shared" si="8"/>
        <v/>
      </c>
    </row>
    <row r="192" spans="1:9">
      <c r="A192" s="118"/>
      <c r="B192" s="119"/>
      <c r="C192" s="86" t="str">
        <f t="shared" si="6"/>
        <v/>
      </c>
      <c r="D192" s="84"/>
      <c r="E192" s="85"/>
      <c r="F192" s="86" t="str">
        <f t="shared" si="7"/>
        <v/>
      </c>
      <c r="G192" s="84"/>
      <c r="H192" s="85"/>
      <c r="I192" s="86" t="str">
        <f t="shared" si="8"/>
        <v/>
      </c>
    </row>
    <row r="193" spans="1:9">
      <c r="A193" s="118"/>
      <c r="B193" s="119"/>
      <c r="C193" s="86" t="str">
        <f t="shared" si="6"/>
        <v/>
      </c>
      <c r="D193" s="84"/>
      <c r="E193" s="85"/>
      <c r="F193" s="86" t="str">
        <f t="shared" si="7"/>
        <v/>
      </c>
      <c r="G193" s="84"/>
      <c r="H193" s="85"/>
      <c r="I193" s="86" t="str">
        <f t="shared" si="8"/>
        <v/>
      </c>
    </row>
    <row r="194" spans="1:9">
      <c r="A194" s="118"/>
      <c r="B194" s="119"/>
      <c r="C194" s="86" t="str">
        <f t="shared" si="6"/>
        <v/>
      </c>
      <c r="D194" s="84"/>
      <c r="E194" s="85"/>
      <c r="F194" s="86" t="str">
        <f t="shared" si="7"/>
        <v/>
      </c>
      <c r="G194" s="84"/>
      <c r="H194" s="85"/>
      <c r="I194" s="86" t="str">
        <f t="shared" si="8"/>
        <v/>
      </c>
    </row>
    <row r="195" spans="1:9">
      <c r="A195" s="118"/>
      <c r="B195" s="119"/>
      <c r="C195" s="86" t="str">
        <f t="shared" si="6"/>
        <v/>
      </c>
      <c r="D195" s="84"/>
      <c r="E195" s="85"/>
      <c r="F195" s="86" t="str">
        <f t="shared" si="7"/>
        <v/>
      </c>
      <c r="G195" s="84"/>
      <c r="H195" s="85"/>
      <c r="I195" s="86" t="str">
        <f t="shared" si="8"/>
        <v/>
      </c>
    </row>
    <row r="196" spans="1:9">
      <c r="A196" s="118"/>
      <c r="B196" s="119"/>
      <c r="C196" s="86" t="str">
        <f t="shared" si="6"/>
        <v/>
      </c>
      <c r="D196" s="84"/>
      <c r="E196" s="85"/>
      <c r="F196" s="86" t="str">
        <f t="shared" si="7"/>
        <v/>
      </c>
      <c r="G196" s="84"/>
      <c r="H196" s="85"/>
      <c r="I196" s="86" t="str">
        <f t="shared" si="8"/>
        <v/>
      </c>
    </row>
    <row r="197" spans="1:9">
      <c r="A197" s="118"/>
      <c r="B197" s="119"/>
      <c r="C197" s="86" t="str">
        <f t="shared" ref="C197:C260" si="9">IF(B197&gt;0,TEXT(B197,"(aaa)"),"")</f>
        <v/>
      </c>
      <c r="D197" s="84"/>
      <c r="E197" s="85"/>
      <c r="F197" s="86" t="str">
        <f t="shared" ref="F197:F260" si="10">IF(E197&gt;0,TEXT(E197,"(aaa)"),"")</f>
        <v/>
      </c>
      <c r="G197" s="84"/>
      <c r="H197" s="85"/>
      <c r="I197" s="86" t="str">
        <f t="shared" ref="I197:I260" si="11">IF(H197&gt;0,TEXT(H197,"(aaa)"),"")</f>
        <v/>
      </c>
    </row>
    <row r="198" spans="1:9">
      <c r="A198" s="118"/>
      <c r="B198" s="119"/>
      <c r="C198" s="86" t="str">
        <f t="shared" si="9"/>
        <v/>
      </c>
      <c r="D198" s="84"/>
      <c r="E198" s="85"/>
      <c r="F198" s="86" t="str">
        <f t="shared" si="10"/>
        <v/>
      </c>
      <c r="G198" s="84"/>
      <c r="H198" s="85"/>
      <c r="I198" s="86" t="str">
        <f t="shared" si="11"/>
        <v/>
      </c>
    </row>
    <row r="199" spans="1:9">
      <c r="A199" s="118"/>
      <c r="B199" s="119"/>
      <c r="C199" s="86" t="str">
        <f t="shared" si="9"/>
        <v/>
      </c>
      <c r="D199" s="84"/>
      <c r="E199" s="85"/>
      <c r="F199" s="86" t="str">
        <f t="shared" si="10"/>
        <v/>
      </c>
      <c r="G199" s="84"/>
      <c r="H199" s="85"/>
      <c r="I199" s="86" t="str">
        <f t="shared" si="11"/>
        <v/>
      </c>
    </row>
    <row r="200" spans="1:9">
      <c r="A200" s="118"/>
      <c r="B200" s="119"/>
      <c r="C200" s="86" t="str">
        <f t="shared" si="9"/>
        <v/>
      </c>
      <c r="D200" s="84"/>
      <c r="E200" s="85"/>
      <c r="F200" s="86" t="str">
        <f t="shared" si="10"/>
        <v/>
      </c>
      <c r="G200" s="84"/>
      <c r="H200" s="85"/>
      <c r="I200" s="86" t="str">
        <f t="shared" si="11"/>
        <v/>
      </c>
    </row>
    <row r="201" spans="1:9">
      <c r="A201" s="118"/>
      <c r="B201" s="119"/>
      <c r="C201" s="86" t="str">
        <f t="shared" si="9"/>
        <v/>
      </c>
      <c r="D201" s="84"/>
      <c r="E201" s="85"/>
      <c r="F201" s="86" t="str">
        <f t="shared" si="10"/>
        <v/>
      </c>
      <c r="G201" s="84"/>
      <c r="H201" s="85"/>
      <c r="I201" s="86" t="str">
        <f t="shared" si="11"/>
        <v/>
      </c>
    </row>
    <row r="202" spans="1:9">
      <c r="A202" s="118"/>
      <c r="B202" s="119"/>
      <c r="C202" s="86" t="str">
        <f t="shared" si="9"/>
        <v/>
      </c>
      <c r="D202" s="84"/>
      <c r="E202" s="85"/>
      <c r="F202" s="86" t="str">
        <f t="shared" si="10"/>
        <v/>
      </c>
      <c r="G202" s="84"/>
      <c r="H202" s="85"/>
      <c r="I202" s="86" t="str">
        <f t="shared" si="11"/>
        <v/>
      </c>
    </row>
    <row r="203" spans="1:9">
      <c r="A203" s="118"/>
      <c r="B203" s="119"/>
      <c r="C203" s="86" t="str">
        <f t="shared" si="9"/>
        <v/>
      </c>
      <c r="D203" s="84"/>
      <c r="E203" s="85"/>
      <c r="F203" s="86" t="str">
        <f t="shared" si="10"/>
        <v/>
      </c>
      <c r="G203" s="84"/>
      <c r="H203" s="85"/>
      <c r="I203" s="86" t="str">
        <f t="shared" si="11"/>
        <v/>
      </c>
    </row>
    <row r="204" spans="1:9">
      <c r="A204" s="118"/>
      <c r="B204" s="119"/>
      <c r="C204" s="86" t="str">
        <f t="shared" si="9"/>
        <v/>
      </c>
      <c r="D204" s="84"/>
      <c r="E204" s="85"/>
      <c r="F204" s="86" t="str">
        <f t="shared" si="10"/>
        <v/>
      </c>
      <c r="G204" s="84"/>
      <c r="H204" s="85"/>
      <c r="I204" s="86" t="str">
        <f t="shared" si="11"/>
        <v/>
      </c>
    </row>
    <row r="205" spans="1:9">
      <c r="A205" s="118"/>
      <c r="B205" s="119"/>
      <c r="C205" s="86" t="str">
        <f t="shared" si="9"/>
        <v/>
      </c>
      <c r="D205" s="84"/>
      <c r="E205" s="85"/>
      <c r="F205" s="86" t="str">
        <f t="shared" si="10"/>
        <v/>
      </c>
      <c r="G205" s="84"/>
      <c r="H205" s="85"/>
      <c r="I205" s="86" t="str">
        <f t="shared" si="11"/>
        <v/>
      </c>
    </row>
    <row r="206" spans="1:9">
      <c r="A206" s="118"/>
      <c r="B206" s="119"/>
      <c r="C206" s="86" t="str">
        <f t="shared" si="9"/>
        <v/>
      </c>
      <c r="D206" s="84"/>
      <c r="E206" s="85"/>
      <c r="F206" s="86" t="str">
        <f t="shared" si="10"/>
        <v/>
      </c>
      <c r="G206" s="84"/>
      <c r="H206" s="85"/>
      <c r="I206" s="86" t="str">
        <f t="shared" si="11"/>
        <v/>
      </c>
    </row>
    <row r="207" spans="1:9">
      <c r="A207" s="118"/>
      <c r="B207" s="119"/>
      <c r="C207" s="86" t="str">
        <f t="shared" si="9"/>
        <v/>
      </c>
      <c r="D207" s="84"/>
      <c r="E207" s="85"/>
      <c r="F207" s="86" t="str">
        <f t="shared" si="10"/>
        <v/>
      </c>
      <c r="G207" s="84"/>
      <c r="H207" s="85"/>
      <c r="I207" s="86" t="str">
        <f t="shared" si="11"/>
        <v/>
      </c>
    </row>
    <row r="208" spans="1:9">
      <c r="A208" s="118"/>
      <c r="B208" s="119"/>
      <c r="C208" s="86" t="str">
        <f t="shared" si="9"/>
        <v/>
      </c>
      <c r="D208" s="84"/>
      <c r="E208" s="85"/>
      <c r="F208" s="86" t="str">
        <f t="shared" si="10"/>
        <v/>
      </c>
      <c r="G208" s="84"/>
      <c r="H208" s="85"/>
      <c r="I208" s="86" t="str">
        <f t="shared" si="11"/>
        <v/>
      </c>
    </row>
    <row r="209" spans="1:9">
      <c r="A209" s="118"/>
      <c r="B209" s="119"/>
      <c r="C209" s="86" t="str">
        <f t="shared" si="9"/>
        <v/>
      </c>
      <c r="D209" s="84"/>
      <c r="E209" s="85"/>
      <c r="F209" s="86" t="str">
        <f t="shared" si="10"/>
        <v/>
      </c>
      <c r="G209" s="84"/>
      <c r="H209" s="85"/>
      <c r="I209" s="86" t="str">
        <f t="shared" si="11"/>
        <v/>
      </c>
    </row>
    <row r="210" spans="1:9">
      <c r="A210" s="118"/>
      <c r="B210" s="119"/>
      <c r="C210" s="86" t="str">
        <f t="shared" si="9"/>
        <v/>
      </c>
      <c r="D210" s="84"/>
      <c r="E210" s="85"/>
      <c r="F210" s="86" t="str">
        <f t="shared" si="10"/>
        <v/>
      </c>
      <c r="G210" s="84"/>
      <c r="H210" s="85"/>
      <c r="I210" s="86" t="str">
        <f t="shared" si="11"/>
        <v/>
      </c>
    </row>
    <row r="211" spans="1:9">
      <c r="A211" s="118"/>
      <c r="B211" s="119"/>
      <c r="C211" s="86" t="str">
        <f t="shared" si="9"/>
        <v/>
      </c>
      <c r="D211" s="84"/>
      <c r="E211" s="85"/>
      <c r="F211" s="86" t="str">
        <f t="shared" si="10"/>
        <v/>
      </c>
      <c r="G211" s="84"/>
      <c r="H211" s="85"/>
      <c r="I211" s="86" t="str">
        <f t="shared" si="11"/>
        <v/>
      </c>
    </row>
    <row r="212" spans="1:9">
      <c r="A212" s="118"/>
      <c r="B212" s="119"/>
      <c r="C212" s="86" t="str">
        <f t="shared" si="9"/>
        <v/>
      </c>
      <c r="D212" s="84"/>
      <c r="E212" s="85"/>
      <c r="F212" s="86" t="str">
        <f t="shared" si="10"/>
        <v/>
      </c>
      <c r="G212" s="84"/>
      <c r="H212" s="85"/>
      <c r="I212" s="86" t="str">
        <f t="shared" si="11"/>
        <v/>
      </c>
    </row>
    <row r="213" spans="1:9">
      <c r="A213" s="118"/>
      <c r="B213" s="119"/>
      <c r="C213" s="86" t="str">
        <f t="shared" si="9"/>
        <v/>
      </c>
      <c r="D213" s="84"/>
      <c r="E213" s="85"/>
      <c r="F213" s="86" t="str">
        <f t="shared" si="10"/>
        <v/>
      </c>
      <c r="G213" s="84"/>
      <c r="H213" s="85"/>
      <c r="I213" s="86" t="str">
        <f t="shared" si="11"/>
        <v/>
      </c>
    </row>
    <row r="214" spans="1:9">
      <c r="A214" s="118"/>
      <c r="B214" s="119"/>
      <c r="C214" s="86" t="str">
        <f t="shared" si="9"/>
        <v/>
      </c>
      <c r="D214" s="84"/>
      <c r="E214" s="85"/>
      <c r="F214" s="86" t="str">
        <f t="shared" si="10"/>
        <v/>
      </c>
      <c r="G214" s="84"/>
      <c r="H214" s="85"/>
      <c r="I214" s="86" t="str">
        <f t="shared" si="11"/>
        <v/>
      </c>
    </row>
    <row r="215" spans="1:9">
      <c r="A215" s="118"/>
      <c r="B215" s="119"/>
      <c r="C215" s="86" t="str">
        <f t="shared" si="9"/>
        <v/>
      </c>
      <c r="D215" s="84"/>
      <c r="E215" s="85"/>
      <c r="F215" s="86" t="str">
        <f t="shared" si="10"/>
        <v/>
      </c>
      <c r="G215" s="84"/>
      <c r="H215" s="85"/>
      <c r="I215" s="86" t="str">
        <f t="shared" si="11"/>
        <v/>
      </c>
    </row>
    <row r="216" spans="1:9">
      <c r="A216" s="118"/>
      <c r="B216" s="119"/>
      <c r="C216" s="86" t="str">
        <f t="shared" si="9"/>
        <v/>
      </c>
      <c r="D216" s="84"/>
      <c r="E216" s="85"/>
      <c r="F216" s="86" t="str">
        <f t="shared" si="10"/>
        <v/>
      </c>
      <c r="G216" s="84"/>
      <c r="H216" s="85"/>
      <c r="I216" s="86" t="str">
        <f t="shared" si="11"/>
        <v/>
      </c>
    </row>
    <row r="217" spans="1:9">
      <c r="A217" s="118"/>
      <c r="B217" s="119"/>
      <c r="C217" s="86" t="str">
        <f t="shared" si="9"/>
        <v/>
      </c>
      <c r="D217" s="84"/>
      <c r="E217" s="85"/>
      <c r="F217" s="86" t="str">
        <f t="shared" si="10"/>
        <v/>
      </c>
      <c r="G217" s="84"/>
      <c r="H217" s="85"/>
      <c r="I217" s="86" t="str">
        <f t="shared" si="11"/>
        <v/>
      </c>
    </row>
    <row r="218" spans="1:9">
      <c r="A218" s="118"/>
      <c r="B218" s="119"/>
      <c r="C218" s="86" t="str">
        <f t="shared" si="9"/>
        <v/>
      </c>
      <c r="D218" s="84"/>
      <c r="E218" s="85"/>
      <c r="F218" s="86" t="str">
        <f t="shared" si="10"/>
        <v/>
      </c>
      <c r="G218" s="84"/>
      <c r="H218" s="85"/>
      <c r="I218" s="86" t="str">
        <f t="shared" si="11"/>
        <v/>
      </c>
    </row>
    <row r="219" spans="1:9">
      <c r="A219" s="118"/>
      <c r="B219" s="119"/>
      <c r="C219" s="86" t="str">
        <f t="shared" si="9"/>
        <v/>
      </c>
      <c r="D219" s="84"/>
      <c r="E219" s="85"/>
      <c r="F219" s="86" t="str">
        <f t="shared" si="10"/>
        <v/>
      </c>
      <c r="G219" s="84"/>
      <c r="H219" s="85"/>
      <c r="I219" s="86" t="str">
        <f t="shared" si="11"/>
        <v/>
      </c>
    </row>
    <row r="220" spans="1:9">
      <c r="A220" s="118"/>
      <c r="B220" s="119"/>
      <c r="C220" s="86" t="str">
        <f t="shared" si="9"/>
        <v/>
      </c>
      <c r="D220" s="84"/>
      <c r="E220" s="85"/>
      <c r="F220" s="86" t="str">
        <f t="shared" si="10"/>
        <v/>
      </c>
      <c r="G220" s="84"/>
      <c r="H220" s="85"/>
      <c r="I220" s="86" t="str">
        <f t="shared" si="11"/>
        <v/>
      </c>
    </row>
    <row r="221" spans="1:9">
      <c r="A221" s="118"/>
      <c r="B221" s="119"/>
      <c r="C221" s="86" t="str">
        <f t="shared" si="9"/>
        <v/>
      </c>
      <c r="D221" s="84"/>
      <c r="E221" s="85"/>
      <c r="F221" s="86" t="str">
        <f t="shared" si="10"/>
        <v/>
      </c>
      <c r="G221" s="84"/>
      <c r="H221" s="85"/>
      <c r="I221" s="86" t="str">
        <f t="shared" si="11"/>
        <v/>
      </c>
    </row>
    <row r="222" spans="1:9">
      <c r="A222" s="118"/>
      <c r="B222" s="119"/>
      <c r="C222" s="86" t="str">
        <f t="shared" si="9"/>
        <v/>
      </c>
      <c r="D222" s="84"/>
      <c r="E222" s="85"/>
      <c r="F222" s="86" t="str">
        <f t="shared" si="10"/>
        <v/>
      </c>
      <c r="G222" s="84"/>
      <c r="H222" s="85"/>
      <c r="I222" s="86" t="str">
        <f t="shared" si="11"/>
        <v/>
      </c>
    </row>
    <row r="223" spans="1:9">
      <c r="A223" s="118"/>
      <c r="B223" s="119"/>
      <c r="C223" s="86" t="str">
        <f t="shared" si="9"/>
        <v/>
      </c>
      <c r="D223" s="84"/>
      <c r="E223" s="85"/>
      <c r="F223" s="86" t="str">
        <f t="shared" si="10"/>
        <v/>
      </c>
      <c r="G223" s="84"/>
      <c r="H223" s="85"/>
      <c r="I223" s="86" t="str">
        <f t="shared" si="11"/>
        <v/>
      </c>
    </row>
    <row r="224" spans="1:9">
      <c r="A224" s="118"/>
      <c r="B224" s="119"/>
      <c r="C224" s="86" t="str">
        <f t="shared" si="9"/>
        <v/>
      </c>
      <c r="D224" s="84"/>
      <c r="E224" s="85"/>
      <c r="F224" s="86" t="str">
        <f t="shared" si="10"/>
        <v/>
      </c>
      <c r="G224" s="84"/>
      <c r="H224" s="85"/>
      <c r="I224" s="86" t="str">
        <f t="shared" si="11"/>
        <v/>
      </c>
    </row>
    <row r="225" spans="1:9">
      <c r="A225" s="118"/>
      <c r="B225" s="119"/>
      <c r="C225" s="86" t="str">
        <f t="shared" si="9"/>
        <v/>
      </c>
      <c r="D225" s="84"/>
      <c r="E225" s="85"/>
      <c r="F225" s="86" t="str">
        <f t="shared" si="10"/>
        <v/>
      </c>
      <c r="G225" s="84"/>
      <c r="H225" s="85"/>
      <c r="I225" s="86" t="str">
        <f t="shared" si="11"/>
        <v/>
      </c>
    </row>
    <row r="226" spans="1:9">
      <c r="A226" s="118"/>
      <c r="B226" s="119"/>
      <c r="C226" s="86" t="str">
        <f t="shared" si="9"/>
        <v/>
      </c>
      <c r="D226" s="84"/>
      <c r="E226" s="85"/>
      <c r="F226" s="86" t="str">
        <f t="shared" si="10"/>
        <v/>
      </c>
      <c r="G226" s="84"/>
      <c r="H226" s="85"/>
      <c r="I226" s="86" t="str">
        <f t="shared" si="11"/>
        <v/>
      </c>
    </row>
    <row r="227" spans="1:9">
      <c r="A227" s="118"/>
      <c r="B227" s="119"/>
      <c r="C227" s="86" t="str">
        <f t="shared" si="9"/>
        <v/>
      </c>
      <c r="D227" s="84"/>
      <c r="E227" s="85"/>
      <c r="F227" s="86" t="str">
        <f t="shared" si="10"/>
        <v/>
      </c>
      <c r="G227" s="84"/>
      <c r="H227" s="85"/>
      <c r="I227" s="86" t="str">
        <f t="shared" si="11"/>
        <v/>
      </c>
    </row>
    <row r="228" spans="1:9">
      <c r="A228" s="118"/>
      <c r="B228" s="119"/>
      <c r="C228" s="86" t="str">
        <f t="shared" si="9"/>
        <v/>
      </c>
      <c r="D228" s="84"/>
      <c r="E228" s="85"/>
      <c r="F228" s="86" t="str">
        <f t="shared" si="10"/>
        <v/>
      </c>
      <c r="G228" s="84"/>
      <c r="H228" s="85"/>
      <c r="I228" s="86" t="str">
        <f t="shared" si="11"/>
        <v/>
      </c>
    </row>
    <row r="229" spans="1:9">
      <c r="A229" s="118"/>
      <c r="B229" s="119"/>
      <c r="C229" s="86" t="str">
        <f t="shared" si="9"/>
        <v/>
      </c>
      <c r="D229" s="84"/>
      <c r="E229" s="85"/>
      <c r="F229" s="86" t="str">
        <f t="shared" si="10"/>
        <v/>
      </c>
      <c r="G229" s="84"/>
      <c r="H229" s="85"/>
      <c r="I229" s="86" t="str">
        <f t="shared" si="11"/>
        <v/>
      </c>
    </row>
    <row r="230" spans="1:9">
      <c r="A230" s="118"/>
      <c r="B230" s="119"/>
      <c r="C230" s="86" t="str">
        <f t="shared" si="9"/>
        <v/>
      </c>
      <c r="D230" s="84"/>
      <c r="E230" s="85"/>
      <c r="F230" s="86" t="str">
        <f t="shared" si="10"/>
        <v/>
      </c>
      <c r="G230" s="84"/>
      <c r="H230" s="85"/>
      <c r="I230" s="86" t="str">
        <f t="shared" si="11"/>
        <v/>
      </c>
    </row>
    <row r="231" spans="1:9">
      <c r="A231" s="118"/>
      <c r="B231" s="119"/>
      <c r="C231" s="86" t="str">
        <f t="shared" si="9"/>
        <v/>
      </c>
      <c r="D231" s="84"/>
      <c r="E231" s="85"/>
      <c r="F231" s="86" t="str">
        <f t="shared" si="10"/>
        <v/>
      </c>
      <c r="G231" s="84"/>
      <c r="H231" s="85"/>
      <c r="I231" s="86" t="str">
        <f t="shared" si="11"/>
        <v/>
      </c>
    </row>
    <row r="232" spans="1:9">
      <c r="A232" s="118"/>
      <c r="B232" s="119"/>
      <c r="C232" s="86" t="str">
        <f t="shared" si="9"/>
        <v/>
      </c>
      <c r="D232" s="84"/>
      <c r="E232" s="85"/>
      <c r="F232" s="86" t="str">
        <f t="shared" si="10"/>
        <v/>
      </c>
      <c r="G232" s="84"/>
      <c r="H232" s="85"/>
      <c r="I232" s="86" t="str">
        <f t="shared" si="11"/>
        <v/>
      </c>
    </row>
    <row r="233" spans="1:9">
      <c r="A233" s="118"/>
      <c r="B233" s="119"/>
      <c r="C233" s="86" t="str">
        <f t="shared" si="9"/>
        <v/>
      </c>
      <c r="D233" s="84"/>
      <c r="E233" s="85"/>
      <c r="F233" s="86" t="str">
        <f t="shared" si="10"/>
        <v/>
      </c>
      <c r="G233" s="84"/>
      <c r="H233" s="85"/>
      <c r="I233" s="86" t="str">
        <f t="shared" si="11"/>
        <v/>
      </c>
    </row>
    <row r="234" spans="1:9">
      <c r="A234" s="118"/>
      <c r="B234" s="119"/>
      <c r="C234" s="86" t="str">
        <f t="shared" si="9"/>
        <v/>
      </c>
      <c r="D234" s="84"/>
      <c r="E234" s="85"/>
      <c r="F234" s="86" t="str">
        <f t="shared" si="10"/>
        <v/>
      </c>
      <c r="G234" s="84"/>
      <c r="H234" s="85"/>
      <c r="I234" s="86" t="str">
        <f t="shared" si="11"/>
        <v/>
      </c>
    </row>
    <row r="235" spans="1:9">
      <c r="A235" s="118"/>
      <c r="B235" s="119"/>
      <c r="C235" s="86" t="str">
        <f t="shared" si="9"/>
        <v/>
      </c>
      <c r="D235" s="84"/>
      <c r="E235" s="85"/>
      <c r="F235" s="86" t="str">
        <f t="shared" si="10"/>
        <v/>
      </c>
      <c r="G235" s="84"/>
      <c r="H235" s="85"/>
      <c r="I235" s="86" t="str">
        <f t="shared" si="11"/>
        <v/>
      </c>
    </row>
    <row r="236" spans="1:9">
      <c r="A236" s="118"/>
      <c r="B236" s="119"/>
      <c r="C236" s="86" t="str">
        <f t="shared" si="9"/>
        <v/>
      </c>
      <c r="D236" s="84"/>
      <c r="E236" s="85"/>
      <c r="F236" s="86" t="str">
        <f t="shared" si="10"/>
        <v/>
      </c>
      <c r="G236" s="84"/>
      <c r="H236" s="85"/>
      <c r="I236" s="86" t="str">
        <f t="shared" si="11"/>
        <v/>
      </c>
    </row>
    <row r="237" spans="1:9">
      <c r="A237" s="118"/>
      <c r="B237" s="119"/>
      <c r="C237" s="86" t="str">
        <f t="shared" si="9"/>
        <v/>
      </c>
      <c r="D237" s="84"/>
      <c r="E237" s="85"/>
      <c r="F237" s="86" t="str">
        <f t="shared" si="10"/>
        <v/>
      </c>
      <c r="G237" s="84"/>
      <c r="H237" s="85"/>
      <c r="I237" s="86" t="str">
        <f t="shared" si="11"/>
        <v/>
      </c>
    </row>
    <row r="238" spans="1:9">
      <c r="A238" s="118"/>
      <c r="B238" s="119"/>
      <c r="C238" s="86" t="str">
        <f t="shared" si="9"/>
        <v/>
      </c>
      <c r="D238" s="84"/>
      <c r="E238" s="85"/>
      <c r="F238" s="86" t="str">
        <f t="shared" si="10"/>
        <v/>
      </c>
      <c r="G238" s="84"/>
      <c r="H238" s="85"/>
      <c r="I238" s="86" t="str">
        <f t="shared" si="11"/>
        <v/>
      </c>
    </row>
    <row r="239" spans="1:9">
      <c r="A239" s="118"/>
      <c r="B239" s="119"/>
      <c r="C239" s="86" t="str">
        <f t="shared" si="9"/>
        <v/>
      </c>
      <c r="D239" s="84"/>
      <c r="E239" s="85"/>
      <c r="F239" s="86" t="str">
        <f t="shared" si="10"/>
        <v/>
      </c>
      <c r="G239" s="84"/>
      <c r="H239" s="85"/>
      <c r="I239" s="86" t="str">
        <f t="shared" si="11"/>
        <v/>
      </c>
    </row>
    <row r="240" spans="1:9">
      <c r="A240" s="118"/>
      <c r="B240" s="119"/>
      <c r="C240" s="86" t="str">
        <f t="shared" si="9"/>
        <v/>
      </c>
      <c r="D240" s="84"/>
      <c r="E240" s="85"/>
      <c r="F240" s="86" t="str">
        <f t="shared" si="10"/>
        <v/>
      </c>
      <c r="G240" s="84"/>
      <c r="H240" s="85"/>
      <c r="I240" s="86" t="str">
        <f t="shared" si="11"/>
        <v/>
      </c>
    </row>
    <row r="241" spans="1:9">
      <c r="A241" s="118"/>
      <c r="B241" s="119"/>
      <c r="C241" s="86" t="str">
        <f t="shared" si="9"/>
        <v/>
      </c>
      <c r="D241" s="84"/>
      <c r="E241" s="85"/>
      <c r="F241" s="86" t="str">
        <f t="shared" si="10"/>
        <v/>
      </c>
      <c r="G241" s="84"/>
      <c r="H241" s="85"/>
      <c r="I241" s="86" t="str">
        <f t="shared" si="11"/>
        <v/>
      </c>
    </row>
    <row r="242" spans="1:9">
      <c r="A242" s="84"/>
      <c r="B242" s="85"/>
      <c r="C242" s="86" t="str">
        <f t="shared" si="9"/>
        <v/>
      </c>
      <c r="D242" s="84"/>
      <c r="E242" s="85"/>
      <c r="F242" s="86" t="str">
        <f t="shared" si="10"/>
        <v/>
      </c>
      <c r="G242" s="84"/>
      <c r="H242" s="85"/>
      <c r="I242" s="86" t="str">
        <f t="shared" si="11"/>
        <v/>
      </c>
    </row>
    <row r="243" spans="1:9">
      <c r="A243" s="84"/>
      <c r="B243" s="85"/>
      <c r="C243" s="86" t="str">
        <f t="shared" si="9"/>
        <v/>
      </c>
      <c r="D243" s="84"/>
      <c r="E243" s="85"/>
      <c r="F243" s="86" t="str">
        <f t="shared" si="10"/>
        <v/>
      </c>
      <c r="G243" s="84"/>
      <c r="H243" s="85"/>
      <c r="I243" s="86" t="str">
        <f t="shared" si="11"/>
        <v/>
      </c>
    </row>
    <row r="244" spans="1:9">
      <c r="A244" s="84"/>
      <c r="B244" s="85"/>
      <c r="C244" s="86" t="str">
        <f t="shared" si="9"/>
        <v/>
      </c>
      <c r="D244" s="84"/>
      <c r="E244" s="85"/>
      <c r="F244" s="86" t="str">
        <f t="shared" si="10"/>
        <v/>
      </c>
      <c r="G244" s="84"/>
      <c r="H244" s="85"/>
      <c r="I244" s="86" t="str">
        <f t="shared" si="11"/>
        <v/>
      </c>
    </row>
    <row r="245" spans="1:9">
      <c r="A245" s="84"/>
      <c r="B245" s="85"/>
      <c r="C245" s="86" t="str">
        <f t="shared" si="9"/>
        <v/>
      </c>
      <c r="D245" s="84"/>
      <c r="E245" s="85"/>
      <c r="F245" s="86" t="str">
        <f t="shared" si="10"/>
        <v/>
      </c>
      <c r="G245" s="84"/>
      <c r="H245" s="85"/>
      <c r="I245" s="86" t="str">
        <f t="shared" si="11"/>
        <v/>
      </c>
    </row>
    <row r="246" spans="1:9">
      <c r="A246" s="84"/>
      <c r="B246" s="85"/>
      <c r="C246" s="86" t="str">
        <f t="shared" si="9"/>
        <v/>
      </c>
      <c r="D246" s="84"/>
      <c r="E246" s="85"/>
      <c r="F246" s="86" t="str">
        <f t="shared" si="10"/>
        <v/>
      </c>
      <c r="G246" s="84"/>
      <c r="H246" s="85"/>
      <c r="I246" s="86" t="str">
        <f t="shared" si="11"/>
        <v/>
      </c>
    </row>
    <row r="247" spans="1:9">
      <c r="A247" s="84"/>
      <c r="B247" s="85"/>
      <c r="C247" s="86" t="str">
        <f t="shared" si="9"/>
        <v/>
      </c>
      <c r="D247" s="84"/>
      <c r="E247" s="85"/>
      <c r="F247" s="86" t="str">
        <f t="shared" si="10"/>
        <v/>
      </c>
      <c r="G247" s="84"/>
      <c r="H247" s="85"/>
      <c r="I247" s="86" t="str">
        <f t="shared" si="11"/>
        <v/>
      </c>
    </row>
    <row r="248" spans="1:9">
      <c r="A248" s="84"/>
      <c r="B248" s="85"/>
      <c r="C248" s="86" t="str">
        <f t="shared" si="9"/>
        <v/>
      </c>
      <c r="D248" s="84"/>
      <c r="E248" s="85"/>
      <c r="F248" s="86" t="str">
        <f t="shared" si="10"/>
        <v/>
      </c>
      <c r="G248" s="84"/>
      <c r="H248" s="85"/>
      <c r="I248" s="86" t="str">
        <f t="shared" si="11"/>
        <v/>
      </c>
    </row>
    <row r="249" spans="1:9">
      <c r="A249" s="84"/>
      <c r="B249" s="85"/>
      <c r="C249" s="86" t="str">
        <f t="shared" si="9"/>
        <v/>
      </c>
      <c r="D249" s="84"/>
      <c r="E249" s="85"/>
      <c r="F249" s="86" t="str">
        <f t="shared" si="10"/>
        <v/>
      </c>
      <c r="G249" s="84"/>
      <c r="H249" s="85"/>
      <c r="I249" s="86" t="str">
        <f t="shared" si="11"/>
        <v/>
      </c>
    </row>
    <row r="250" spans="1:9">
      <c r="A250" s="84"/>
      <c r="B250" s="85"/>
      <c r="C250" s="86" t="str">
        <f t="shared" si="9"/>
        <v/>
      </c>
      <c r="D250" s="84"/>
      <c r="E250" s="85"/>
      <c r="F250" s="86" t="str">
        <f t="shared" si="10"/>
        <v/>
      </c>
      <c r="G250" s="84"/>
      <c r="H250" s="85"/>
      <c r="I250" s="86" t="str">
        <f t="shared" si="11"/>
        <v/>
      </c>
    </row>
    <row r="251" spans="1:9">
      <c r="A251" s="84"/>
      <c r="B251" s="85"/>
      <c r="C251" s="86" t="str">
        <f t="shared" si="9"/>
        <v/>
      </c>
      <c r="D251" s="84"/>
      <c r="E251" s="85"/>
      <c r="F251" s="86" t="str">
        <f t="shared" si="10"/>
        <v/>
      </c>
      <c r="G251" s="84"/>
      <c r="H251" s="85"/>
      <c r="I251" s="86" t="str">
        <f t="shared" si="11"/>
        <v/>
      </c>
    </row>
    <row r="252" spans="1:9">
      <c r="A252" s="84"/>
      <c r="B252" s="85"/>
      <c r="C252" s="86" t="str">
        <f t="shared" si="9"/>
        <v/>
      </c>
      <c r="D252" s="84"/>
      <c r="E252" s="85"/>
      <c r="F252" s="86" t="str">
        <f t="shared" si="10"/>
        <v/>
      </c>
      <c r="G252" s="84"/>
      <c r="H252" s="85"/>
      <c r="I252" s="86" t="str">
        <f t="shared" si="11"/>
        <v/>
      </c>
    </row>
    <row r="253" spans="1:9">
      <c r="A253" s="84"/>
      <c r="B253" s="85"/>
      <c r="C253" s="86" t="str">
        <f t="shared" si="9"/>
        <v/>
      </c>
      <c r="D253" s="84"/>
      <c r="E253" s="85"/>
      <c r="F253" s="86" t="str">
        <f t="shared" si="10"/>
        <v/>
      </c>
      <c r="G253" s="84"/>
      <c r="H253" s="85"/>
      <c r="I253" s="86" t="str">
        <f t="shared" si="11"/>
        <v/>
      </c>
    </row>
    <row r="254" spans="1:9">
      <c r="A254" s="84"/>
      <c r="B254" s="85"/>
      <c r="C254" s="86" t="str">
        <f t="shared" si="9"/>
        <v/>
      </c>
      <c r="D254" s="84"/>
      <c r="E254" s="85"/>
      <c r="F254" s="86" t="str">
        <f t="shared" si="10"/>
        <v/>
      </c>
      <c r="G254" s="84"/>
      <c r="H254" s="85"/>
      <c r="I254" s="86" t="str">
        <f t="shared" si="11"/>
        <v/>
      </c>
    </row>
    <row r="255" spans="1:9">
      <c r="A255" s="84"/>
      <c r="B255" s="85"/>
      <c r="C255" s="86" t="str">
        <f t="shared" si="9"/>
        <v/>
      </c>
      <c r="D255" s="84"/>
      <c r="E255" s="85"/>
      <c r="F255" s="86" t="str">
        <f t="shared" si="10"/>
        <v/>
      </c>
      <c r="G255" s="84"/>
      <c r="H255" s="85"/>
      <c r="I255" s="86" t="str">
        <f t="shared" si="11"/>
        <v/>
      </c>
    </row>
    <row r="256" spans="1:9">
      <c r="A256" s="84"/>
      <c r="B256" s="85"/>
      <c r="C256" s="86" t="str">
        <f t="shared" si="9"/>
        <v/>
      </c>
      <c r="D256" s="84"/>
      <c r="E256" s="85"/>
      <c r="F256" s="86" t="str">
        <f t="shared" si="10"/>
        <v/>
      </c>
      <c r="G256" s="84"/>
      <c r="H256" s="85"/>
      <c r="I256" s="86" t="str">
        <f t="shared" si="11"/>
        <v/>
      </c>
    </row>
    <row r="257" spans="1:9">
      <c r="A257" s="84"/>
      <c r="B257" s="85"/>
      <c r="C257" s="86" t="str">
        <f t="shared" si="9"/>
        <v/>
      </c>
      <c r="D257" s="84"/>
      <c r="E257" s="85"/>
      <c r="F257" s="86" t="str">
        <f t="shared" si="10"/>
        <v/>
      </c>
      <c r="G257" s="84"/>
      <c r="H257" s="85"/>
      <c r="I257" s="86" t="str">
        <f t="shared" si="11"/>
        <v/>
      </c>
    </row>
    <row r="258" spans="1:9">
      <c r="A258" s="84"/>
      <c r="B258" s="85"/>
      <c r="C258" s="86" t="str">
        <f t="shared" si="9"/>
        <v/>
      </c>
      <c r="D258" s="84"/>
      <c r="E258" s="85"/>
      <c r="F258" s="86" t="str">
        <f t="shared" si="10"/>
        <v/>
      </c>
      <c r="G258" s="84"/>
      <c r="H258" s="85"/>
      <c r="I258" s="86" t="str">
        <f t="shared" si="11"/>
        <v/>
      </c>
    </row>
    <row r="259" spans="1:9">
      <c r="A259" s="84"/>
      <c r="B259" s="85"/>
      <c r="C259" s="86" t="str">
        <f t="shared" si="9"/>
        <v/>
      </c>
      <c r="D259" s="84"/>
      <c r="E259" s="85"/>
      <c r="F259" s="86" t="str">
        <f t="shared" si="10"/>
        <v/>
      </c>
      <c r="G259" s="84"/>
      <c r="H259" s="85"/>
      <c r="I259" s="86" t="str">
        <f t="shared" si="11"/>
        <v/>
      </c>
    </row>
    <row r="260" spans="1:9">
      <c r="A260" s="84"/>
      <c r="B260" s="85"/>
      <c r="C260" s="86" t="str">
        <f t="shared" si="9"/>
        <v/>
      </c>
      <c r="D260" s="84"/>
      <c r="E260" s="85"/>
      <c r="F260" s="86" t="str">
        <f t="shared" si="10"/>
        <v/>
      </c>
      <c r="G260" s="84"/>
      <c r="H260" s="85"/>
      <c r="I260" s="86" t="str">
        <f t="shared" si="11"/>
        <v/>
      </c>
    </row>
    <row r="261" spans="1:9">
      <c r="A261" s="84"/>
      <c r="B261" s="85"/>
      <c r="C261" s="86" t="str">
        <f t="shared" ref="C261:C304" si="12">IF(B261&gt;0,TEXT(B261,"(aaa)"),"")</f>
        <v/>
      </c>
      <c r="D261" s="84"/>
      <c r="E261" s="85"/>
      <c r="F261" s="86" t="str">
        <f t="shared" ref="F261:F304" si="13">IF(E261&gt;0,TEXT(E261,"(aaa)"),"")</f>
        <v/>
      </c>
      <c r="G261" s="84"/>
      <c r="H261" s="85"/>
      <c r="I261" s="86" t="str">
        <f t="shared" ref="I261:I304" si="14">IF(H261&gt;0,TEXT(H261,"(aaa)"),"")</f>
        <v/>
      </c>
    </row>
    <row r="262" spans="1:9">
      <c r="A262" s="84"/>
      <c r="B262" s="85"/>
      <c r="C262" s="86" t="str">
        <f t="shared" si="12"/>
        <v/>
      </c>
      <c r="D262" s="84"/>
      <c r="E262" s="85"/>
      <c r="F262" s="86" t="str">
        <f t="shared" si="13"/>
        <v/>
      </c>
      <c r="G262" s="84"/>
      <c r="H262" s="85"/>
      <c r="I262" s="86" t="str">
        <f t="shared" si="14"/>
        <v/>
      </c>
    </row>
    <row r="263" spans="1:9">
      <c r="A263" s="84"/>
      <c r="B263" s="85"/>
      <c r="C263" s="86" t="str">
        <f t="shared" si="12"/>
        <v/>
      </c>
      <c r="D263" s="84"/>
      <c r="E263" s="85"/>
      <c r="F263" s="86" t="str">
        <f t="shared" si="13"/>
        <v/>
      </c>
      <c r="G263" s="84"/>
      <c r="H263" s="85"/>
      <c r="I263" s="86" t="str">
        <f t="shared" si="14"/>
        <v/>
      </c>
    </row>
    <row r="264" spans="1:9">
      <c r="A264" s="84"/>
      <c r="B264" s="85"/>
      <c r="C264" s="86" t="str">
        <f t="shared" si="12"/>
        <v/>
      </c>
      <c r="D264" s="84"/>
      <c r="E264" s="85"/>
      <c r="F264" s="86" t="str">
        <f t="shared" si="13"/>
        <v/>
      </c>
      <c r="G264" s="84"/>
      <c r="H264" s="85"/>
      <c r="I264" s="86" t="str">
        <f t="shared" si="14"/>
        <v/>
      </c>
    </row>
    <row r="265" spans="1:9">
      <c r="A265" s="84"/>
      <c r="B265" s="85"/>
      <c r="C265" s="86" t="str">
        <f t="shared" si="12"/>
        <v/>
      </c>
      <c r="D265" s="84"/>
      <c r="E265" s="85"/>
      <c r="F265" s="86" t="str">
        <f t="shared" si="13"/>
        <v/>
      </c>
      <c r="G265" s="84"/>
      <c r="H265" s="85"/>
      <c r="I265" s="86" t="str">
        <f t="shared" si="14"/>
        <v/>
      </c>
    </row>
    <row r="266" spans="1:9">
      <c r="A266" s="84"/>
      <c r="B266" s="85"/>
      <c r="C266" s="86" t="str">
        <f t="shared" si="12"/>
        <v/>
      </c>
      <c r="D266" s="84"/>
      <c r="E266" s="85"/>
      <c r="F266" s="86" t="str">
        <f t="shared" si="13"/>
        <v/>
      </c>
      <c r="G266" s="84"/>
      <c r="H266" s="85"/>
      <c r="I266" s="86" t="str">
        <f t="shared" si="14"/>
        <v/>
      </c>
    </row>
    <row r="267" spans="1:9">
      <c r="A267" s="84"/>
      <c r="B267" s="85"/>
      <c r="C267" s="86" t="str">
        <f t="shared" si="12"/>
        <v/>
      </c>
      <c r="D267" s="84"/>
      <c r="E267" s="85"/>
      <c r="F267" s="86" t="str">
        <f t="shared" si="13"/>
        <v/>
      </c>
      <c r="G267" s="84"/>
      <c r="H267" s="85"/>
      <c r="I267" s="86" t="str">
        <f t="shared" si="14"/>
        <v/>
      </c>
    </row>
    <row r="268" spans="1:9">
      <c r="A268" s="84"/>
      <c r="B268" s="85"/>
      <c r="C268" s="86" t="str">
        <f t="shared" si="12"/>
        <v/>
      </c>
      <c r="D268" s="84"/>
      <c r="E268" s="85"/>
      <c r="F268" s="86" t="str">
        <f t="shared" si="13"/>
        <v/>
      </c>
      <c r="G268" s="84"/>
      <c r="H268" s="85"/>
      <c r="I268" s="86" t="str">
        <f t="shared" si="14"/>
        <v/>
      </c>
    </row>
    <row r="269" spans="1:9">
      <c r="A269" s="84"/>
      <c r="B269" s="85"/>
      <c r="C269" s="86" t="str">
        <f t="shared" si="12"/>
        <v/>
      </c>
      <c r="D269" s="84"/>
      <c r="E269" s="85"/>
      <c r="F269" s="86" t="str">
        <f t="shared" si="13"/>
        <v/>
      </c>
      <c r="G269" s="84"/>
      <c r="H269" s="85"/>
      <c r="I269" s="86" t="str">
        <f t="shared" si="14"/>
        <v/>
      </c>
    </row>
    <row r="270" spans="1:9">
      <c r="A270" s="84"/>
      <c r="B270" s="85"/>
      <c r="C270" s="86" t="str">
        <f t="shared" si="12"/>
        <v/>
      </c>
      <c r="D270" s="84"/>
      <c r="E270" s="85"/>
      <c r="F270" s="86" t="str">
        <f t="shared" si="13"/>
        <v/>
      </c>
      <c r="G270" s="84"/>
      <c r="H270" s="85"/>
      <c r="I270" s="86" t="str">
        <f t="shared" si="14"/>
        <v/>
      </c>
    </row>
    <row r="271" spans="1:9">
      <c r="A271" s="84"/>
      <c r="B271" s="85"/>
      <c r="C271" s="86" t="str">
        <f t="shared" si="12"/>
        <v/>
      </c>
      <c r="D271" s="84"/>
      <c r="E271" s="85"/>
      <c r="F271" s="86" t="str">
        <f t="shared" si="13"/>
        <v/>
      </c>
      <c r="G271" s="84"/>
      <c r="H271" s="85"/>
      <c r="I271" s="86" t="str">
        <f t="shared" si="14"/>
        <v/>
      </c>
    </row>
    <row r="272" spans="1:9">
      <c r="A272" s="84"/>
      <c r="B272" s="85"/>
      <c r="C272" s="86" t="str">
        <f t="shared" si="12"/>
        <v/>
      </c>
      <c r="D272" s="84"/>
      <c r="E272" s="85"/>
      <c r="F272" s="86" t="str">
        <f t="shared" si="13"/>
        <v/>
      </c>
      <c r="G272" s="84"/>
      <c r="H272" s="85"/>
      <c r="I272" s="86" t="str">
        <f t="shared" si="14"/>
        <v/>
      </c>
    </row>
    <row r="273" spans="1:9">
      <c r="A273" s="84"/>
      <c r="B273" s="85"/>
      <c r="C273" s="86" t="str">
        <f t="shared" si="12"/>
        <v/>
      </c>
      <c r="D273" s="84"/>
      <c r="E273" s="85"/>
      <c r="F273" s="86" t="str">
        <f t="shared" si="13"/>
        <v/>
      </c>
      <c r="G273" s="84"/>
      <c r="H273" s="85"/>
      <c r="I273" s="86" t="str">
        <f t="shared" si="14"/>
        <v/>
      </c>
    </row>
    <row r="274" spans="1:9">
      <c r="A274" s="84"/>
      <c r="B274" s="85"/>
      <c r="C274" s="86" t="str">
        <f t="shared" si="12"/>
        <v/>
      </c>
      <c r="D274" s="84"/>
      <c r="E274" s="85"/>
      <c r="F274" s="86" t="str">
        <f t="shared" si="13"/>
        <v/>
      </c>
      <c r="G274" s="84"/>
      <c r="H274" s="85"/>
      <c r="I274" s="86" t="str">
        <f t="shared" si="14"/>
        <v/>
      </c>
    </row>
    <row r="275" spans="1:9">
      <c r="A275" s="84"/>
      <c r="B275" s="85"/>
      <c r="C275" s="86" t="str">
        <f t="shared" si="12"/>
        <v/>
      </c>
      <c r="D275" s="84"/>
      <c r="E275" s="85"/>
      <c r="F275" s="86" t="str">
        <f t="shared" si="13"/>
        <v/>
      </c>
      <c r="G275" s="84"/>
      <c r="H275" s="85"/>
      <c r="I275" s="86" t="str">
        <f t="shared" si="14"/>
        <v/>
      </c>
    </row>
    <row r="276" spans="1:9">
      <c r="A276" s="84"/>
      <c r="B276" s="85"/>
      <c r="C276" s="86" t="str">
        <f t="shared" si="12"/>
        <v/>
      </c>
      <c r="D276" s="84"/>
      <c r="E276" s="85"/>
      <c r="F276" s="86" t="str">
        <f t="shared" si="13"/>
        <v/>
      </c>
      <c r="G276" s="84"/>
      <c r="H276" s="85"/>
      <c r="I276" s="86" t="str">
        <f t="shared" si="14"/>
        <v/>
      </c>
    </row>
    <row r="277" spans="1:9">
      <c r="A277" s="84"/>
      <c r="B277" s="85"/>
      <c r="C277" s="86" t="str">
        <f t="shared" si="12"/>
        <v/>
      </c>
      <c r="D277" s="84"/>
      <c r="E277" s="85"/>
      <c r="F277" s="86" t="str">
        <f t="shared" si="13"/>
        <v/>
      </c>
      <c r="G277" s="84"/>
      <c r="H277" s="85"/>
      <c r="I277" s="86" t="str">
        <f t="shared" si="14"/>
        <v/>
      </c>
    </row>
    <row r="278" spans="1:9">
      <c r="A278" s="84"/>
      <c r="B278" s="85"/>
      <c r="C278" s="86" t="str">
        <f t="shared" si="12"/>
        <v/>
      </c>
      <c r="D278" s="84"/>
      <c r="E278" s="85"/>
      <c r="F278" s="86" t="str">
        <f t="shared" si="13"/>
        <v/>
      </c>
      <c r="G278" s="84"/>
      <c r="H278" s="85"/>
      <c r="I278" s="86" t="str">
        <f t="shared" si="14"/>
        <v/>
      </c>
    </row>
    <row r="279" spans="1:9">
      <c r="A279" s="84"/>
      <c r="B279" s="85"/>
      <c r="C279" s="86" t="str">
        <f t="shared" si="12"/>
        <v/>
      </c>
      <c r="D279" s="84"/>
      <c r="E279" s="85"/>
      <c r="F279" s="86" t="str">
        <f t="shared" si="13"/>
        <v/>
      </c>
      <c r="G279" s="84"/>
      <c r="H279" s="85"/>
      <c r="I279" s="86" t="str">
        <f t="shared" si="14"/>
        <v/>
      </c>
    </row>
    <row r="280" spans="1:9">
      <c r="A280" s="84"/>
      <c r="B280" s="85"/>
      <c r="C280" s="86" t="str">
        <f t="shared" si="12"/>
        <v/>
      </c>
      <c r="D280" s="84"/>
      <c r="E280" s="85"/>
      <c r="F280" s="86" t="str">
        <f t="shared" si="13"/>
        <v/>
      </c>
      <c r="G280" s="84"/>
      <c r="H280" s="85"/>
      <c r="I280" s="86" t="str">
        <f t="shared" si="14"/>
        <v/>
      </c>
    </row>
    <row r="281" spans="1:9">
      <c r="A281" s="84"/>
      <c r="B281" s="85"/>
      <c r="C281" s="86" t="str">
        <f t="shared" si="12"/>
        <v/>
      </c>
      <c r="D281" s="84"/>
      <c r="E281" s="85"/>
      <c r="F281" s="86" t="str">
        <f t="shared" si="13"/>
        <v/>
      </c>
      <c r="G281" s="84"/>
      <c r="H281" s="85"/>
      <c r="I281" s="86" t="str">
        <f t="shared" si="14"/>
        <v/>
      </c>
    </row>
    <row r="282" spans="1:9">
      <c r="A282" s="84"/>
      <c r="B282" s="85"/>
      <c r="C282" s="86" t="str">
        <f t="shared" si="12"/>
        <v/>
      </c>
      <c r="D282" s="84"/>
      <c r="E282" s="85"/>
      <c r="F282" s="86" t="str">
        <f t="shared" si="13"/>
        <v/>
      </c>
      <c r="G282" s="84"/>
      <c r="H282" s="85"/>
      <c r="I282" s="86" t="str">
        <f t="shared" si="14"/>
        <v/>
      </c>
    </row>
    <row r="283" spans="1:9">
      <c r="A283" s="84"/>
      <c r="B283" s="85"/>
      <c r="C283" s="86" t="str">
        <f t="shared" si="12"/>
        <v/>
      </c>
      <c r="D283" s="84"/>
      <c r="E283" s="85"/>
      <c r="F283" s="86" t="str">
        <f t="shared" si="13"/>
        <v/>
      </c>
      <c r="G283" s="84"/>
      <c r="H283" s="85"/>
      <c r="I283" s="86" t="str">
        <f t="shared" si="14"/>
        <v/>
      </c>
    </row>
    <row r="284" spans="1:9">
      <c r="A284" s="84"/>
      <c r="B284" s="85"/>
      <c r="C284" s="86" t="str">
        <f t="shared" si="12"/>
        <v/>
      </c>
      <c r="D284" s="84"/>
      <c r="E284" s="85"/>
      <c r="F284" s="86" t="str">
        <f t="shared" si="13"/>
        <v/>
      </c>
      <c r="G284" s="84"/>
      <c r="H284" s="85"/>
      <c r="I284" s="86" t="str">
        <f t="shared" si="14"/>
        <v/>
      </c>
    </row>
    <row r="285" spans="1:9">
      <c r="A285" s="84"/>
      <c r="B285" s="85"/>
      <c r="C285" s="86" t="str">
        <f t="shared" si="12"/>
        <v/>
      </c>
      <c r="D285" s="84"/>
      <c r="E285" s="85"/>
      <c r="F285" s="86" t="str">
        <f t="shared" si="13"/>
        <v/>
      </c>
      <c r="G285" s="84"/>
      <c r="H285" s="85"/>
      <c r="I285" s="86" t="str">
        <f t="shared" si="14"/>
        <v/>
      </c>
    </row>
    <row r="286" spans="1:9">
      <c r="A286" s="84"/>
      <c r="B286" s="85"/>
      <c r="C286" s="86" t="str">
        <f t="shared" si="12"/>
        <v/>
      </c>
      <c r="D286" s="84"/>
      <c r="E286" s="85"/>
      <c r="F286" s="86" t="str">
        <f t="shared" si="13"/>
        <v/>
      </c>
      <c r="G286" s="84"/>
      <c r="H286" s="85"/>
      <c r="I286" s="86" t="str">
        <f t="shared" si="14"/>
        <v/>
      </c>
    </row>
    <row r="287" spans="1:9">
      <c r="A287" s="84"/>
      <c r="B287" s="85"/>
      <c r="C287" s="86" t="str">
        <f t="shared" si="12"/>
        <v/>
      </c>
      <c r="D287" s="84"/>
      <c r="E287" s="85"/>
      <c r="F287" s="86" t="str">
        <f t="shared" si="13"/>
        <v/>
      </c>
      <c r="G287" s="84"/>
      <c r="H287" s="85"/>
      <c r="I287" s="86" t="str">
        <f t="shared" si="14"/>
        <v/>
      </c>
    </row>
    <row r="288" spans="1:9">
      <c r="A288" s="84"/>
      <c r="B288" s="85"/>
      <c r="C288" s="86" t="str">
        <f t="shared" si="12"/>
        <v/>
      </c>
      <c r="D288" s="84"/>
      <c r="E288" s="85"/>
      <c r="F288" s="86" t="str">
        <f t="shared" si="13"/>
        <v/>
      </c>
      <c r="G288" s="84"/>
      <c r="H288" s="85"/>
      <c r="I288" s="86" t="str">
        <f t="shared" si="14"/>
        <v/>
      </c>
    </row>
    <row r="289" spans="1:9">
      <c r="A289" s="84"/>
      <c r="B289" s="85"/>
      <c r="C289" s="86" t="str">
        <f t="shared" si="12"/>
        <v/>
      </c>
      <c r="D289" s="84"/>
      <c r="E289" s="85"/>
      <c r="F289" s="86" t="str">
        <f t="shared" si="13"/>
        <v/>
      </c>
      <c r="G289" s="84"/>
      <c r="H289" s="85"/>
      <c r="I289" s="86" t="str">
        <f t="shared" si="14"/>
        <v/>
      </c>
    </row>
    <row r="290" spans="1:9">
      <c r="A290" s="84"/>
      <c r="B290" s="85"/>
      <c r="C290" s="86" t="str">
        <f t="shared" si="12"/>
        <v/>
      </c>
      <c r="D290" s="84"/>
      <c r="E290" s="85"/>
      <c r="F290" s="86" t="str">
        <f t="shared" si="13"/>
        <v/>
      </c>
      <c r="G290" s="84"/>
      <c r="H290" s="85"/>
      <c r="I290" s="86" t="str">
        <f t="shared" si="14"/>
        <v/>
      </c>
    </row>
    <row r="291" spans="1:9">
      <c r="A291" s="84"/>
      <c r="B291" s="85"/>
      <c r="C291" s="86" t="str">
        <f t="shared" si="12"/>
        <v/>
      </c>
      <c r="D291" s="84"/>
      <c r="E291" s="85"/>
      <c r="F291" s="86" t="str">
        <f t="shared" si="13"/>
        <v/>
      </c>
      <c r="G291" s="84"/>
      <c r="H291" s="85"/>
      <c r="I291" s="86" t="str">
        <f t="shared" si="14"/>
        <v/>
      </c>
    </row>
    <row r="292" spans="1:9">
      <c r="A292" s="84"/>
      <c r="B292" s="85"/>
      <c r="C292" s="86" t="str">
        <f t="shared" si="12"/>
        <v/>
      </c>
      <c r="D292" s="84"/>
      <c r="E292" s="85"/>
      <c r="F292" s="86" t="str">
        <f t="shared" si="13"/>
        <v/>
      </c>
      <c r="G292" s="84"/>
      <c r="H292" s="85"/>
      <c r="I292" s="86" t="str">
        <f t="shared" si="14"/>
        <v/>
      </c>
    </row>
    <row r="293" spans="1:9">
      <c r="A293" s="84"/>
      <c r="B293" s="85"/>
      <c r="C293" s="86" t="str">
        <f t="shared" si="12"/>
        <v/>
      </c>
      <c r="D293" s="84"/>
      <c r="E293" s="85"/>
      <c r="F293" s="86" t="str">
        <f t="shared" si="13"/>
        <v/>
      </c>
      <c r="G293" s="84"/>
      <c r="H293" s="85"/>
      <c r="I293" s="86" t="str">
        <f t="shared" si="14"/>
        <v/>
      </c>
    </row>
    <row r="294" spans="1:9">
      <c r="A294" s="84"/>
      <c r="B294" s="85"/>
      <c r="C294" s="86" t="str">
        <f t="shared" si="12"/>
        <v/>
      </c>
      <c r="D294" s="84"/>
      <c r="E294" s="85"/>
      <c r="F294" s="86" t="str">
        <f t="shared" si="13"/>
        <v/>
      </c>
      <c r="G294" s="84"/>
      <c r="H294" s="85"/>
      <c r="I294" s="86" t="str">
        <f t="shared" si="14"/>
        <v/>
      </c>
    </row>
    <row r="295" spans="1:9">
      <c r="A295" s="84"/>
      <c r="B295" s="85"/>
      <c r="C295" s="86" t="str">
        <f t="shared" si="12"/>
        <v/>
      </c>
      <c r="D295" s="84"/>
      <c r="E295" s="85"/>
      <c r="F295" s="86" t="str">
        <f t="shared" si="13"/>
        <v/>
      </c>
      <c r="G295" s="84"/>
      <c r="H295" s="85"/>
      <c r="I295" s="86" t="str">
        <f t="shared" si="14"/>
        <v/>
      </c>
    </row>
    <row r="296" spans="1:9">
      <c r="A296" s="84"/>
      <c r="B296" s="85"/>
      <c r="C296" s="86" t="str">
        <f t="shared" si="12"/>
        <v/>
      </c>
      <c r="D296" s="84"/>
      <c r="E296" s="85"/>
      <c r="F296" s="86" t="str">
        <f t="shared" si="13"/>
        <v/>
      </c>
      <c r="G296" s="84"/>
      <c r="H296" s="85"/>
      <c r="I296" s="86" t="str">
        <f t="shared" si="14"/>
        <v/>
      </c>
    </row>
    <row r="297" spans="1:9">
      <c r="A297" s="84"/>
      <c r="B297" s="85"/>
      <c r="C297" s="86" t="str">
        <f t="shared" si="12"/>
        <v/>
      </c>
      <c r="D297" s="84"/>
      <c r="E297" s="85"/>
      <c r="F297" s="86" t="str">
        <f t="shared" si="13"/>
        <v/>
      </c>
      <c r="G297" s="84"/>
      <c r="H297" s="85"/>
      <c r="I297" s="86" t="str">
        <f t="shared" si="14"/>
        <v/>
      </c>
    </row>
    <row r="298" spans="1:9">
      <c r="A298" s="84"/>
      <c r="B298" s="85"/>
      <c r="C298" s="86" t="str">
        <f t="shared" si="12"/>
        <v/>
      </c>
      <c r="D298" s="84"/>
      <c r="E298" s="85"/>
      <c r="F298" s="86" t="str">
        <f t="shared" si="13"/>
        <v/>
      </c>
      <c r="G298" s="84"/>
      <c r="H298" s="85"/>
      <c r="I298" s="86" t="str">
        <f t="shared" si="14"/>
        <v/>
      </c>
    </row>
    <row r="299" spans="1:9">
      <c r="A299" s="84"/>
      <c r="B299" s="85"/>
      <c r="C299" s="86" t="str">
        <f t="shared" si="12"/>
        <v/>
      </c>
      <c r="D299" s="84"/>
      <c r="E299" s="85"/>
      <c r="F299" s="86" t="str">
        <f t="shared" si="13"/>
        <v/>
      </c>
      <c r="G299" s="84"/>
      <c r="H299" s="85"/>
      <c r="I299" s="86" t="str">
        <f t="shared" si="14"/>
        <v/>
      </c>
    </row>
    <row r="300" spans="1:9">
      <c r="A300" s="84"/>
      <c r="B300" s="85"/>
      <c r="C300" s="86" t="str">
        <f t="shared" si="12"/>
        <v/>
      </c>
      <c r="D300" s="84"/>
      <c r="E300" s="85"/>
      <c r="F300" s="86" t="str">
        <f t="shared" si="13"/>
        <v/>
      </c>
      <c r="G300" s="84"/>
      <c r="H300" s="85"/>
      <c r="I300" s="86" t="str">
        <f t="shared" si="14"/>
        <v/>
      </c>
    </row>
    <row r="301" spans="1:9">
      <c r="A301" s="84"/>
      <c r="B301" s="85"/>
      <c r="C301" s="86" t="str">
        <f t="shared" si="12"/>
        <v/>
      </c>
      <c r="D301" s="84"/>
      <c r="E301" s="85"/>
      <c r="F301" s="86" t="str">
        <f t="shared" si="13"/>
        <v/>
      </c>
      <c r="G301" s="84"/>
      <c r="H301" s="85"/>
      <c r="I301" s="86" t="str">
        <f t="shared" si="14"/>
        <v/>
      </c>
    </row>
    <row r="302" spans="1:9">
      <c r="A302" s="84"/>
      <c r="B302" s="88"/>
      <c r="C302" s="86" t="str">
        <f t="shared" si="12"/>
        <v/>
      </c>
      <c r="D302" s="84"/>
      <c r="E302" s="88"/>
      <c r="F302" s="86" t="str">
        <f t="shared" si="13"/>
        <v/>
      </c>
      <c r="G302" s="84"/>
      <c r="H302" s="88"/>
      <c r="I302" s="86" t="str">
        <f t="shared" si="14"/>
        <v/>
      </c>
    </row>
    <row r="303" spans="1:9">
      <c r="A303" s="84"/>
      <c r="B303" s="88"/>
      <c r="C303" s="86" t="str">
        <f t="shared" si="12"/>
        <v/>
      </c>
      <c r="D303" s="84"/>
      <c r="E303" s="88"/>
      <c r="F303" s="86" t="str">
        <f t="shared" si="13"/>
        <v/>
      </c>
      <c r="G303" s="84"/>
      <c r="H303" s="88"/>
      <c r="I303" s="86" t="str">
        <f t="shared" si="14"/>
        <v/>
      </c>
    </row>
    <row r="304" spans="1:9">
      <c r="A304" s="84"/>
      <c r="B304" s="88"/>
      <c r="C304" s="86" t="str">
        <f t="shared" si="12"/>
        <v/>
      </c>
      <c r="D304" s="84"/>
      <c r="E304" s="88"/>
      <c r="F304" s="86" t="str">
        <f t="shared" si="13"/>
        <v/>
      </c>
      <c r="G304" s="84"/>
      <c r="H304" s="88"/>
      <c r="I304" s="86" t="str">
        <f t="shared" si="14"/>
        <v/>
      </c>
    </row>
    <row r="305" spans="1:7">
      <c r="A305" s="86" t="s">
        <v>1139</v>
      </c>
      <c r="D305" s="86" t="s">
        <v>1139</v>
      </c>
      <c r="G305" s="86" t="s">
        <v>1139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이름이 지정된 범위</vt:lpstr>
      </vt:variant>
      <vt:variant>
        <vt:i4>33</vt:i4>
      </vt:variant>
    </vt:vector>
  </HeadingPairs>
  <TitlesOfParts>
    <vt:vector size="38" baseType="lpstr">
      <vt:lpstr>TranslatedLanguages</vt:lpstr>
      <vt:lpstr>Schedule</vt:lpstr>
      <vt:lpstr>Progress</vt:lpstr>
      <vt:lpstr>AnalysisReport</vt:lpstr>
      <vt:lpstr>Calendar</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john</cp:lastModifiedBy>
  <dcterms:created xsi:type="dcterms:W3CDTF">2018-02-18T09:45:14Z</dcterms:created>
  <dcterms:modified xsi:type="dcterms:W3CDTF">2019-06-25T16:50:09Z</dcterms:modified>
</cp:coreProperties>
</file>