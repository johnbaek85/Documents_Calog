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hn\Desktop\"/>
    </mc:Choice>
  </mc:AlternateContent>
  <bookViews>
    <workbookView xWindow="0" yWindow="0" windowWidth="28800" windowHeight="12390"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 name="Team Members" sheetId="9" r:id="rId8"/>
  </sheets>
  <functionGroups builtInGroupCount="18"/>
  <externalReferences>
    <externalReference r:id="rId9"/>
  </externalReferences>
  <definedNames>
    <definedName name="_xlnm._FilterDatabase" localSheetId="3" hidden="1">Schedule!$D$3:$AB$122</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Calendar!$B$5:$B$290</definedName>
    <definedName name="TOTAL_WORKLOAD">Progress!$B$6</definedName>
    <definedName name="UD_CAL1">Calendar!$E$5:$E$290</definedName>
    <definedName name="UD_CAL2">Calendar!$H$5:$H$290</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 i="2" l="1"/>
  <c r="AC6" i="2"/>
  <c r="AC7" i="2"/>
  <c r="AC8" i="2"/>
  <c r="AC9" i="2"/>
  <c r="AC10" i="2"/>
  <c r="AC11" i="2"/>
  <c r="AC12" i="2"/>
  <c r="AC13" i="2"/>
  <c r="AC14" i="2"/>
  <c r="AD15" i="2"/>
  <c r="AD16" i="2"/>
  <c r="AC17" i="2"/>
  <c r="AC18" i="2"/>
  <c r="AC19" i="2"/>
  <c r="AC20" i="2"/>
  <c r="AC21" i="2"/>
  <c r="AD22" i="2"/>
  <c r="AD23" i="2"/>
  <c r="AD24" i="2"/>
  <c r="AD25" i="2"/>
  <c r="AD26" i="2"/>
  <c r="AD27" i="2"/>
  <c r="AD28" i="2"/>
  <c r="AD29" i="2"/>
  <c r="AD30" i="2"/>
  <c r="AD31" i="2"/>
  <c r="AD32" i="2"/>
  <c r="AD33" i="2"/>
  <c r="AD34" i="2"/>
  <c r="AD35" i="2"/>
  <c r="AD36" i="2"/>
  <c r="AD37" i="2"/>
  <c r="AD38" i="2"/>
  <c r="AF39" i="2"/>
  <c r="AE40" i="2"/>
  <c r="AD41" i="2"/>
  <c r="AE42" i="2"/>
  <c r="AD43" i="2"/>
  <c r="AE44" i="2"/>
  <c r="AE45" i="2"/>
  <c r="AF46" i="2"/>
  <c r="AF47" i="2"/>
  <c r="AE48" i="2"/>
  <c r="AE49" i="2"/>
  <c r="AD50" i="2"/>
  <c r="AE51" i="2"/>
  <c r="AE52" i="2"/>
  <c r="AE53" i="2"/>
  <c r="AE54" i="2"/>
  <c r="AF55" i="2"/>
  <c r="AE56" i="2"/>
  <c r="AE57" i="2"/>
  <c r="AE58" i="2"/>
  <c r="AE59" i="2"/>
  <c r="AE60" i="2"/>
  <c r="AE61" i="2"/>
  <c r="AE62" i="2"/>
  <c r="AE63" i="2"/>
  <c r="AE64" i="2"/>
  <c r="AE65" i="2"/>
  <c r="AE66" i="2"/>
  <c r="AE67" i="2"/>
  <c r="AE68" i="2"/>
  <c r="AE69" i="2"/>
  <c r="AE70" i="2"/>
  <c r="AF71" i="2"/>
  <c r="AE72" i="2"/>
  <c r="AF73" i="2"/>
  <c r="AE74" i="2"/>
  <c r="AE75" i="2"/>
  <c r="AE76" i="2"/>
  <c r="AE77" i="2"/>
  <c r="AE78" i="2"/>
  <c r="AE79" i="2"/>
  <c r="AD80" i="2"/>
  <c r="AE81" i="2"/>
  <c r="AE82" i="2"/>
  <c r="AE83" i="2"/>
  <c r="AE84" i="2"/>
  <c r="AE85" i="2"/>
  <c r="AF86" i="2"/>
  <c r="AF87" i="2"/>
  <c r="AF88" i="2"/>
  <c r="AE89" i="2"/>
  <c r="AE90" i="2"/>
  <c r="AE91" i="2"/>
  <c r="AE92" i="2"/>
  <c r="AF93" i="2"/>
  <c r="AF94" i="2"/>
  <c r="AF95" i="2"/>
  <c r="AF96" i="2"/>
  <c r="AF98" i="2"/>
  <c r="AF99" i="2"/>
  <c r="AF100" i="2"/>
  <c r="AF101" i="2"/>
  <c r="AF102" i="2"/>
  <c r="AE103" i="2"/>
  <c r="AE104" i="2"/>
  <c r="AF105" i="2"/>
  <c r="AF106" i="2"/>
  <c r="L83" i="4" l="1"/>
  <c r="L82" i="4"/>
  <c r="L81" i="4"/>
  <c r="L80" i="4"/>
  <c r="L79" i="4"/>
  <c r="L78" i="4"/>
  <c r="L77" i="4"/>
  <c r="L76" i="4"/>
  <c r="L75" i="4"/>
  <c r="L74" i="4"/>
  <c r="L73" i="4"/>
  <c r="L72" i="4"/>
  <c r="L71" i="4"/>
  <c r="L69" i="4"/>
  <c r="L68" i="4"/>
  <c r="L67" i="4"/>
  <c r="L66" i="4"/>
  <c r="L65" i="4"/>
  <c r="L64" i="4"/>
  <c r="L63" i="4"/>
  <c r="L62" i="4"/>
  <c r="L61" i="4"/>
  <c r="L60" i="4"/>
  <c r="L58" i="4"/>
  <c r="L57" i="4"/>
  <c r="L56" i="4"/>
  <c r="L55" i="4"/>
  <c r="L54" i="4"/>
  <c r="L53" i="4"/>
  <c r="L52" i="4"/>
  <c r="L51" i="4"/>
  <c r="L50" i="4"/>
  <c r="L49" i="4"/>
  <c r="L48" i="4"/>
  <c r="L47" i="4"/>
  <c r="L46" i="4"/>
  <c r="L45" i="4"/>
  <c r="L44" i="4"/>
  <c r="L42" i="4"/>
  <c r="L41" i="4"/>
  <c r="L40" i="4"/>
  <c r="L39" i="4"/>
  <c r="L38" i="4"/>
  <c r="L37" i="4"/>
  <c r="L36" i="4"/>
  <c r="L35" i="4"/>
  <c r="L34" i="4"/>
  <c r="L33" i="4"/>
  <c r="L32" i="4"/>
  <c r="L31" i="4"/>
  <c r="L30" i="4"/>
  <c r="L28" i="4"/>
  <c r="L27" i="4"/>
  <c r="L26" i="4"/>
  <c r="L25" i="4"/>
  <c r="L24" i="4"/>
  <c r="L23" i="4"/>
  <c r="L22" i="4"/>
  <c r="L21" i="4"/>
  <c r="L20" i="4"/>
  <c r="L18" i="4"/>
  <c r="L17" i="4"/>
  <c r="L16" i="4"/>
  <c r="L15" i="4"/>
  <c r="L14" i="4"/>
  <c r="L13" i="4"/>
  <c r="L11" i="4"/>
  <c r="L10" i="4"/>
  <c r="L9" i="4"/>
  <c r="L8" i="4"/>
  <c r="L7" i="4"/>
  <c r="I84" i="4"/>
  <c r="K84" i="4" s="1"/>
  <c r="H84" i="4"/>
  <c r="J84" i="4" s="1"/>
  <c r="G84" i="4"/>
  <c r="I70" i="4"/>
  <c r="H70" i="4"/>
  <c r="G70" i="4"/>
  <c r="I59" i="4"/>
  <c r="H59" i="4"/>
  <c r="G59" i="4"/>
  <c r="K59" i="4" s="1"/>
  <c r="I43" i="4"/>
  <c r="K43" i="4" s="1"/>
  <c r="H43" i="4"/>
  <c r="J43" i="4" s="1"/>
  <c r="G43" i="4"/>
  <c r="I29" i="4"/>
  <c r="K29" i="4" s="1"/>
  <c r="L29" i="4" s="1"/>
  <c r="H29" i="4"/>
  <c r="J29" i="4" s="1"/>
  <c r="G29" i="4"/>
  <c r="I19" i="4"/>
  <c r="H19" i="4"/>
  <c r="G19" i="4"/>
  <c r="K19" i="4" s="1"/>
  <c r="I12" i="4"/>
  <c r="H12" i="4"/>
  <c r="G12" i="4"/>
  <c r="H81" i="8"/>
  <c r="G85" i="4" l="1"/>
  <c r="J70" i="4"/>
  <c r="H85" i="4"/>
  <c r="K70" i="4"/>
  <c r="L70" i="4" s="1"/>
  <c r="J19" i="4"/>
  <c r="L84" i="4"/>
  <c r="K12" i="4"/>
  <c r="L12" i="4" s="1"/>
  <c r="J85" i="4"/>
  <c r="L19" i="4"/>
  <c r="L43" i="4"/>
  <c r="I85" i="4"/>
  <c r="K85" i="4" s="1"/>
  <c r="J59" i="4"/>
  <c r="L59" i="4" s="1"/>
  <c r="J12"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D1" i="2"/>
  <c r="L85" i="4" l="1"/>
  <c r="B24" i="3"/>
  <c r="AB2" i="2"/>
  <c r="AB1" i="2"/>
</calcChain>
</file>

<file path=xl/sharedStrings.xml><?xml version="1.0" encoding="utf-8"?>
<sst xmlns="http://schemas.openxmlformats.org/spreadsheetml/2006/main" count="1937" uniqueCount="1330">
  <si>
    <t>프로젝트 착수</t>
  </si>
  <si>
    <t>Man/Day</t>
    <phoneticPr fontId="5" type="noConversion"/>
  </si>
  <si>
    <t>Man-Day</t>
  </si>
  <si>
    <t>Man-Month</t>
  </si>
  <si>
    <t>Total</t>
  </si>
  <si>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</si>
  <si>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</si>
  <si>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</si>
  <si>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</si>
  <si>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</si>
  <si>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</si>
  <si>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</si>
  <si>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</si>
  <si>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</si>
  <si>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AUTHOR_EMAIL</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</si>
  <si>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</si>
  <si>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</si>
  <si>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</si>
  <si>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</si>
  <si>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</si>
  <si>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</si>
  <si>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DO NOT UPDATE</t>
    <phoneticPr fontId="5" type="noConversion"/>
  </si>
  <si>
    <t>RELEASE_DATE</t>
    <phoneticPr fontId="5" type="noConversion"/>
  </si>
  <si>
    <t>LICENSE</t>
    <phoneticPr fontId="5" type="noConversion"/>
  </si>
  <si>
    <t>Freeware</t>
    <phoneticPr fontId="5" type="noConversion"/>
  </si>
  <si>
    <t>Name:projectName</t>
  </si>
  <si>
    <t>Name:isConfirmedProjectBasicInfo</t>
  </si>
  <si>
    <t>Name:projectStartDate</t>
  </si>
  <si>
    <t>Name:projectEndDate</t>
  </si>
  <si>
    <t>Name:optScheduleChangeMgt</t>
  </si>
  <si>
    <t>Name:optPlanRateCriteriaDate</t>
  </si>
  <si>
    <t>Name:chkDeliverablesMgt</t>
    <phoneticPr fontId="5" type="noConversion"/>
  </si>
  <si>
    <t>Name:savePathType</t>
    <phoneticPr fontId="5" type="noConversion"/>
  </si>
  <si>
    <t>Name:txtDefinedPath</t>
    <phoneticPr fontId="5" type="noConversion"/>
  </si>
  <si>
    <t>Name:txtAutoDefinedBasePath</t>
    <phoneticPr fontId="5" type="noConversion"/>
  </si>
  <si>
    <t>Name:txtPgmName1</t>
    <phoneticPr fontId="5" type="noConversion"/>
  </si>
  <si>
    <t>Name:txtFileExt1</t>
  </si>
  <si>
    <t>Name:txtPgmPath1</t>
    <phoneticPr fontId="5" type="noConversion"/>
  </si>
  <si>
    <t>Name:chkInclude2SelectList1</t>
    <phoneticPr fontId="5" type="noConversion"/>
  </si>
  <si>
    <t>Name:txtPgmName2</t>
    <phoneticPr fontId="5" type="noConversion"/>
  </si>
  <si>
    <t>Name:txtFileExt2</t>
    <phoneticPr fontId="5" type="noConversion"/>
  </si>
  <si>
    <t>Name:txtPgmPath2</t>
    <phoneticPr fontId="5" type="noConversion"/>
  </si>
  <si>
    <t>Name:chkInclude2SelectList2</t>
    <phoneticPr fontId="5" type="noConversion"/>
  </si>
  <si>
    <t>Name:txtPgmName3</t>
    <phoneticPr fontId="5" type="noConversion"/>
  </si>
  <si>
    <t>Name:txtFileExt3</t>
    <phoneticPr fontId="5" type="noConversion"/>
  </si>
  <si>
    <t>Name:txtPgmPath3</t>
    <phoneticPr fontId="5" type="noConversion"/>
  </si>
  <si>
    <t>Name:chkInclude2SelectList3</t>
    <phoneticPr fontId="5" type="noConversion"/>
  </si>
  <si>
    <t>Name:txtPgmName4</t>
    <phoneticPr fontId="5" type="noConversion"/>
  </si>
  <si>
    <t>Name:txtFileExt4</t>
    <phoneticPr fontId="5" type="noConversion"/>
  </si>
  <si>
    <t>Name:txtPgmPath4</t>
    <phoneticPr fontId="5" type="noConversion"/>
  </si>
  <si>
    <t>Name:chkInclude2SelectList4</t>
    <phoneticPr fontId="5" type="noConversion"/>
  </si>
  <si>
    <t>Name:txtPgmName5</t>
    <phoneticPr fontId="5" type="noConversion"/>
  </si>
  <si>
    <t>Name:txtFileExt5</t>
    <phoneticPr fontId="5" type="noConversion"/>
  </si>
  <si>
    <t>Name:txtPgmPath5</t>
    <phoneticPr fontId="5" type="noConversion"/>
  </si>
  <si>
    <t>Name:chkInclude2SelectList5</t>
    <phoneticPr fontId="5"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</si>
  <si>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</si>
  <si>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</si>
  <si>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</si>
  <si>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</si>
  <si>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</si>
  <si>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</si>
  <si>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</si>
  <si>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</si>
  <si>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</si>
  <si>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</si>
  <si>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</si>
  <si>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</si>
  <si>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</si>
  <si>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</si>
  <si>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</si>
  <si>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</si>
  <si>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</si>
  <si>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</si>
  <si>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</si>
  <si>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</si>
  <si>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</si>
  <si>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</si>
  <si>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</si>
  <si>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</si>
  <si>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</si>
  <si>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</si>
  <si>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</si>
  <si>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</si>
  <si>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</si>
  <si>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</si>
  <si>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</si>
  <si>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</si>
  <si>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</si>
  <si>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</si>
  <si>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</si>
  <si>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</si>
  <si>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</si>
  <si>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</si>
  <si>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</si>
  <si>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</si>
  <si>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</si>
  <si>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</si>
  <si>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</si>
  <si>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</si>
  <si>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</si>
  <si>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</si>
  <si>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</si>
  <si>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</si>
  <si>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</si>
  <si>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</si>
  <si>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</si>
  <si>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</si>
  <si>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</si>
  <si>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</si>
  <si>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</si>
  <si>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</si>
  <si>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</si>
  <si>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</si>
  <si>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</si>
  <si>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</si>
  <si>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</si>
  <si>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</si>
  <si>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</si>
  <si>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</si>
  <si>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</si>
  <si>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</si>
  <si>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</si>
  <si>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</si>
  <si>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</si>
  <si>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</si>
  <si>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</si>
  <si>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</si>
  <si>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</si>
  <si>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</si>
  <si>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</si>
  <si>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</si>
  <si>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</si>
  <si>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</si>
  <si>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</si>
  <si>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</si>
  <si>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</si>
  <si>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</si>
  <si>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</si>
  <si>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</si>
  <si>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</si>
  <si>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</si>
  <si>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</si>
  <si>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</si>
  <si>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</si>
  <si>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</si>
  <si>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</si>
  <si>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</si>
  <si>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</si>
  <si>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</si>
  <si>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</si>
  <si>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</si>
  <si>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</si>
  <si>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</si>
  <si>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</si>
  <si>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</si>
  <si>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</si>
  <si>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</si>
  <si>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</si>
  <si>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</si>
  <si>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</si>
  <si>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</si>
  <si>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</si>
  <si>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</si>
  <si>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</si>
  <si>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</si>
  <si>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</si>
  <si>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</si>
  <si>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</si>
  <si>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</si>
  <si>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</si>
  <si>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</si>
  <si>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</si>
  <si>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</si>
  <si>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</si>
  <si>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</si>
  <si>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</si>
  <si>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</si>
  <si>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</si>
  <si>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</si>
  <si>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</si>
  <si>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</si>
  <si>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</si>
  <si>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</si>
  <si>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</si>
  <si>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</si>
  <si>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</si>
  <si>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</si>
  <si>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</si>
  <si>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</si>
  <si>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</si>
  <si>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</si>
  <si>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</si>
  <si>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</si>
  <si>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</si>
  <si>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</si>
  <si>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</si>
  <si>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</si>
  <si>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</si>
  <si>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</si>
  <si>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</si>
  <si>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</si>
  <si>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</si>
  <si>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</si>
  <si>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</si>
  <si>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</si>
  <si>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</si>
  <si>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</si>
  <si>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</si>
  <si>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</si>
  <si>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</si>
  <si>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</si>
  <si>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</si>
  <si>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</si>
  <si>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</si>
  <si>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</si>
  <si>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</si>
  <si>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</si>
  <si>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</si>
  <si>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</si>
  <si>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</si>
  <si>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</si>
  <si>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</si>
  <si>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</si>
  <si>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</si>
  <si>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</si>
  <si>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</si>
  <si>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</si>
  <si>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</si>
  <si>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</si>
  <si>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</si>
  <si>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</si>
  <si>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</si>
  <si>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</si>
  <si>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</si>
  <si>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</si>
  <si>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</si>
  <si>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</si>
  <si>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</si>
  <si>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</si>
  <si>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</si>
  <si>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</si>
  <si>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</si>
  <si>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</si>
  <si>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</si>
  <si>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</si>
  <si>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</si>
  <si>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</si>
  <si>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</si>
  <si>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</si>
  <si>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</si>
  <si>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</si>
  <si>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</si>
  <si>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</si>
  <si>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</si>
  <si>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</si>
  <si>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</si>
  <si>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</si>
  <si>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</si>
  <si>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</si>
  <si>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</si>
  <si>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</si>
  <si>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</si>
  <si>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</si>
  <si>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</si>
  <si>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</si>
  <si>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</si>
  <si>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</si>
  <si>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</si>
  <si>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</si>
  <si>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</si>
  <si>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</si>
  <si>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</si>
  <si>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</si>
  <si>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</si>
  <si>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</si>
  <si>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</si>
  <si>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</si>
  <si>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</si>
  <si>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</si>
  <si>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</si>
  <si>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</si>
  <si>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</si>
  <si>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</si>
  <si>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</si>
  <si>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</si>
  <si>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</si>
  <si>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</si>
  <si>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</si>
  <si>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</si>
  <si>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</si>
  <si>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</si>
  <si>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</si>
  <si>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</si>
  <si>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</si>
  <si>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</si>
  <si>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</si>
  <si>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</si>
  <si>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</si>
  <si>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</si>
  <si>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</si>
  <si>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</si>
  <si>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</si>
  <si>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</si>
  <si>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</si>
  <si>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</si>
  <si>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</si>
  <si>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</si>
  <si>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</si>
  <si>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</si>
  <si>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</si>
  <si>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</si>
  <si>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</si>
  <si>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</si>
  <si>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</si>
  <si>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</si>
  <si>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</si>
  <si>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</si>
  <si>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</si>
  <si>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</si>
  <si>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</si>
  <si>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</si>
  <si>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</si>
  <si>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</si>
  <si>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</si>
  <si>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</si>
  <si>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</si>
  <si>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</si>
  <si>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</si>
  <si>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</si>
  <si>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</si>
  <si>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</si>
  <si>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</si>
  <si>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</si>
  <si>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</si>
  <si>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</si>
  <si>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</si>
  <si>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</si>
  <si>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</si>
  <si>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</si>
  <si>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</si>
  <si>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</si>
  <si>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</si>
  <si>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</si>
  <si>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</si>
  <si>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</si>
  <si>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</si>
  <si>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</si>
  <si>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</si>
  <si>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</si>
  <si>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</si>
  <si>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</si>
  <si>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</si>
  <si>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</si>
  <si>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</si>
  <si>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</si>
  <si>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</si>
  <si>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</si>
  <si>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</si>
  <si>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</si>
  <si>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</si>
  <si>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</si>
  <si>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</si>
  <si>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</si>
  <si>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</si>
  <si>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</si>
  <si>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</si>
  <si>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</si>
  <si>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</si>
  <si>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</si>
  <si>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</si>
  <si>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</si>
  <si>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</si>
  <si>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</si>
  <si>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</si>
  <si>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</si>
  <si>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</si>
  <si>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</si>
  <si>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</si>
  <si>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</si>
  <si>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</si>
  <si>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</si>
  <si>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</si>
  <si>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</si>
  <si>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</si>
  <si>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</si>
  <si>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</si>
  <si>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</si>
  <si>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</si>
  <si>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</si>
  <si>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</si>
  <si>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</si>
  <si>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</si>
  <si>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</si>
  <si>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</si>
  <si>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</si>
  <si>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</si>
  <si>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</si>
  <si>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</si>
  <si>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</si>
  <si>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5" type="noConversion"/>
  </si>
  <si>
    <t>admin@xlworks.net</t>
    <phoneticPr fontId="5"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</si>
  <si>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</si>
  <si>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</si>
  <si>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</si>
  <si>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</si>
  <si>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</si>
  <si>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</si>
  <si>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</si>
  <si>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</si>
  <si>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</si>
  <si>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</si>
  <si>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</si>
  <si>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</si>
  <si>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</si>
  <si>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</si>
  <si>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</si>
  <si>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</si>
  <si>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</si>
  <si>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</si>
  <si>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</si>
  <si>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</si>
  <si>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</si>
  <si>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</si>
  <si>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</si>
  <si>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</si>
  <si>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</si>
  <si>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</si>
  <si>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</si>
  <si>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</si>
  <si>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</si>
  <si>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</si>
  <si>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</si>
  <si>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</si>
  <si>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</si>
  <si>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</si>
  <si>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</si>
  <si>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</si>
  <si>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</si>
  <si>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</si>
  <si>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</si>
  <si>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</si>
  <si>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</si>
  <si>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</si>
  <si>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</si>
  <si>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</si>
  <si>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</si>
  <si>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</si>
  <si>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</si>
  <si>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</si>
  <si>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</si>
  <si>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</si>
  <si>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</si>
  <si>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</si>
  <si>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</si>
  <si>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</si>
  <si>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</si>
  <si>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</si>
  <si>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</si>
  <si>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</si>
  <si>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</si>
  <si>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</si>
  <si>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</si>
  <si>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</si>
  <si>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</si>
  <si>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</si>
  <si>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</si>
  <si>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</si>
  <si>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</si>
  <si>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</si>
  <si>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</si>
  <si>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</si>
  <si>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</si>
  <si>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</si>
  <si>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</si>
  <si>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</si>
  <si>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</si>
  <si>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</si>
  <si>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</si>
  <si>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</si>
  <si>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</si>
  <si>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</si>
  <si>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</si>
  <si>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</si>
  <si>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</si>
  <si>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</si>
  <si>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</si>
  <si>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</si>
  <si>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</si>
  <si>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</si>
  <si>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</si>
  <si>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</si>
  <si>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</si>
  <si>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</si>
  <si>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</si>
  <si>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</si>
  <si>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</si>
  <si>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</si>
  <si>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</si>
  <si>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</si>
  <si>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</si>
  <si>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</si>
  <si>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</si>
  <si>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</si>
  <si>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</si>
  <si>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</si>
  <si>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</si>
  <si>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</si>
  <si>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</si>
  <si>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</si>
  <si>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</si>
  <si>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5"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</si>
  <si>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</si>
  <si>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</si>
  <si>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</si>
  <si>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</si>
  <si>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</si>
  <si>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</si>
  <si>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</si>
  <si>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</si>
  <si>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</si>
  <si>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</si>
  <si>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</si>
  <si>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</si>
  <si>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</si>
  <si>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</si>
  <si>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</si>
  <si>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</si>
  <si>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</si>
  <si>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</si>
  <si>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</si>
  <si>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</si>
  <si>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</si>
  <si>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</si>
  <si>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</si>
  <si>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</si>
  <si>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</si>
  <si>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</si>
  <si>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</si>
  <si>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</si>
  <si>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</si>
  <si>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</si>
  <si>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</si>
  <si>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</si>
  <si>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</si>
  <si>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</si>
  <si>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</si>
  <si>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</si>
  <si>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</si>
  <si>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</si>
  <si>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</si>
  <si>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</si>
  <si>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</si>
  <si>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</si>
  <si>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</si>
  <si>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</si>
  <si>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</si>
  <si>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</si>
  <si>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</si>
  <si>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</si>
  <si>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</si>
  <si>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</si>
  <si>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</si>
  <si>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</si>
  <si>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</si>
  <si>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</si>
  <si>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</si>
  <si>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</si>
  <si>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</si>
  <si>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</si>
  <si>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</si>
  <si>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</si>
  <si>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</si>
  <si>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</si>
  <si>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</si>
  <si>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</si>
  <si>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</si>
  <si>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</si>
  <si>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</si>
  <si>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</si>
  <si>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</si>
  <si>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</si>
  <si>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</si>
  <si>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</si>
  <si>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</si>
  <si>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</si>
  <si>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</si>
  <si>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</si>
  <si>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</si>
  <si>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</si>
  <si>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</si>
  <si>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</si>
  <si>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</si>
  <si>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</si>
  <si>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</si>
  <si>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</si>
  <si>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</si>
  <si>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</si>
  <si>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</si>
  <si>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</si>
  <si>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</si>
  <si>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</si>
  <si>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</si>
  <si>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</si>
  <si>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</si>
  <si>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</si>
  <si>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</si>
  <si>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</si>
  <si>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</si>
  <si>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</si>
  <si>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</si>
  <si>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</si>
  <si>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</si>
  <si>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</si>
  <si>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</si>
  <si>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</si>
  <si>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</si>
  <si>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</si>
  <si>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</si>
  <si>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</si>
  <si>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</si>
  <si>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</si>
  <si>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</si>
  <si>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</si>
  <si>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</si>
  <si>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</si>
  <si>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</si>
  <si>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</si>
  <si>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</si>
  <si>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</si>
  <si>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</si>
  <si>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</si>
  <si>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</si>
  <si>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</si>
  <si>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</si>
  <si>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</si>
  <si>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</si>
  <si>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</si>
  <si>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</si>
  <si>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</si>
  <si>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</si>
  <si>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</si>
  <si>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</si>
  <si>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</si>
  <si>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</si>
  <si>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</si>
  <si>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</si>
  <si>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</si>
  <si>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</si>
  <si>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</si>
  <si>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</si>
  <si>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</si>
  <si>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</si>
  <si>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</si>
  <si>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</si>
  <si>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</si>
  <si>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</si>
  <si>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</si>
  <si>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</si>
  <si>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</si>
  <si>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</si>
  <si>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</si>
  <si>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</si>
  <si>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</si>
  <si>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</si>
  <si>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</si>
  <si>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</si>
  <si>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</si>
  <si>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</si>
  <si>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</si>
  <si>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</si>
  <si>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</si>
  <si>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</si>
  <si>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</si>
  <si>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</si>
  <si>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</si>
  <si>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</si>
  <si>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</si>
  <si>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</si>
  <si>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</si>
  <si>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</si>
  <si>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</si>
  <si>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</si>
  <si>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</si>
  <si>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</si>
  <si>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</si>
  <si>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</si>
  <si>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</si>
  <si>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</si>
  <si>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</si>
  <si>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</si>
  <si>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</si>
  <si>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</si>
  <si>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</si>
  <si>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</si>
  <si>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</si>
  <si>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</si>
  <si>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</si>
  <si>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</si>
  <si>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</si>
  <si>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</si>
  <si>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</si>
  <si>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</si>
  <si>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</si>
  <si>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</si>
  <si>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</si>
  <si>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</si>
  <si>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</si>
  <si>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</si>
  <si>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</si>
  <si>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</si>
  <si>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</si>
  <si>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</si>
  <si>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</si>
  <si>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</si>
  <si>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</si>
  <si>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</si>
  <si>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</si>
  <si>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</si>
  <si>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</si>
  <si>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</si>
  <si>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</si>
  <si>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</si>
  <si>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</si>
  <si>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</si>
  <si>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</si>
  <si>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</si>
  <si>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</si>
  <si>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</si>
  <si>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</si>
  <si>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</si>
  <si>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</si>
  <si>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</si>
  <si>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</si>
  <si>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</si>
  <si>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</si>
  <si>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</si>
  <si>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</si>
  <si>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</si>
  <si>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</si>
  <si>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</si>
  <si>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</si>
  <si>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</si>
  <si>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</si>
  <si>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</si>
  <si>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</si>
  <si>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</si>
  <si>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</si>
  <si>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</si>
  <si>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</si>
  <si>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</si>
  <si>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</si>
  <si>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</si>
  <si>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</si>
  <si>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</si>
  <si>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</si>
  <si>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</si>
  <si>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</si>
  <si>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</si>
  <si>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</si>
  <si>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</si>
  <si>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</si>
  <si>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</si>
  <si>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</si>
  <si>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</si>
  <si>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</si>
  <si>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</si>
  <si>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</si>
  <si>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</si>
  <si>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</si>
  <si>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</si>
  <si>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</si>
  <si>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</si>
  <si>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</si>
  <si>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</si>
  <si>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</si>
  <si>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</si>
  <si>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</si>
  <si>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</si>
  <si>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</si>
  <si>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</si>
  <si>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</si>
  <si>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</si>
  <si>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</si>
  <si>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</si>
  <si>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</si>
  <si>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</si>
  <si>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</si>
  <si>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</si>
  <si>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</si>
  <si>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</si>
  <si>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</si>
  <si>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</si>
  <si>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</si>
  <si>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</si>
  <si>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</si>
  <si>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</si>
  <si>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</si>
  <si>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</si>
  <si>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</si>
  <si>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</si>
  <si>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</si>
  <si>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</si>
  <si>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</si>
  <si>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</si>
  <si>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</si>
  <si>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</si>
  <si>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</si>
  <si>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</si>
  <si>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</si>
  <si>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</si>
  <si>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</si>
  <si>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</si>
  <si>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</si>
  <si>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</si>
  <si>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</si>
  <si>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</si>
  <si>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</si>
  <si>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</si>
  <si>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</si>
  <si>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</si>
  <si>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</si>
  <si>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</si>
  <si>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</si>
  <si>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</si>
  <si>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</si>
  <si>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</si>
  <si>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</si>
  <si>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</si>
  <si>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</si>
  <si>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</si>
  <si>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</si>
  <si>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</si>
  <si>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</si>
  <si>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</si>
  <si>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</si>
  <si>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</si>
  <si>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</si>
  <si>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</si>
  <si>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</si>
  <si>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</si>
  <si>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</si>
  <si>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</si>
  <si>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</si>
  <si>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</si>
  <si>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</si>
  <si>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</si>
  <si>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</si>
  <si>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</si>
  <si>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</si>
  <si>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</si>
  <si>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</si>
  <si>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</si>
  <si>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</si>
  <si>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</si>
  <si>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</si>
  <si>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</si>
  <si>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</si>
  <si>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</si>
  <si>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</si>
  <si>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</si>
  <si>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</si>
  <si>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</si>
  <si>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</si>
  <si>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</si>
  <si>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</si>
  <si>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</si>
  <si>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</si>
  <si>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</si>
  <si>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</si>
  <si>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</si>
  <si>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</si>
  <si>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</si>
  <si>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</si>
  <si>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</si>
  <si>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</si>
  <si>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</si>
  <si>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</si>
  <si>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</si>
  <si>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</si>
  <si>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</si>
  <si>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</si>
  <si>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</si>
  <si>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</si>
  <si>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</si>
  <si>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</si>
  <si>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</si>
  <si>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</si>
  <si>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</si>
  <si>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</si>
  <si>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</si>
  <si>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</si>
  <si>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</si>
  <si>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</si>
  <si>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Saturdays, Sundays and the dates entered in the Calendar sheet_x000D_</t>
    <phoneticPr fontId="2" type="noConversion"/>
  </si>
  <si>
    <t>Actual__Total Work</t>
    <phoneticPr fontId="5"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</si>
  <si>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</si>
  <si>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</si>
  <si>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</si>
  <si>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</si>
  <si>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5" type="noConversion"/>
  </si>
  <si>
    <t>Text Index</t>
    <phoneticPr fontId="5" type="noConversion"/>
  </si>
  <si>
    <t>Description</t>
    <phoneticPr fontId="5"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</si>
  <si>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</si>
  <si>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</si>
  <si>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</si>
  <si>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</si>
  <si>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</si>
  <si>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</si>
  <si>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</si>
  <si>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5" type="noConversion"/>
  </si>
  <si>
    <t>%Work__Complete</t>
    <phoneticPr fontId="5" type="noConversion"/>
  </si>
  <si>
    <t>manual input</t>
    <phoneticPr fontId="2" type="noConversion"/>
  </si>
  <si>
    <t>Actual</t>
    <phoneticPr fontId="2" type="noConversion"/>
  </si>
  <si>
    <t>실적</t>
    <phoneticPr fontId="2" type="noConversion"/>
  </si>
  <si>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</si>
  <si>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</si>
  <si>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</si>
  <si>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for import columun</t>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</si>
  <si>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</si>
  <si>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</si>
  <si>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</si>
  <si>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</si>
  <si>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</si>
  <si>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</si>
  <si>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</si>
  <si>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</si>
  <si>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</si>
  <si>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</si>
  <si>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</si>
  <si>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</si>
  <si>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</si>
  <si>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</si>
  <si>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</si>
  <si>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</si>
  <si>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</si>
  <si>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</si>
  <si>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</si>
  <si>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</si>
  <si>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</si>
  <si>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</si>
  <si>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5" type="noConversion"/>
  </si>
  <si>
    <t>Planned__Duration</t>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</si>
  <si>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</si>
  <si>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</si>
  <si>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</si>
  <si>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</si>
  <si>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</si>
  <si>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</si>
  <si>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</si>
  <si>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</si>
  <si>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</si>
  <si>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</si>
  <si>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</si>
  <si>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Name:groupRows</t>
  </si>
  <si>
    <t>Group rows</t>
    <phoneticPr fontId="2" type="noConversion"/>
  </si>
  <si>
    <t>1.1.1</t>
  </si>
  <si>
    <t>2.1.0</t>
    <phoneticPr fontId="2" type="noConversion"/>
  </si>
  <si>
    <t>2.1.1</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</si>
  <si>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</si>
  <si>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</si>
  <si>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분석</t>
  </si>
  <si>
    <t>설계</t>
  </si>
  <si>
    <t>구현</t>
  </si>
  <si>
    <t>C:\Temp</t>
    <phoneticPr fontId="5"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</si>
  <si>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</si>
  <si>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</si>
  <si>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</si>
  <si>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</si>
  <si>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</si>
  <si>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</si>
  <si>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</si>
  <si>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</si>
  <si>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</si>
  <si>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</si>
  <si>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</si>
  <si>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</si>
  <si>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</si>
  <si>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</si>
  <si>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</si>
  <si>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2</t>
  </si>
  <si>
    <t>2.1</t>
  </si>
  <si>
    <t>2.1.2</t>
  </si>
  <si>
    <t>2.2</t>
  </si>
  <si>
    <t>2.2.2</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</si>
  <si>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</si>
  <si>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</si>
  <si>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</si>
  <si>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</si>
  <si>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</si>
  <si>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</si>
  <si>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</si>
  <si>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</si>
  <si>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</si>
  <si>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</si>
  <si>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</si>
  <si>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</si>
  <si>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</si>
  <si>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</si>
  <si>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</si>
  <si>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</si>
  <si>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 xml:space="preserve">  주별보기, Zoom 100%</t>
  </si>
  <si>
    <t>시작일</t>
  </si>
  <si>
    <t>완료일</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</si>
  <si>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</si>
  <si>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</si>
  <si>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</si>
  <si>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</si>
  <si>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</si>
  <si>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</si>
  <si>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휴무일명</t>
    <phoneticPr fontId="5" type="noConversion"/>
  </si>
  <si>
    <t>휴무일자</t>
    <phoneticPr fontId="5" type="noConversion"/>
  </si>
  <si>
    <t>휴무일자</t>
    <phoneticPr fontId="5" type="noConversion"/>
  </si>
  <si>
    <t>더 이상 입력불가</t>
    <phoneticPr fontId="5" type="noConversion"/>
  </si>
  <si>
    <t>TODAY</t>
    <phoneticPr fontId="2" type="noConversion"/>
  </si>
  <si>
    <t>c:\cad\cad\cad.exe</t>
    <phoneticPr fontId="5" type="noConversion"/>
  </si>
  <si>
    <t>착수</t>
  </si>
  <si>
    <t>테스트</t>
  </si>
  <si>
    <t>검수</t>
  </si>
  <si>
    <t>킥오프 / 일정 협의</t>
  </si>
  <si>
    <t>요구 분석</t>
  </si>
  <si>
    <t>실행 방법 수립</t>
  </si>
  <si>
    <t>서비스 전략 수립</t>
  </si>
  <si>
    <t>커텐츠 수용 협의 계획</t>
  </si>
  <si>
    <t>3</t>
  </si>
  <si>
    <t>4</t>
  </si>
  <si>
    <t>5</t>
  </si>
  <si>
    <t>6</t>
  </si>
  <si>
    <t>맵 메뉴 구조도 fix</t>
  </si>
  <si>
    <t>기초 설계</t>
  </si>
  <si>
    <t>앱 메뉴/구조도 설계</t>
  </si>
  <si>
    <t>컨텐츠 수정/보완</t>
  </si>
  <si>
    <t>메인 시안 화면 설계서 작업</t>
  </si>
  <si>
    <t>메인 디자인 시안 작업</t>
  </si>
  <si>
    <t>메인 시안 검토</t>
  </si>
  <si>
    <t>메인 시안 검토 및 수정</t>
  </si>
  <si>
    <t>메인 시안 fix</t>
  </si>
  <si>
    <t>3.1</t>
  </si>
  <si>
    <t>3.1.1</t>
  </si>
  <si>
    <t>3.1.2</t>
  </si>
  <si>
    <t>3.1.3</t>
  </si>
  <si>
    <t>3.1.4</t>
  </si>
  <si>
    <t>3.1.5</t>
  </si>
  <si>
    <t>3.1.6</t>
  </si>
  <si>
    <t>3.1.7</t>
  </si>
  <si>
    <t>3.1.8</t>
  </si>
  <si>
    <t>상세 설계</t>
  </si>
  <si>
    <t>화면 설계서 작성</t>
  </si>
  <si>
    <t>화면 설계서 검토</t>
  </si>
  <si>
    <t>화면 설계서 수정 및 보완</t>
  </si>
  <si>
    <t>화면 설계서 최종 fix</t>
  </si>
  <si>
    <t>3.2</t>
  </si>
  <si>
    <t>3.2.1</t>
  </si>
  <si>
    <t>3.2.1.1</t>
  </si>
  <si>
    <t>3.2.1.2</t>
  </si>
  <si>
    <t>3.2.1.3</t>
  </si>
  <si>
    <t>3.2.1.4</t>
  </si>
  <si>
    <t>데이터베이스 설계</t>
  </si>
  <si>
    <t>아키텍처 설계</t>
  </si>
  <si>
    <t>클래스 설계</t>
  </si>
  <si>
    <t>다이어그램 정의 (다이어그램) -&gt; DB설계</t>
  </si>
  <si>
    <t>3.2.2</t>
  </si>
  <si>
    <t>3.2.2.1</t>
  </si>
  <si>
    <t>3.2.2.2</t>
  </si>
  <si>
    <t>3.2.2.3</t>
  </si>
  <si>
    <t>3.2.3</t>
  </si>
  <si>
    <t>3.2.3.1</t>
  </si>
  <si>
    <t>3.2.3.2</t>
  </si>
  <si>
    <t>3.2.3.3</t>
  </si>
  <si>
    <t>퍼블리싱(모듈별)</t>
  </si>
  <si>
    <t>운동</t>
  </si>
  <si>
    <t>음주</t>
  </si>
  <si>
    <t>수면</t>
  </si>
  <si>
    <t>식단</t>
  </si>
  <si>
    <t>4.1</t>
  </si>
  <si>
    <t>4.1.1</t>
  </si>
  <si>
    <t>4.1.2</t>
  </si>
  <si>
    <t>4.1.3</t>
  </si>
  <si>
    <t>통합 테스트 및 디버깅</t>
  </si>
  <si>
    <t>메인</t>
  </si>
  <si>
    <t>단위 테스트 / 디버깅</t>
  </si>
  <si>
    <t>시나리오 작성</t>
  </si>
  <si>
    <t>유저 테스트(비개발자)</t>
  </si>
  <si>
    <t>디자인 지침</t>
  </si>
  <si>
    <t>퍼블리싱 지침</t>
  </si>
  <si>
    <t>개발 지침</t>
  </si>
  <si>
    <t>내부 검수</t>
  </si>
  <si>
    <t>내부 토론</t>
  </si>
  <si>
    <t>최종 검수</t>
  </si>
  <si>
    <t>데모 준비</t>
  </si>
  <si>
    <t>4.2</t>
  </si>
  <si>
    <t>4.2.1</t>
  </si>
  <si>
    <t>4.2.2</t>
  </si>
  <si>
    <t>4.2.3</t>
  </si>
  <si>
    <t>4.2.4</t>
  </si>
  <si>
    <t>4.2.5</t>
  </si>
  <si>
    <t>4.2.6</t>
  </si>
  <si>
    <t>5.1</t>
  </si>
  <si>
    <t>5.1.1</t>
  </si>
  <si>
    <t>5.1.2</t>
  </si>
  <si>
    <t>5.1.3</t>
  </si>
  <si>
    <t>5.1.4</t>
  </si>
  <si>
    <t>5.1.5</t>
  </si>
  <si>
    <t>6.1</t>
  </si>
  <si>
    <t>6.1.1</t>
  </si>
  <si>
    <t>6.1.2</t>
  </si>
  <si>
    <t>6.1.3</t>
  </si>
  <si>
    <t>6.1.4</t>
  </si>
  <si>
    <t>DEFINED</t>
    <phoneticPr fontId="5" type="noConversion"/>
  </si>
  <si>
    <t>파워포인트</t>
    <phoneticPr fontId="5" type="noConversion"/>
  </si>
  <si>
    <t>ppt*</t>
    <phoneticPr fontId="5" type="noConversion"/>
  </si>
  <si>
    <t>자동지정</t>
    <phoneticPr fontId="5" type="noConversion"/>
  </si>
  <si>
    <t>워드</t>
    <phoneticPr fontId="5" type="noConversion"/>
  </si>
  <si>
    <t>doc*</t>
    <phoneticPr fontId="5" type="noConversion"/>
  </si>
  <si>
    <t>xls*</t>
    <phoneticPr fontId="5" type="noConversion"/>
  </si>
  <si>
    <t>Auto CAD</t>
    <phoneticPr fontId="5" type="noConversion"/>
  </si>
  <si>
    <t>ace</t>
    <phoneticPr fontId="5" type="noConversion"/>
  </si>
  <si>
    <t>txt</t>
    <phoneticPr fontId="5" type="noConversion"/>
  </si>
  <si>
    <t>C:\WINDOWS\system32\notepad.exe</t>
    <phoneticPr fontId="5" type="noConversion"/>
  </si>
  <si>
    <t>E</t>
    <phoneticPr fontId="2" type="noConversion"/>
  </si>
  <si>
    <t>1:English,82:Korean</t>
    <phoneticPr fontId="2" type="noConversion"/>
  </si>
  <si>
    <t>엑셀</t>
    <phoneticPr fontId="5" type="noConversion"/>
  </si>
  <si>
    <t>cad</t>
    <phoneticPr fontId="5" type="noConversion"/>
  </si>
  <si>
    <t>아크로에디터</t>
    <phoneticPr fontId="5" type="noConversion"/>
  </si>
  <si>
    <t>메모장</t>
    <phoneticPr fontId="5" type="noConversion"/>
  </si>
  <si>
    <t>건강 관리 앱 제작 프로젝트</t>
    <phoneticPr fontId="2" type="noConversion"/>
  </si>
  <si>
    <t>C:\Temp</t>
    <phoneticPr fontId="5" type="noConversion"/>
  </si>
  <si>
    <t>c:\ace\aaa.exe</t>
    <phoneticPr fontId="5" type="noConversion"/>
  </si>
  <si>
    <t>조향덕</t>
    <phoneticPr fontId="2" type="noConversion"/>
  </si>
  <si>
    <t>최기현</t>
  </si>
  <si>
    <t>최기현</t>
    <phoneticPr fontId="2" type="noConversion"/>
  </si>
  <si>
    <t>지준혁</t>
  </si>
  <si>
    <t>지준혁</t>
    <phoneticPr fontId="2" type="noConversion"/>
  </si>
  <si>
    <t>이승헌</t>
  </si>
  <si>
    <t>이승헌</t>
    <phoneticPr fontId="2" type="noConversion"/>
  </si>
  <si>
    <t>이남희</t>
    <phoneticPr fontId="2" type="noConversion"/>
  </si>
  <si>
    <t>백종화</t>
    <phoneticPr fontId="2" type="noConversion"/>
  </si>
  <si>
    <t>팀원</t>
    <phoneticPr fontId="2" type="noConversion"/>
  </si>
  <si>
    <t>운동</t>
    <phoneticPr fontId="2" type="noConversion"/>
  </si>
  <si>
    <t>식단</t>
    <phoneticPr fontId="2" type="noConversion"/>
  </si>
  <si>
    <t>음주</t>
    <phoneticPr fontId="2" type="noConversion"/>
  </si>
  <si>
    <t>수면</t>
    <phoneticPr fontId="2" type="noConversion"/>
  </si>
  <si>
    <t>SNS</t>
    <phoneticPr fontId="2" type="noConversion"/>
  </si>
  <si>
    <t>모듈</t>
    <phoneticPr fontId="2" type="noConversion"/>
  </si>
  <si>
    <t>화면 설계서 시안</t>
  </si>
  <si>
    <t>상세 화면 설계서</t>
  </si>
  <si>
    <t>DB관계다이어그램</t>
  </si>
  <si>
    <t>클래스 다이어그램</t>
  </si>
  <si>
    <t>화면 캡쳐 API</t>
  </si>
  <si>
    <t>GPS 연동</t>
  </si>
  <si>
    <t>칼로리 계산 API</t>
  </si>
  <si>
    <t>데시벨 측정 API</t>
  </si>
  <si>
    <t>모듈 통합</t>
  </si>
  <si>
    <t>아두이노 연동</t>
  </si>
  <si>
    <t>음주 측정 로직 설계</t>
  </si>
  <si>
    <t>운동량 칼로리 구현</t>
  </si>
  <si>
    <t>수정 및 보완점 정리</t>
  </si>
  <si>
    <t>개발 환경 설정</t>
  </si>
  <si>
    <t>4.3</t>
  </si>
  <si>
    <t>4.3.1</t>
  </si>
  <si>
    <t>4.3.1.1</t>
  </si>
  <si>
    <t>4.3.1.2</t>
  </si>
  <si>
    <t>4.3.2</t>
  </si>
  <si>
    <t>4.3.2.1</t>
  </si>
  <si>
    <t>4.3.2.2</t>
  </si>
  <si>
    <t>4.3.3</t>
  </si>
  <si>
    <t>4.3.3.1</t>
  </si>
  <si>
    <t>4.3.4</t>
  </si>
  <si>
    <t>4.3.4.1</t>
  </si>
  <si>
    <t>4.3.4.2</t>
  </si>
  <si>
    <t>4.3.5</t>
  </si>
  <si>
    <t>4.3.5.1</t>
  </si>
  <si>
    <t>4.3.5.2</t>
  </si>
  <si>
    <t>4.3.6</t>
  </si>
  <si>
    <t>4.3.6.1</t>
  </si>
  <si>
    <t>4.3.7</t>
  </si>
  <si>
    <t>백종화</t>
  </si>
  <si>
    <t>VCS 교육 준비</t>
  </si>
  <si>
    <t>VCS 교육, 설치 및 테스트</t>
  </si>
  <si>
    <t>서버 환경 세팅</t>
  </si>
  <si>
    <t>4.3.6.2</t>
  </si>
  <si>
    <t>4.3.7.1</t>
  </si>
  <si>
    <t>4.3.8</t>
  </si>
  <si>
    <t>알람</t>
  </si>
  <si>
    <t>WEB-Main</t>
  </si>
  <si>
    <t>Web-Login</t>
  </si>
  <si>
    <t>로그인</t>
  </si>
  <si>
    <t>Web-AboutUs</t>
  </si>
  <si>
    <t>Web-Contact</t>
  </si>
  <si>
    <t>시간 측정</t>
  </si>
  <si>
    <t>코골이 측정</t>
  </si>
  <si>
    <t>4.3.5.3</t>
  </si>
  <si>
    <t>4.3.7.2</t>
  </si>
  <si>
    <t>4.3.9</t>
  </si>
  <si>
    <t>4.3.10</t>
  </si>
  <si>
    <t>4.3.11</t>
  </si>
  <si>
    <t>4.3.12</t>
  </si>
  <si>
    <t>4.3.13</t>
  </si>
  <si>
    <t>4.3.14</t>
  </si>
  <si>
    <t>Web-MyData</t>
  </si>
  <si>
    <t>김승현</t>
  </si>
  <si>
    <t>김승현</t>
    <phoneticPr fontId="2" type="noConversion"/>
  </si>
  <si>
    <t>웹</t>
    <phoneticPr fontId="2" type="noConversion"/>
  </si>
  <si>
    <t>메인</t>
    <phoneticPr fontId="2" type="noConversion"/>
  </si>
  <si>
    <t>about-us</t>
    <phoneticPr fontId="2" type="noConversion"/>
  </si>
  <si>
    <t>user-data</t>
    <phoneticPr fontId="2" type="noConversion"/>
  </si>
  <si>
    <t>customer-info</t>
    <phoneticPr fontId="2" type="noConversion"/>
  </si>
  <si>
    <t>notice</t>
    <phoneticPr fontId="2" type="noConversion"/>
  </si>
  <si>
    <t>contact</t>
    <phoneticPr fontId="2" type="noConversion"/>
  </si>
  <si>
    <t>이남희</t>
  </si>
  <si>
    <t>각 모듈별 통계값 구현</t>
  </si>
  <si>
    <t>운동량 통계 그래프</t>
  </si>
  <si>
    <t>식단 통계 그래프</t>
  </si>
  <si>
    <t>음주량 통계 그래프</t>
  </si>
  <si>
    <t>realTime 그래프</t>
  </si>
  <si>
    <t>수면 통계 그래프</t>
  </si>
  <si>
    <t>4.3.1.3</t>
  </si>
  <si>
    <t>4.3.2.3</t>
  </si>
  <si>
    <t>4.3.3.2</t>
  </si>
  <si>
    <t>4.3.4.3</t>
  </si>
  <si>
    <t>공유</t>
  </si>
  <si>
    <t>크롤링</t>
  </si>
  <si>
    <t>워드 클라우드</t>
  </si>
  <si>
    <t>식단 검색및 저장</t>
  </si>
  <si>
    <t>4.3.3.3</t>
  </si>
  <si>
    <t>회원가입</t>
  </si>
  <si>
    <t>회원탈퇴</t>
  </si>
  <si>
    <t>4.3.2.4</t>
  </si>
  <si>
    <t>4.3.2.5</t>
  </si>
  <si>
    <t>4.3.2.6</t>
  </si>
  <si>
    <t>4.3.6.3</t>
  </si>
  <si>
    <t>4.3.6.4</t>
  </si>
  <si>
    <t>4.3.6.5</t>
  </si>
  <si>
    <t>4.3.6.6</t>
  </si>
  <si>
    <t>세션 유지</t>
  </si>
  <si>
    <t>Mail Service</t>
  </si>
  <si>
    <t>쓰기</t>
  </si>
  <si>
    <t>읽기</t>
  </si>
  <si>
    <t>업데이트</t>
  </si>
  <si>
    <t>삭제</t>
  </si>
  <si>
    <t>Web-NoticeBoard</t>
  </si>
  <si>
    <t>개발 (모듈별 기능 구현)</t>
  </si>
  <si>
    <t>웹 디자인</t>
  </si>
  <si>
    <t>동영상 첨부</t>
  </si>
  <si>
    <t>모듈별 그래프 적용</t>
  </si>
  <si>
    <t>유저 데이터 통계 및 그래프 적용</t>
  </si>
  <si>
    <t>4.3.8.1</t>
  </si>
  <si>
    <t>4.3.8.2</t>
  </si>
  <si>
    <t>4.3.10.1</t>
  </si>
  <si>
    <t>4.3.11.1</t>
  </si>
  <si>
    <t>4.3.12.1</t>
  </si>
  <si>
    <t>4.3.12.2</t>
  </si>
  <si>
    <t>4.3.12.3</t>
  </si>
  <si>
    <t>4.3.12.4</t>
  </si>
  <si>
    <t>4.3.13.1</t>
  </si>
  <si>
    <t>4.1.4</t>
  </si>
  <si>
    <t>안드로이드 RestAPI 제작</t>
  </si>
  <si>
    <t>데이터베이스 구현</t>
  </si>
  <si>
    <t>4.1.5</t>
  </si>
  <si>
    <t>Web-UserInfo( 관리자 화면)</t>
  </si>
  <si>
    <t>유저 삭제 기능</t>
  </si>
  <si>
    <t>4.3.11.2</t>
  </si>
  <si>
    <t>칼로그(공통)</t>
  </si>
  <si>
    <t>칼로그(공통)</t>
    <phoneticPr fontId="2" type="noConversion"/>
  </si>
  <si>
    <t>Android - 로그인</t>
  </si>
  <si>
    <t>Android - 메인</t>
  </si>
  <si>
    <t>Android - 운동</t>
  </si>
  <si>
    <t>Android - 식단</t>
  </si>
  <si>
    <t>Android - 음주</t>
  </si>
  <si>
    <t>Android - 수면</t>
  </si>
  <si>
    <t>4.2.7</t>
  </si>
  <si>
    <t>안드로이드 화면 (운동,수면,음주,식단,메인 외)</t>
  </si>
  <si>
    <t>웹 관리자 화면</t>
  </si>
  <si>
    <t>관리자 웹 화면(유저정보)</t>
  </si>
  <si>
    <t>4.2.8</t>
  </si>
  <si>
    <t>워드</t>
  </si>
  <si>
    <t>{"TASK_FIRST_COL":"5","START_ROW":"5","WBS_AREA_LAST_COL":"28"}</t>
    <phoneticPr fontId="5" type="noConversion"/>
  </si>
  <si>
    <t>SCHEDULE_SHEET_POSITION:3545121314151617181920212223242526272829</t>
    <phoneticPr fontId="2" type="noConversion"/>
  </si>
  <si>
    <t>시작일*</t>
    <phoneticPr fontId="5" type="noConversion"/>
  </si>
  <si>
    <t>가중치</t>
  </si>
  <si>
    <t>담당</t>
  </si>
  <si>
    <t>reserved</t>
    <phoneticPr fontId="5" type="noConversion"/>
  </si>
  <si>
    <t>task_group</t>
    <phoneticPr fontId="5" type="noConversion"/>
  </si>
  <si>
    <t>담당별 진행율</t>
  </si>
  <si>
    <t>* 담당별로 투입된 Task와 총작업량, 계획작업량, 진척작업을 Man-day로 보여주고, 계획/실적 진행율을 보여줍니다.</t>
  </si>
  <si>
    <t>* "담당별진행율" 메뉴를 클릭해야 내용이 갱신됩니다.</t>
  </si>
  <si>
    <t>작업</t>
  </si>
  <si>
    <t>총작업량(A)_x000D_
Man-day</t>
  </si>
  <si>
    <t>계획작업량(B)_x000D_
Man-day</t>
  </si>
  <si>
    <t>진척작업량( C )_x000D_
Man-day</t>
  </si>
  <si>
    <t>계획(B/A)</t>
  </si>
  <si>
    <t>실적(C/A)</t>
  </si>
  <si>
    <t>차이(실적-계획)</t>
  </si>
  <si>
    <t>김승현 요약</t>
  </si>
  <si>
    <t>백종화 요약</t>
  </si>
  <si>
    <t>이남희 요약</t>
  </si>
  <si>
    <t>이승헌 요약</t>
  </si>
  <si>
    <t>지준혁 요약</t>
  </si>
  <si>
    <t>최기현 요약</t>
  </si>
  <si>
    <t>칼로그(공통) 요약</t>
  </si>
  <si>
    <t>총합계</t>
  </si>
  <si>
    <t>계획_x000D_
기간</t>
    <phoneticPr fontId="5" type="noConversion"/>
  </si>
  <si>
    <t xml:space="preserve">git Manual </t>
  </si>
  <si>
    <t>교육</t>
  </si>
  <si>
    <t>-</t>
  </si>
  <si>
    <t>SQL Script</t>
  </si>
  <si>
    <t>위젯</t>
  </si>
  <si>
    <t>Web-공통</t>
  </si>
  <si>
    <t>4.3.14.1</t>
  </si>
  <si>
    <t>4.3.15</t>
  </si>
  <si>
    <t>wbs_level</t>
    <phoneticPr fontId="5" type="noConversion"/>
  </si>
  <si>
    <t>WBS</t>
    <phoneticPr fontId="5" type="noConversion"/>
  </si>
  <si>
    <t>작업*</t>
    <phoneticPr fontId="5" type="noConversion"/>
  </si>
  <si>
    <t>비고</t>
    <phoneticPr fontId="5" type="noConversion"/>
  </si>
  <si>
    <t>완료일*</t>
    <phoneticPr fontId="5" type="noConversion"/>
  </si>
  <si>
    <t>Calendar</t>
    <phoneticPr fontId="5" type="noConversion"/>
  </si>
  <si>
    <t>총_x000D_
작업량</t>
    <phoneticPr fontId="5" type="noConversion"/>
  </si>
  <si>
    <t>계획_x000D_
작업량</t>
    <phoneticPr fontId="5" type="noConversion"/>
  </si>
  <si>
    <t>총_x000D_
기간</t>
    <phoneticPr fontId="5" type="noConversion"/>
  </si>
  <si>
    <t>실제_x000D_
시작일</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</si>
  <si>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</si>
  <si>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</si>
  <si>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</si>
  <si>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</si>
  <si>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</si>
  <si>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</si>
  <si>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</si>
  <si>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</si>
  <si>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프로젝트 진행율 - 일정변경 관리하지 않을때</t>
    <phoneticPr fontId="5" type="noConversion"/>
  </si>
  <si>
    <t>실제 진행된 작업량</t>
    <phoneticPr fontId="5" type="noConversion"/>
  </si>
  <si>
    <t>일정변경관리 하지 않을 때 현재까지 실제로 진행된 작업기간을 표시함(총기간 x 총실적진행율)</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</si>
</sst>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50">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tint="0.34998626667073579"/>
      <name val="Calibri"/>
      <family val="2"/>
    </font>
    <font>
      <b/>
      <sz val="9"/>
      <color theme="1" tint="0.34998626667073579"/>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b/>
      <sz val="9"/>
      <color rgb="FF0070C0"/>
      <name val="Calibri"/>
      <family val="2"/>
    </font>
    <font>
      <b/>
      <sz val="9"/>
      <color theme="1"/>
      <name val="Calibri"/>
      <family val="2"/>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b/>
      <sz val="11"/>
      <color rgb="FFFA7D00"/>
      <name val="맑은 고딕"/>
      <family val="2"/>
      <charset val="129"/>
      <scheme val="minor"/>
    </font>
    <font>
      <sz val="11"/>
      <color theme="0"/>
      <name val="맑은 고딕"/>
      <family val="2"/>
      <charset val="129"/>
      <scheme val="minor"/>
    </font>
    <font>
      <sz val="11"/>
      <name val="맑은 고딕"/>
      <family val="3"/>
      <charset val="129"/>
      <scheme val="minor"/>
    </font>
    <font>
      <b/>
      <sz val="11"/>
      <name val="Calibri"/>
      <family val="2"/>
    </font>
    <font>
      <sz val="11"/>
      <color rgb="FFFF0000"/>
      <name val="Calibri"/>
      <family val="2"/>
    </font>
  </fonts>
  <fills count="20">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FFFFCC"/>
      </patternFill>
    </fill>
    <fill>
      <patternFill patternType="solid">
        <fgColor theme="5" tint="0.39997558519241921"/>
        <bgColor indexed="65"/>
      </patternFill>
    </fill>
    <fill>
      <patternFill patternType="solid">
        <fgColor theme="8" tint="0.39997558519241921"/>
        <bgColor indexed="65"/>
      </patternFill>
    </fill>
    <fill>
      <patternFill patternType="solid">
        <fgColor theme="3" tint="0.79995117038483843"/>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14">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1" fillId="0" borderId="0"/>
    <xf numFmtId="9" fontId="24" fillId="0" borderId="0" applyFont="0" applyFill="0" applyBorder="0" applyAlignment="0" applyProtection="0">
      <alignment vertical="center"/>
    </xf>
    <xf numFmtId="0" fontId="42" fillId="12" borderId="0" applyNumberFormat="0" applyBorder="0" applyAlignment="0" applyProtection="0">
      <alignment vertical="center"/>
    </xf>
    <xf numFmtId="0" fontId="43" fillId="13" borderId="0" applyNumberFormat="0" applyBorder="0" applyAlignment="0" applyProtection="0">
      <alignment vertical="center"/>
    </xf>
    <xf numFmtId="0" fontId="44" fillId="14" borderId="0" applyNumberFormat="0" applyBorder="0" applyAlignment="0" applyProtection="0">
      <alignment vertical="center"/>
    </xf>
    <xf numFmtId="0" fontId="45" fillId="15" borderId="30" applyNumberFormat="0" applyAlignment="0" applyProtection="0">
      <alignment vertical="center"/>
    </xf>
    <xf numFmtId="0" fontId="24" fillId="16" borderId="31" applyNumberFormat="0" applyFont="0" applyAlignment="0" applyProtection="0">
      <alignment vertical="center"/>
    </xf>
    <xf numFmtId="0" fontId="46" fillId="17" borderId="0" applyNumberFormat="0" applyBorder="0" applyAlignment="0" applyProtection="0">
      <alignment vertical="center"/>
    </xf>
    <xf numFmtId="0" fontId="46" fillId="18" borderId="0" applyNumberFormat="0" applyBorder="0" applyAlignment="0" applyProtection="0">
      <alignment vertical="center"/>
    </xf>
  </cellStyleXfs>
  <cellXfs count="276">
    <xf numFmtId="0" fontId="0" fillId="0" borderId="0" xfId="0"/>
    <xf numFmtId="0" fontId="9" fillId="0" borderId="0" xfId="1" applyFont="1" applyFill="1" applyBorder="1" applyAlignment="1">
      <alignment horizontal="left" vertical="center"/>
    </xf>
    <xf numFmtId="0" fontId="9" fillId="0" borderId="2" xfId="4" applyFont="1" applyFill="1" applyBorder="1" applyAlignment="1" applyProtection="1">
      <alignment horizontal="left" vertical="center"/>
    </xf>
    <xf numFmtId="0" fontId="9" fillId="0" borderId="7" xfId="4" quotePrefix="1" applyFont="1" applyFill="1" applyBorder="1" applyAlignment="1" applyProtection="1">
      <alignment horizontal="right" vertical="top"/>
      <protection locked="0"/>
    </xf>
    <xf numFmtId="0" fontId="9" fillId="0" borderId="8" xfId="4" applyFont="1" applyFill="1" applyBorder="1" applyAlignment="1" applyProtection="1">
      <alignment horizontal="left" vertical="center"/>
      <protection locked="0"/>
    </xf>
    <xf numFmtId="0" fontId="9" fillId="0" borderId="10" xfId="4" applyFont="1" applyFill="1" applyBorder="1" applyAlignment="1" applyProtection="1">
      <alignment horizontal="right" vertical="top"/>
      <protection locked="0"/>
    </xf>
    <xf numFmtId="0" fontId="9" fillId="0" borderId="10" xfId="4" applyFont="1" applyFill="1" applyBorder="1" applyAlignment="1" applyProtection="1">
      <alignment horizontal="left" vertical="top"/>
      <protection locked="0"/>
    </xf>
    <xf numFmtId="14"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left" vertical="top"/>
      <protection locked="0"/>
    </xf>
    <xf numFmtId="176"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center" vertical="top"/>
      <protection locked="0"/>
    </xf>
    <xf numFmtId="177" fontId="9" fillId="0" borderId="10" xfId="4" applyNumberFormat="1" applyFont="1" applyFill="1" applyBorder="1" applyAlignment="1" applyProtection="1">
      <alignment horizontal="center" vertical="top"/>
      <protection locked="0"/>
    </xf>
    <xf numFmtId="1" fontId="9" fillId="0" borderId="10" xfId="4" applyNumberFormat="1" applyFont="1" applyFill="1" applyBorder="1" applyAlignment="1" applyProtection="1">
      <alignment horizontal="center" vertical="top"/>
      <protection locked="0"/>
    </xf>
    <xf numFmtId="179" fontId="9" fillId="0" borderId="10" xfId="4" applyNumberFormat="1" applyFont="1" applyFill="1" applyBorder="1" applyAlignment="1" applyProtection="1">
      <alignment horizontal="center" vertical="top"/>
      <protection locked="0"/>
    </xf>
    <xf numFmtId="14" fontId="9" fillId="0" borderId="10" xfId="4" applyNumberFormat="1" applyFont="1" applyFill="1" applyBorder="1" applyAlignment="1" applyProtection="1">
      <alignment horizontal="left" vertical="top"/>
      <protection locked="0"/>
    </xf>
    <xf numFmtId="10" fontId="9" fillId="0" borderId="10" xfId="3" applyNumberFormat="1" applyFont="1" applyFill="1" applyBorder="1" applyAlignment="1" applyProtection="1">
      <alignment horizontal="right" vertical="top" wrapText="1"/>
      <protection locked="0"/>
    </xf>
    <xf numFmtId="10" fontId="9" fillId="0" borderId="10" xfId="3" applyNumberFormat="1" applyFont="1" applyFill="1" applyBorder="1" applyAlignment="1" applyProtection="1">
      <alignment horizontal="right" vertical="top"/>
      <protection locked="0"/>
    </xf>
    <xf numFmtId="0" fontId="11" fillId="0" borderId="0" xfId="1" applyFont="1" applyFill="1" applyBorder="1" applyAlignment="1">
      <alignment vertical="center"/>
    </xf>
    <xf numFmtId="0" fontId="7" fillId="0" borderId="0" xfId="1" applyFont="1" applyFill="1" applyBorder="1" applyAlignment="1">
      <alignment vertical="center"/>
    </xf>
    <xf numFmtId="14" fontId="12" fillId="0" borderId="0" xfId="4" applyNumberFormat="1" applyFont="1" applyFill="1" applyBorder="1" applyAlignment="1" applyProtection="1">
      <alignment vertical="center"/>
    </xf>
    <xf numFmtId="14" fontId="13" fillId="0" borderId="0" xfId="4" applyNumberFormat="1" applyFont="1" applyFill="1" applyBorder="1" applyAlignment="1" applyProtection="1">
      <alignment vertical="center"/>
    </xf>
    <xf numFmtId="14" fontId="14" fillId="3" borderId="0" xfId="4" quotePrefix="1" applyNumberFormat="1" applyFont="1" applyFill="1" applyBorder="1" applyProtection="1"/>
    <xf numFmtId="14" fontId="14" fillId="3" borderId="0" xfId="4" applyNumberFormat="1" applyFont="1" applyFill="1" applyBorder="1" applyAlignment="1" applyProtection="1">
      <alignment vertical="center"/>
    </xf>
    <xf numFmtId="0" fontId="14" fillId="3" borderId="0" xfId="4" applyFont="1" applyFill="1" applyBorder="1" applyProtection="1"/>
    <xf numFmtId="176" fontId="16" fillId="3" borderId="0" xfId="4" applyNumberFormat="1" applyFont="1" applyFill="1" applyBorder="1" applyAlignment="1" applyProtection="1">
      <alignment vertical="center"/>
      <protection locked="0"/>
    </xf>
    <xf numFmtId="14" fontId="15" fillId="3" borderId="0" xfId="4" applyNumberFormat="1" applyFont="1" applyFill="1" applyBorder="1" applyAlignment="1" applyProtection="1">
      <alignment vertical="center"/>
    </xf>
    <xf numFmtId="14" fontId="14" fillId="0" borderId="11" xfId="4" applyNumberFormat="1" applyFont="1" applyFill="1" applyBorder="1" applyAlignment="1" applyProtection="1">
      <alignment vertical="top"/>
      <protection locked="0"/>
    </xf>
    <xf numFmtId="14" fontId="14" fillId="0" borderId="11" xfId="4" applyNumberFormat="1" applyFont="1" applyFill="1" applyBorder="1" applyAlignment="1" applyProtection="1">
      <alignment vertical="center"/>
      <protection locked="0"/>
    </xf>
    <xf numFmtId="0" fontId="14" fillId="0" borderId="11" xfId="4" applyFont="1" applyFill="1" applyBorder="1" applyAlignment="1" applyProtection="1">
      <alignment vertical="top"/>
      <protection locked="0"/>
    </xf>
    <xf numFmtId="0" fontId="14" fillId="0" borderId="11" xfId="4" applyFont="1" applyFill="1" applyBorder="1" applyAlignment="1" applyProtection="1">
      <alignment vertical="center" wrapText="1"/>
      <protection locked="0"/>
    </xf>
    <xf numFmtId="0" fontId="14" fillId="0" borderId="11" xfId="4"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7" fillId="0" borderId="0" xfId="4" applyNumberFormat="1" applyFont="1" applyFill="1" applyBorder="1" applyAlignment="1" applyProtection="1">
      <alignment horizontal="right" vertical="top"/>
      <protection locked="0"/>
    </xf>
    <xf numFmtId="180" fontId="14" fillId="6" borderId="12" xfId="4" applyNumberFormat="1" applyFont="1" applyFill="1" applyBorder="1" applyAlignment="1" applyProtection="1">
      <alignment vertical="center"/>
      <protection locked="0"/>
    </xf>
    <xf numFmtId="14" fontId="17" fillId="0" borderId="13" xfId="4" applyNumberFormat="1" applyFont="1" applyFill="1" applyBorder="1" applyAlignment="1" applyProtection="1">
      <alignment horizontal="right" vertical="top"/>
      <protection locked="0"/>
    </xf>
    <xf numFmtId="14" fontId="14" fillId="0" borderId="13" xfId="4" applyNumberFormat="1" applyFont="1" applyFill="1" applyBorder="1" applyAlignment="1" applyProtection="1">
      <alignment vertical="center"/>
      <protection locked="0"/>
    </xf>
    <xf numFmtId="0" fontId="14" fillId="0" borderId="13" xfId="4" applyFont="1" applyFill="1" applyBorder="1" applyAlignment="1" applyProtection="1">
      <alignment vertical="top"/>
      <protection locked="0"/>
    </xf>
    <xf numFmtId="0" fontId="14" fillId="0" borderId="13" xfId="4" applyFont="1" applyFill="1" applyBorder="1" applyAlignment="1" applyProtection="1">
      <alignment vertical="center"/>
      <protection locked="0"/>
    </xf>
    <xf numFmtId="14" fontId="17"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14" xfId="4" applyFont="1" applyFill="1" applyBorder="1" applyAlignment="1" applyProtection="1">
      <alignment vertical="center" wrapText="1"/>
      <protection locked="0"/>
    </xf>
    <xf numFmtId="14" fontId="14" fillId="0" borderId="0" xfId="4" applyNumberFormat="1" applyFont="1" applyFill="1" applyBorder="1" applyAlignment="1" applyProtection="1">
      <alignment vertical="top"/>
      <protection locked="0"/>
    </xf>
    <xf numFmtId="14" fontId="17" fillId="0" borderId="13" xfId="4" applyNumberFormat="1" applyFont="1" applyFill="1" applyBorder="1" applyAlignment="1" applyProtection="1">
      <alignment vertical="top"/>
      <protection locked="0"/>
    </xf>
    <xf numFmtId="0" fontId="14" fillId="0" borderId="13" xfId="4" applyFont="1" applyFill="1" applyBorder="1" applyAlignment="1" applyProtection="1">
      <alignment vertical="center" wrapText="1"/>
      <protection locked="0"/>
    </xf>
    <xf numFmtId="14" fontId="17" fillId="0" borderId="14" xfId="4" applyNumberFormat="1" applyFont="1" applyFill="1" applyBorder="1" applyAlignment="1" applyProtection="1">
      <alignment vertical="center" wrapText="1"/>
      <protection locked="0"/>
    </xf>
    <xf numFmtId="14" fontId="17" fillId="0" borderId="0" xfId="4" applyNumberFormat="1" applyFont="1" applyFill="1" applyBorder="1" applyAlignment="1" applyProtection="1">
      <alignment horizontal="right" vertical="center" wrapText="1"/>
      <protection locked="0"/>
    </xf>
    <xf numFmtId="14" fontId="17" fillId="0" borderId="13" xfId="4" applyNumberFormat="1" applyFont="1" applyFill="1" applyBorder="1" applyAlignment="1" applyProtection="1">
      <alignment vertical="center" wrapText="1"/>
      <protection locked="0"/>
    </xf>
    <xf numFmtId="0" fontId="14" fillId="0" borderId="13" xfId="4" applyFont="1" applyFill="1" applyBorder="1" applyProtection="1">
      <protection locked="0"/>
    </xf>
    <xf numFmtId="0" fontId="14" fillId="0" borderId="0" xfId="4" applyFont="1" applyFill="1" applyBorder="1" applyProtection="1">
      <protection locked="0"/>
    </xf>
    <xf numFmtId="14" fontId="14" fillId="0" borderId="0" xfId="4" applyNumberFormat="1" applyFont="1" applyFill="1" applyBorder="1" applyProtection="1">
      <protection locked="0"/>
    </xf>
    <xf numFmtId="14" fontId="14" fillId="0" borderId="14" xfId="4" applyNumberFormat="1" applyFont="1" applyFill="1" applyBorder="1" applyAlignment="1" applyProtection="1">
      <alignment vertical="center"/>
      <protection locked="0"/>
    </xf>
    <xf numFmtId="0" fontId="14" fillId="0" borderId="14" xfId="4" applyFont="1" applyFill="1" applyBorder="1" applyProtection="1">
      <protection locked="0"/>
    </xf>
    <xf numFmtId="14" fontId="14" fillId="0" borderId="15" xfId="4" applyNumberFormat="1" applyFont="1" applyFill="1" applyBorder="1" applyAlignment="1" applyProtection="1">
      <alignment vertical="center"/>
      <protection locked="0"/>
    </xf>
    <xf numFmtId="0" fontId="14" fillId="0" borderId="15" xfId="4" applyFont="1" applyFill="1" applyBorder="1" applyAlignment="1" applyProtection="1">
      <alignment vertical="top"/>
      <protection locked="0"/>
    </xf>
    <xf numFmtId="14" fontId="17" fillId="0" borderId="14" xfId="4" applyNumberFormat="1" applyFont="1" applyFill="1" applyBorder="1" applyProtection="1">
      <protection locked="0"/>
    </xf>
    <xf numFmtId="10" fontId="14" fillId="6" borderId="12" xfId="3" applyNumberFormat="1" applyFont="1" applyFill="1" applyBorder="1" applyAlignment="1" applyProtection="1">
      <alignment vertical="center"/>
      <protection locked="0"/>
    </xf>
    <xf numFmtId="14" fontId="17" fillId="0" borderId="15" xfId="4" applyNumberFormat="1" applyFont="1" applyFill="1" applyBorder="1" applyAlignment="1" applyProtection="1">
      <alignment horizontal="right" vertical="top"/>
      <protection locked="0"/>
    </xf>
    <xf numFmtId="14" fontId="17" fillId="0" borderId="11"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horizontal="right" vertical="top"/>
      <protection locked="0"/>
    </xf>
    <xf numFmtId="14" fontId="14" fillId="0" borderId="16" xfId="4" applyNumberFormat="1" applyFont="1" applyFill="1" applyBorder="1" applyAlignment="1" applyProtection="1">
      <alignment vertical="center"/>
      <protection locked="0"/>
    </xf>
    <xf numFmtId="0" fontId="14" fillId="0" borderId="16" xfId="4" applyFont="1" applyFill="1" applyBorder="1" applyAlignment="1" applyProtection="1">
      <alignment vertical="top"/>
      <protection locked="0"/>
    </xf>
    <xf numFmtId="14" fontId="17" fillId="0" borderId="17" xfId="4" applyNumberFormat="1" applyFont="1" applyFill="1" applyBorder="1" applyAlignment="1" applyProtection="1">
      <alignment vertical="top"/>
      <protection locked="0"/>
    </xf>
    <xf numFmtId="14" fontId="14" fillId="0" borderId="17" xfId="4" applyNumberFormat="1" applyFont="1" applyFill="1" applyBorder="1" applyAlignment="1" applyProtection="1">
      <alignment vertical="center"/>
      <protection locked="0"/>
    </xf>
    <xf numFmtId="0" fontId="14" fillId="0" borderId="17" xfId="4" applyFont="1" applyFill="1" applyBorder="1" applyAlignment="1" applyProtection="1">
      <alignment vertical="top"/>
      <protection locked="0"/>
    </xf>
    <xf numFmtId="0" fontId="14" fillId="0" borderId="14" xfId="4" applyFont="1" applyFill="1" applyBorder="1" applyAlignment="1" applyProtection="1">
      <alignment vertical="center"/>
      <protection locked="0"/>
    </xf>
    <xf numFmtId="10" fontId="14" fillId="6" borderId="12" xfId="3" applyNumberFormat="1" applyFont="1" applyFill="1" applyBorder="1" applyAlignment="1" applyProtection="1">
      <alignment vertical="center"/>
    </xf>
    <xf numFmtId="14" fontId="14" fillId="0" borderId="18" xfId="4" applyNumberFormat="1" applyFont="1" applyFill="1" applyBorder="1" applyAlignment="1" applyProtection="1">
      <alignment horizontal="right" vertical="top"/>
      <protection locked="0"/>
    </xf>
    <xf numFmtId="14" fontId="14" fillId="0" borderId="18" xfId="4" applyNumberFormat="1" applyFont="1" applyFill="1" applyBorder="1" applyAlignment="1" applyProtection="1">
      <alignment vertical="center"/>
      <protection locked="0"/>
    </xf>
    <xf numFmtId="0" fontId="14" fillId="0" borderId="18" xfId="4" applyFont="1" applyFill="1" applyBorder="1" applyAlignment="1" applyProtection="1">
      <alignment vertical="top"/>
      <protection locked="0"/>
    </xf>
    <xf numFmtId="0" fontId="14" fillId="0" borderId="1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3" fillId="0" borderId="0" xfId="4" applyNumberFormat="1" applyFont="1" applyFill="1" applyBorder="1" applyAlignment="1" applyProtection="1">
      <alignment vertical="center"/>
      <protection locked="0"/>
    </xf>
    <xf numFmtId="0" fontId="13" fillId="0" borderId="0" xfId="4" applyFont="1" applyFill="1" applyBorder="1" applyAlignment="1" applyProtection="1">
      <alignment vertical="top"/>
      <protection locked="0"/>
    </xf>
    <xf numFmtId="14" fontId="13" fillId="0" borderId="0" xfId="4" applyNumberFormat="1" applyFont="1" applyFill="1" applyBorder="1" applyProtection="1">
      <protection locked="0"/>
    </xf>
    <xf numFmtId="180" fontId="13" fillId="0" borderId="0" xfId="3" applyNumberFormat="1" applyFont="1" applyFill="1" applyBorder="1" applyAlignment="1" applyProtection="1">
      <alignment vertical="center"/>
      <protection locked="0"/>
    </xf>
    <xf numFmtId="0" fontId="13" fillId="0" borderId="0" xfId="4" applyFont="1" applyFill="1" applyBorder="1" applyProtection="1">
      <protection locked="0"/>
    </xf>
    <xf numFmtId="1" fontId="13" fillId="0" borderId="0" xfId="4" applyNumberFormat="1" applyFont="1" applyFill="1" applyBorder="1" applyAlignment="1" applyProtection="1">
      <alignment vertical="center"/>
      <protection locked="0"/>
    </xf>
    <xf numFmtId="176" fontId="13" fillId="0" borderId="0" xfId="4" applyNumberFormat="1" applyFont="1" applyFill="1" applyBorder="1" applyAlignment="1" applyProtection="1">
      <alignment vertical="center"/>
      <protection locked="0"/>
    </xf>
    <xf numFmtId="0" fontId="11" fillId="0" borderId="0" xfId="4" applyFont="1" applyFill="1" applyBorder="1" applyAlignment="1">
      <alignment vertical="center"/>
    </xf>
    <xf numFmtId="0" fontId="13" fillId="7" borderId="1" xfId="4" applyFont="1" applyFill="1" applyBorder="1" applyAlignment="1">
      <alignment horizontal="left" wrapText="1"/>
    </xf>
    <xf numFmtId="14" fontId="13" fillId="0" borderId="0" xfId="4" applyNumberFormat="1" applyFont="1" applyFill="1" applyProtection="1"/>
    <xf numFmtId="14" fontId="13" fillId="3" borderId="0" xfId="4" applyNumberFormat="1" applyFont="1" applyFill="1" applyAlignment="1" applyProtection="1">
      <alignment vertical="top"/>
    </xf>
    <xf numFmtId="14" fontId="19" fillId="4" borderId="19" xfId="4" applyNumberFormat="1" applyFont="1" applyFill="1" applyBorder="1" applyAlignment="1" applyProtection="1">
      <alignment horizontal="center" vertical="center"/>
    </xf>
    <xf numFmtId="14" fontId="13" fillId="0" borderId="0" xfId="4" applyNumberFormat="1" applyFont="1" applyAlignment="1" applyProtection="1">
      <alignment horizontal="center" vertical="center"/>
    </xf>
    <xf numFmtId="14" fontId="13" fillId="8" borderId="19" xfId="4" applyNumberFormat="1" applyFont="1" applyFill="1" applyBorder="1" applyProtection="1">
      <protection locked="0"/>
    </xf>
    <xf numFmtId="14" fontId="13" fillId="0" borderId="19" xfId="4" applyNumberFormat="1" applyFont="1" applyBorder="1" applyProtection="1">
      <protection locked="0"/>
    </xf>
    <xf numFmtId="14" fontId="13" fillId="0" borderId="0" xfId="4" applyNumberFormat="1" applyFont="1" applyProtection="1"/>
    <xf numFmtId="0" fontId="20" fillId="0" borderId="0" xfId="4" applyFont="1"/>
    <xf numFmtId="14" fontId="13" fillId="0" borderId="19" xfId="4" applyNumberFormat="1" applyFont="1" applyBorder="1" applyProtection="1"/>
    <xf numFmtId="0" fontId="23" fillId="0" borderId="0" xfId="4" applyNumberFormat="1" applyFont="1" applyFill="1" applyBorder="1" applyAlignment="1" applyProtection="1">
      <alignment horizontal="center"/>
      <protection locked="0"/>
    </xf>
    <xf numFmtId="14"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14" fontId="23" fillId="0" borderId="0" xfId="4" applyNumberFormat="1" applyFont="1" applyFill="1" applyBorder="1" applyAlignment="1" applyProtection="1">
      <alignment horizontal="left"/>
      <protection locked="0"/>
    </xf>
    <xf numFmtId="10" fontId="9" fillId="0" borderId="7" xfId="6" applyNumberFormat="1" applyFont="1" applyFill="1" applyBorder="1" applyAlignment="1" applyProtection="1">
      <alignment horizontal="right" vertical="top" wrapText="1"/>
      <protection locked="0"/>
    </xf>
    <xf numFmtId="0" fontId="14" fillId="9" borderId="20" xfId="4" applyFont="1" applyFill="1" applyBorder="1" applyAlignment="1">
      <alignment horizontal="left" vertical="top"/>
    </xf>
    <xf numFmtId="0" fontId="14" fillId="0" borderId="0" xfId="4" applyFont="1" applyFill="1" applyAlignment="1">
      <alignment horizontal="left" vertical="top"/>
    </xf>
    <xf numFmtId="0" fontId="14" fillId="0" borderId="0" xfId="4" applyFont="1" applyFill="1" applyBorder="1" applyAlignment="1">
      <alignment vertical="top"/>
    </xf>
    <xf numFmtId="0" fontId="14" fillId="0" borderId="0" xfId="4" applyFont="1" applyFill="1" applyBorder="1" applyAlignment="1">
      <alignment horizontal="left" vertical="top"/>
    </xf>
    <xf numFmtId="0" fontId="14" fillId="0" borderId="0" xfId="4" applyFont="1" applyFill="1" applyAlignment="1">
      <alignment vertical="top"/>
    </xf>
    <xf numFmtId="0" fontId="14" fillId="0" borderId="0" xfId="4" quotePrefix="1" applyFont="1" applyFill="1" applyBorder="1" applyAlignment="1">
      <alignment horizontal="left" vertical="top"/>
    </xf>
    <xf numFmtId="14" fontId="14" fillId="0" borderId="0" xfId="4" applyNumberFormat="1" applyFont="1" applyFill="1" applyBorder="1" applyAlignment="1">
      <alignment horizontal="left" vertical="top"/>
    </xf>
    <xf numFmtId="0" fontId="14" fillId="0" borderId="20" xfId="4" applyFont="1" applyFill="1" applyBorder="1" applyAlignment="1">
      <alignment vertical="top"/>
    </xf>
    <xf numFmtId="0" fontId="14" fillId="0" borderId="20" xfId="4" applyFont="1" applyFill="1" applyBorder="1" applyAlignment="1">
      <alignment horizontal="left" vertical="top"/>
    </xf>
    <xf numFmtId="14" fontId="14" fillId="0" borderId="0" xfId="4" applyNumberFormat="1" applyFont="1" applyFill="1" applyAlignment="1">
      <alignment horizontal="left" vertical="top"/>
    </xf>
    <xf numFmtId="1" fontId="14" fillId="0" borderId="0" xfId="4" applyNumberFormat="1" applyFont="1" applyFill="1" applyAlignment="1">
      <alignment horizontal="left" vertical="top"/>
    </xf>
    <xf numFmtId="22" fontId="14" fillId="0" borderId="0" xfId="4" applyNumberFormat="1" applyFont="1" applyFill="1" applyAlignment="1">
      <alignment horizontal="left" vertical="top"/>
    </xf>
    <xf numFmtId="14" fontId="14" fillId="0" borderId="0" xfId="4" applyNumberFormat="1" applyFont="1" applyFill="1" applyAlignment="1">
      <alignment vertical="top"/>
    </xf>
    <xf numFmtId="0" fontId="22" fillId="0" borderId="0" xfId="0" applyFont="1" applyAlignment="1"/>
    <xf numFmtId="178" fontId="10" fillId="5" borderId="4" xfId="4" applyNumberFormat="1" applyFont="1" applyFill="1" applyBorder="1" applyAlignment="1" applyProtection="1">
      <alignment horizontal="left" vertical="center"/>
    </xf>
    <xf numFmtId="178" fontId="10" fillId="5" borderId="5" xfId="4" applyNumberFormat="1" applyFont="1" applyFill="1" applyBorder="1" applyAlignment="1" applyProtection="1">
      <alignment horizontal="left" vertical="center"/>
    </xf>
    <xf numFmtId="0" fontId="9" fillId="0" borderId="9" xfId="4" applyFont="1" applyFill="1" applyBorder="1" applyAlignment="1" applyProtection="1">
      <alignment horizontal="left" vertical="center"/>
      <protection locked="0"/>
    </xf>
    <xf numFmtId="178" fontId="10" fillId="5" borderId="6" xfId="4" applyNumberFormat="1" applyFont="1" applyFill="1" applyBorder="1" applyAlignment="1" applyProtection="1">
      <alignment horizontal="left" vertical="center"/>
    </xf>
    <xf numFmtId="0" fontId="9" fillId="0" borderId="7" xfId="4" applyFont="1" applyFill="1" applyBorder="1" applyAlignment="1" applyProtection="1">
      <alignment vertical="top"/>
      <protection locked="0"/>
    </xf>
    <xf numFmtId="0" fontId="9" fillId="0" borderId="10" xfId="4" applyFont="1" applyFill="1" applyBorder="1" applyAlignment="1" applyProtection="1">
      <alignment vertical="top"/>
      <protection locked="0"/>
    </xf>
    <xf numFmtId="14" fontId="13" fillId="8" borderId="19" xfId="0" applyNumberFormat="1" applyFont="1" applyFill="1" applyBorder="1" applyProtection="1">
      <protection locked="0"/>
    </xf>
    <xf numFmtId="14" fontId="13" fillId="0" borderId="19" xfId="0" applyNumberFormat="1" applyFont="1" applyBorder="1" applyProtection="1">
      <protection locked="0"/>
    </xf>
    <xf numFmtId="14" fontId="13" fillId="0" borderId="19" xfId="0" applyNumberFormat="1" applyFont="1" applyFill="1" applyBorder="1" applyProtection="1">
      <protection locked="0"/>
    </xf>
    <xf numFmtId="0" fontId="10" fillId="0" borderId="1" xfId="4" applyFont="1" applyFill="1" applyBorder="1" applyAlignment="1" applyProtection="1">
      <alignment horizontal="left" vertical="center"/>
    </xf>
    <xf numFmtId="0" fontId="10" fillId="0" borderId="2" xfId="4" applyFont="1" applyFill="1" applyBorder="1" applyAlignment="1" applyProtection="1">
      <alignment horizontal="left" vertical="center"/>
    </xf>
    <xf numFmtId="0" fontId="9" fillId="0" borderId="21" xfId="4" applyFont="1" applyFill="1" applyBorder="1" applyAlignment="1" applyProtection="1">
      <alignment horizontal="left" vertical="center"/>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9" fillId="0" borderId="0" xfId="5" applyFont="1" applyFill="1" applyBorder="1" applyAlignment="1">
      <alignment horizontal="left" vertical="top" wrapText="1"/>
    </xf>
    <xf numFmtId="0" fontId="29" fillId="0" borderId="0" xfId="5" applyFont="1" applyFill="1" applyBorder="1" applyAlignment="1">
      <alignment horizontal="left" vertical="top"/>
    </xf>
    <xf numFmtId="0" fontId="9" fillId="0" borderId="0" xfId="4" applyFont="1" applyAlignment="1">
      <alignment vertical="top"/>
    </xf>
    <xf numFmtId="0" fontId="9" fillId="0" borderId="0" xfId="5" applyFont="1" applyFill="1" applyBorder="1" applyAlignment="1">
      <alignment horizontal="left" vertical="top"/>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2" fillId="0" borderId="0" xfId="5" applyFont="1" applyFill="1" applyBorder="1" applyAlignment="1">
      <alignment horizontal="left" vertical="top" wrapText="1"/>
    </xf>
    <xf numFmtId="0" fontId="13" fillId="0" borderId="0" xfId="4" applyFont="1" applyAlignment="1">
      <alignment vertical="top"/>
    </xf>
    <xf numFmtId="0" fontId="33" fillId="0" borderId="0" xfId="0" applyFont="1" applyAlignment="1">
      <alignment vertical="top"/>
    </xf>
    <xf numFmtId="0" fontId="34" fillId="0" borderId="0" xfId="5" applyFont="1" applyFill="1" applyBorder="1" applyAlignment="1">
      <alignment horizontal="left" vertical="top" wrapText="1"/>
    </xf>
    <xf numFmtId="0" fontId="32" fillId="0" borderId="0" xfId="5" applyFont="1" applyFill="1" applyBorder="1" applyAlignment="1">
      <alignment horizontal="left" vertical="top"/>
    </xf>
    <xf numFmtId="0" fontId="28" fillId="0" borderId="0" xfId="0" applyFont="1" applyAlignment="1">
      <alignment horizontal="center" vertical="top"/>
    </xf>
    <xf numFmtId="0" fontId="29" fillId="0" borderId="0" xfId="0" applyFont="1" applyAlignment="1">
      <alignment vertical="top" wrapText="1"/>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5" fillId="11" borderId="0" xfId="1" applyFont="1" applyFill="1" applyBorder="1" applyAlignment="1">
      <alignment horizontal="left" vertical="center"/>
    </xf>
    <xf numFmtId="0" fontId="30" fillId="0" borderId="0" xfId="0" applyFont="1" applyAlignment="1">
      <alignment vertical="top" wrapText="1"/>
    </xf>
    <xf numFmtId="0" fontId="35" fillId="0" borderId="0" xfId="0" applyFont="1" applyAlignment="1">
      <alignment vertical="top" wrapText="1"/>
    </xf>
    <xf numFmtId="0" fontId="31" fillId="0" borderId="0" xfId="5" applyFont="1" applyFill="1" applyBorder="1" applyAlignment="1">
      <alignment horizontal="left" vertical="top" wrapText="1"/>
    </xf>
    <xf numFmtId="0" fontId="9" fillId="0" borderId="22" xfId="4" applyFont="1" applyFill="1" applyBorder="1" applyAlignment="1" applyProtection="1">
      <alignment vertical="top"/>
      <protection locked="0"/>
    </xf>
    <xf numFmtId="0" fontId="9" fillId="0" borderId="22" xfId="4" applyFont="1" applyFill="1" applyBorder="1" applyAlignment="1" applyProtection="1">
      <alignment horizontal="right" vertical="top"/>
      <protection locked="0"/>
    </xf>
    <xf numFmtId="0" fontId="9" fillId="0" borderId="22" xfId="4" applyFont="1" applyFill="1" applyBorder="1" applyAlignment="1" applyProtection="1">
      <alignment horizontal="left" vertical="top"/>
      <protection locked="0"/>
    </xf>
    <xf numFmtId="14"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left" vertical="top"/>
      <protection locked="0"/>
    </xf>
    <xf numFmtId="176"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center" vertical="top"/>
      <protection locked="0"/>
    </xf>
    <xf numFmtId="177" fontId="9" fillId="0" borderId="22" xfId="4" applyNumberFormat="1" applyFont="1" applyFill="1" applyBorder="1" applyAlignment="1" applyProtection="1">
      <alignment horizontal="center" vertical="top"/>
      <protection locked="0"/>
    </xf>
    <xf numFmtId="1" fontId="9" fillId="0" borderId="22" xfId="4" applyNumberFormat="1" applyFont="1" applyFill="1" applyBorder="1" applyAlignment="1" applyProtection="1">
      <alignment horizontal="center" vertical="top"/>
      <protection locked="0"/>
    </xf>
    <xf numFmtId="179" fontId="9" fillId="0" borderId="22" xfId="4" applyNumberFormat="1" applyFont="1" applyFill="1" applyBorder="1" applyAlignment="1" applyProtection="1">
      <alignment horizontal="center" vertical="top"/>
      <protection locked="0"/>
    </xf>
    <xf numFmtId="14" fontId="9" fillId="0" borderId="22" xfId="4" applyNumberFormat="1" applyFont="1" applyFill="1" applyBorder="1" applyAlignment="1" applyProtection="1">
      <alignment horizontal="left" vertical="top"/>
      <protection locked="0"/>
    </xf>
    <xf numFmtId="10" fontId="9" fillId="0" borderId="22" xfId="3" applyNumberFormat="1" applyFont="1" applyFill="1" applyBorder="1" applyAlignment="1" applyProtection="1">
      <alignment horizontal="right" vertical="top" wrapText="1"/>
      <protection locked="0"/>
    </xf>
    <xf numFmtId="10" fontId="9" fillId="0" borderId="22" xfId="3" applyNumberFormat="1" applyFont="1" applyFill="1" applyBorder="1" applyAlignment="1" applyProtection="1">
      <alignment horizontal="right" vertical="top"/>
      <protection locked="0"/>
    </xf>
    <xf numFmtId="0" fontId="9" fillId="0" borderId="23" xfId="4" applyFont="1" applyFill="1" applyBorder="1" applyAlignment="1" applyProtection="1">
      <alignment horizontal="left" vertical="center"/>
      <protection locked="0"/>
    </xf>
    <xf numFmtId="0" fontId="9" fillId="0" borderId="7" xfId="4" applyFont="1" applyFill="1" applyBorder="1" applyAlignment="1" applyProtection="1">
      <alignment horizontal="left" vertical="top"/>
      <protection locked="0"/>
    </xf>
    <xf numFmtId="14"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left" vertical="top"/>
      <protection locked="0"/>
    </xf>
    <xf numFmtId="176"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center" vertical="top"/>
      <protection locked="0"/>
    </xf>
    <xf numFmtId="177" fontId="9" fillId="0" borderId="7" xfId="4" applyNumberFormat="1" applyFont="1" applyFill="1" applyBorder="1" applyAlignment="1" applyProtection="1">
      <alignment horizontal="center" vertical="top"/>
      <protection locked="0"/>
    </xf>
    <xf numFmtId="1" fontId="9" fillId="0" borderId="7" xfId="4" applyNumberFormat="1" applyFont="1" applyFill="1" applyBorder="1" applyAlignment="1" applyProtection="1">
      <alignment horizontal="center" vertical="top"/>
      <protection locked="0"/>
    </xf>
    <xf numFmtId="179" fontId="9" fillId="0" borderId="7" xfId="4" applyNumberFormat="1" applyFont="1" applyFill="1" applyBorder="1" applyAlignment="1" applyProtection="1">
      <alignment horizontal="center" vertical="top"/>
      <protection locked="0"/>
    </xf>
    <xf numFmtId="14" fontId="9" fillId="0" borderId="7" xfId="4" applyNumberFormat="1" applyFont="1" applyFill="1" applyBorder="1" applyAlignment="1" applyProtection="1">
      <alignment horizontal="left" vertical="top"/>
      <protection locked="0"/>
    </xf>
    <xf numFmtId="10" fontId="9" fillId="0" borderId="7" xfId="6" applyNumberFormat="1" applyFont="1" applyFill="1" applyBorder="1" applyAlignment="1" applyProtection="1">
      <alignment horizontal="right" vertical="top"/>
      <protection locked="0"/>
    </xf>
    <xf numFmtId="0" fontId="9" fillId="0" borderId="25" xfId="4" applyFont="1" applyFill="1" applyBorder="1" applyAlignment="1" applyProtection="1">
      <alignment vertical="top"/>
      <protection locked="0"/>
    </xf>
    <xf numFmtId="0" fontId="9" fillId="0" borderId="25" xfId="4" quotePrefix="1" applyFont="1" applyFill="1" applyBorder="1" applyAlignment="1" applyProtection="1">
      <alignment horizontal="right" vertical="top"/>
      <protection locked="0"/>
    </xf>
    <xf numFmtId="0" fontId="9" fillId="0" borderId="25" xfId="4" applyFont="1" applyFill="1" applyBorder="1" applyAlignment="1" applyProtection="1">
      <alignment horizontal="left" vertical="top"/>
      <protection locked="0"/>
    </xf>
    <xf numFmtId="14"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left" vertical="top"/>
      <protection locked="0"/>
    </xf>
    <xf numFmtId="176"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center" vertical="top"/>
      <protection locked="0"/>
    </xf>
    <xf numFmtId="177" fontId="9" fillId="0" borderId="25" xfId="4" applyNumberFormat="1" applyFont="1" applyFill="1" applyBorder="1" applyAlignment="1" applyProtection="1">
      <alignment horizontal="center" vertical="top"/>
      <protection locked="0"/>
    </xf>
    <xf numFmtId="1" fontId="9" fillId="0" borderId="25" xfId="4" applyNumberFormat="1" applyFont="1" applyFill="1" applyBorder="1" applyAlignment="1" applyProtection="1">
      <alignment horizontal="center" vertical="top"/>
      <protection locked="0"/>
    </xf>
    <xf numFmtId="179" fontId="9" fillId="0" borderId="25" xfId="4" applyNumberFormat="1" applyFont="1" applyFill="1" applyBorder="1" applyAlignment="1" applyProtection="1">
      <alignment horizontal="center" vertical="top"/>
      <protection locked="0"/>
    </xf>
    <xf numFmtId="14" fontId="9" fillId="0" borderId="25" xfId="4" applyNumberFormat="1" applyFont="1" applyFill="1" applyBorder="1" applyAlignment="1" applyProtection="1">
      <alignment horizontal="left" vertical="top"/>
      <protection locked="0"/>
    </xf>
    <xf numFmtId="10" fontId="9" fillId="0" borderId="25" xfId="6" applyNumberFormat="1" applyFont="1" applyFill="1" applyBorder="1" applyAlignment="1" applyProtection="1">
      <alignment horizontal="right" vertical="top" wrapText="1"/>
      <protection locked="0"/>
    </xf>
    <xf numFmtId="10" fontId="9" fillId="0" borderId="25" xfId="6" applyNumberFormat="1" applyFont="1" applyFill="1" applyBorder="1" applyAlignment="1" applyProtection="1">
      <alignment horizontal="right" vertical="top"/>
      <protection locked="0"/>
    </xf>
    <xf numFmtId="0" fontId="9" fillId="0" borderId="7" xfId="4" applyFont="1" applyFill="1" applyBorder="1" applyAlignment="1" applyProtection="1">
      <alignment horizontal="right" vertical="top"/>
      <protection locked="0"/>
    </xf>
    <xf numFmtId="0" fontId="13" fillId="0" borderId="0" xfId="4" applyFont="1" applyBorder="1"/>
    <xf numFmtId="0" fontId="9" fillId="0" borderId="27" xfId="4" applyFont="1" applyFill="1" applyBorder="1" applyAlignment="1" applyProtection="1">
      <alignment horizontal="left" vertical="top"/>
      <protection locked="0"/>
    </xf>
    <xf numFmtId="0" fontId="9" fillId="0" borderId="26" xfId="4" applyFont="1" applyFill="1" applyBorder="1" applyAlignment="1" applyProtection="1">
      <alignment vertical="top"/>
      <protection locked="0"/>
    </xf>
    <xf numFmtId="0" fontId="9" fillId="0" borderId="28" xfId="4" applyFont="1" applyFill="1" applyBorder="1" applyAlignment="1" applyProtection="1">
      <alignment vertical="top"/>
      <protection locked="0"/>
    </xf>
    <xf numFmtId="0" fontId="9" fillId="0" borderId="29" xfId="4" applyFont="1" applyFill="1" applyBorder="1" applyAlignment="1" applyProtection="1">
      <alignment horizontal="left" vertical="top"/>
      <protection locked="0"/>
    </xf>
    <xf numFmtId="0" fontId="9" fillId="0" borderId="0" xfId="4" quotePrefix="1" applyFont="1" applyFill="1" applyBorder="1" applyAlignment="1" applyProtection="1">
      <alignment horizontal="right" vertical="top"/>
      <protection locked="0"/>
    </xf>
    <xf numFmtId="0" fontId="38" fillId="11" borderId="0" xfId="1" applyFont="1" applyFill="1" applyBorder="1" applyAlignment="1">
      <alignment horizontal="left" vertical="center"/>
    </xf>
    <xf numFmtId="0" fontId="9" fillId="0" borderId="7" xfId="4" applyFont="1" applyFill="1" applyBorder="1" applyAlignment="1" applyProtection="1">
      <alignment horizontal="left" vertical="center"/>
      <protection locked="0"/>
    </xf>
    <xf numFmtId="0" fontId="9" fillId="0" borderId="7" xfId="4" quotePrefix="1" applyFont="1" applyFill="1" applyBorder="1" applyAlignment="1" applyProtection="1">
      <alignment horizontal="right" vertical="center"/>
      <protection locked="0"/>
    </xf>
    <xf numFmtId="0" fontId="13" fillId="7" borderId="2" xfId="4" applyFont="1" applyFill="1" applyBorder="1" applyAlignment="1">
      <alignment horizontal="left" wrapText="1"/>
    </xf>
    <xf numFmtId="0" fontId="13" fillId="7" borderId="3" xfId="4" applyFont="1" applyFill="1" applyBorder="1" applyAlignment="1">
      <alignment horizontal="left" wrapText="1"/>
    </xf>
    <xf numFmtId="0" fontId="9" fillId="0" borderId="7" xfId="4" applyFont="1" applyBorder="1" applyAlignment="1">
      <alignment horizontal="left" vertical="center"/>
    </xf>
    <xf numFmtId="0" fontId="40" fillId="11" borderId="0" xfId="1" applyFont="1" applyFill="1" applyBorder="1" applyAlignment="1">
      <alignment horizontal="left" vertical="top"/>
    </xf>
    <xf numFmtId="0" fontId="40" fillId="11" borderId="0" xfId="1" applyFont="1" applyFill="1" applyBorder="1" applyAlignment="1">
      <alignment horizontal="left" vertical="center"/>
    </xf>
    <xf numFmtId="0" fontId="40" fillId="11" borderId="0" xfId="1" applyFont="1" applyFill="1" applyBorder="1" applyAlignment="1">
      <alignment vertical="center"/>
    </xf>
    <xf numFmtId="14" fontId="40" fillId="11" borderId="0" xfId="1" applyNumberFormat="1" applyFont="1" applyFill="1" applyBorder="1" applyAlignment="1">
      <alignment vertical="top"/>
    </xf>
    <xf numFmtId="14" fontId="7" fillId="11" borderId="0" xfId="1" applyNumberFormat="1" applyFont="1" applyFill="1" applyBorder="1" applyAlignment="1">
      <alignment horizontal="left" vertical="top" wrapText="1"/>
    </xf>
    <xf numFmtId="0" fontId="40" fillId="11" borderId="0" xfId="1" applyFont="1" applyFill="1" applyBorder="1" applyAlignment="1">
      <alignment horizontal="center" vertical="top"/>
    </xf>
    <xf numFmtId="0" fontId="40" fillId="11" borderId="0" xfId="1" applyNumberFormat="1" applyFont="1" applyFill="1" applyBorder="1" applyAlignment="1">
      <alignment horizontal="center" vertical="top"/>
    </xf>
    <xf numFmtId="14" fontId="40" fillId="11" borderId="0" xfId="1" applyNumberFormat="1" applyFont="1" applyFill="1" applyBorder="1" applyAlignment="1">
      <alignment horizontal="center" vertical="top"/>
    </xf>
    <xf numFmtId="1" fontId="40" fillId="11" borderId="0" xfId="1" applyNumberFormat="1" applyFont="1" applyFill="1" applyBorder="1" applyAlignment="1">
      <alignment horizontal="center" vertical="top"/>
    </xf>
    <xf numFmtId="0" fontId="40" fillId="11" borderId="0" xfId="2" applyFont="1" applyFill="1" applyBorder="1" applyAlignment="1">
      <alignment vertical="top" wrapText="1"/>
    </xf>
    <xf numFmtId="0" fontId="40" fillId="11" borderId="0" xfId="2" applyNumberFormat="1" applyFont="1" applyFill="1" applyBorder="1" applyAlignment="1">
      <alignment vertical="top"/>
    </xf>
    <xf numFmtId="0" fontId="40" fillId="11" borderId="0" xfId="2" applyFont="1" applyFill="1" applyBorder="1" applyAlignment="1">
      <alignment vertical="top"/>
    </xf>
    <xf numFmtId="0" fontId="40" fillId="11" borderId="0" xfId="2" applyFont="1" applyFill="1" applyBorder="1" applyAlignment="1">
      <alignment horizontal="right" vertical="top"/>
    </xf>
    <xf numFmtId="0" fontId="40" fillId="11" borderId="0" xfId="2" applyFont="1" applyFill="1" applyBorder="1" applyAlignment="1">
      <alignment horizontal="right" vertical="center"/>
    </xf>
    <xf numFmtId="0" fontId="27" fillId="11" borderId="0" xfId="1" applyFont="1" applyFill="1" applyBorder="1" applyAlignment="1">
      <alignment horizontal="left" vertical="top"/>
    </xf>
    <xf numFmtId="0" fontId="29" fillId="0" borderId="7" xfId="0" quotePrefix="1" applyFont="1" applyBorder="1" applyAlignment="1">
      <alignment horizontal="right" vertical="center"/>
    </xf>
    <xf numFmtId="0" fontId="29" fillId="0" borderId="7" xfId="0" applyFont="1" applyBorder="1" applyAlignment="1">
      <alignment horizontal="right" vertical="center"/>
    </xf>
    <xf numFmtId="0" fontId="29" fillId="0" borderId="7" xfId="0" applyFont="1" applyBorder="1" applyAlignment="1">
      <alignment horizontal="left" vertical="center"/>
    </xf>
    <xf numFmtId="0" fontId="29" fillId="0" borderId="7" xfId="0" applyFont="1" applyFill="1" applyBorder="1" applyAlignment="1">
      <alignment horizontal="left" vertical="center"/>
    </xf>
    <xf numFmtId="0" fontId="29" fillId="0" borderId="25" xfId="0" applyFont="1" applyBorder="1" applyAlignment="1">
      <alignment horizontal="right" vertical="center"/>
    </xf>
    <xf numFmtId="0" fontId="39" fillId="0" borderId="7" xfId="4" applyNumberFormat="1" applyFont="1" applyFill="1" applyBorder="1" applyAlignment="1" applyProtection="1">
      <alignment horizontal="left" vertical="top"/>
      <protection locked="0"/>
    </xf>
    <xf numFmtId="0" fontId="39" fillId="0" borderId="7" xfId="4" applyFont="1" applyFill="1" applyBorder="1" applyAlignment="1" applyProtection="1">
      <alignment horizontal="left" vertical="top"/>
      <protection locked="0"/>
    </xf>
    <xf numFmtId="0" fontId="30" fillId="0" borderId="7" xfId="0" quotePrefix="1" applyFont="1" applyBorder="1" applyAlignment="1">
      <alignment horizontal="right" vertical="center"/>
    </xf>
    <xf numFmtId="0" fontId="41" fillId="0" borderId="7" xfId="0" applyFont="1" applyBorder="1" applyAlignment="1">
      <alignment horizontal="left" vertical="center"/>
    </xf>
    <xf numFmtId="0" fontId="38" fillId="0" borderId="7" xfId="4" applyFont="1" applyFill="1" applyBorder="1" applyAlignment="1" applyProtection="1">
      <alignment horizontal="left" vertical="top"/>
      <protection locked="0"/>
    </xf>
    <xf numFmtId="0" fontId="39" fillId="0" borderId="7" xfId="4" applyFont="1" applyBorder="1" applyAlignment="1">
      <alignment horizontal="left" vertical="center"/>
    </xf>
    <xf numFmtId="176" fontId="8" fillId="5" borderId="2" xfId="4"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xf>
    <xf numFmtId="10" fontId="8" fillId="10" borderId="3" xfId="3"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wrapText="1"/>
    </xf>
    <xf numFmtId="177" fontId="8" fillId="5" borderId="2" xfId="4" applyNumberFormat="1" applyFont="1" applyFill="1" applyBorder="1" applyAlignment="1" applyProtection="1">
      <alignment horizontal="center" vertical="center" wrapText="1"/>
    </xf>
    <xf numFmtId="1" fontId="8" fillId="5" borderId="2" xfId="4" applyNumberFormat="1" applyFont="1" applyFill="1" applyBorder="1" applyAlignment="1" applyProtection="1">
      <alignment horizontal="center" vertical="center" wrapText="1"/>
    </xf>
    <xf numFmtId="176" fontId="8" fillId="10" borderId="2" xfId="4" applyNumberFormat="1" applyFont="1" applyFill="1" applyBorder="1" applyAlignment="1" applyProtection="1">
      <alignment horizontal="center" vertical="center"/>
    </xf>
    <xf numFmtId="10" fontId="8" fillId="5" borderId="2" xfId="3" applyNumberFormat="1" applyFont="1" applyFill="1" applyBorder="1" applyAlignment="1" applyProtection="1">
      <alignment horizontal="center" vertical="center" wrapText="1"/>
    </xf>
    <xf numFmtId="178" fontId="8" fillId="5" borderId="4" xfId="1" applyNumberFormat="1" applyFont="1" applyFill="1" applyBorder="1" applyAlignment="1">
      <alignment horizontal="left" vertical="center"/>
    </xf>
    <xf numFmtId="178" fontId="8" fillId="5" borderId="5" xfId="1" applyNumberFormat="1" applyFont="1" applyFill="1" applyBorder="1" applyAlignment="1">
      <alignment horizontal="left" vertical="center"/>
    </xf>
    <xf numFmtId="0" fontId="4" fillId="11" borderId="0" xfId="2" applyFont="1" applyFill="1" applyBorder="1" applyAlignment="1">
      <alignment horizontal="left" vertical="center"/>
    </xf>
    <xf numFmtId="178" fontId="8" fillId="5" borderId="6" xfId="1" applyNumberFormat="1" applyFont="1" applyFill="1" applyBorder="1" applyAlignment="1">
      <alignment horizontal="left" vertical="center"/>
    </xf>
    <xf numFmtId="0" fontId="8" fillId="10" borderId="1" xfId="4" applyFont="1" applyFill="1" applyBorder="1" applyAlignment="1" applyProtection="1">
      <alignment horizontal="center" vertical="center" wrapText="1"/>
    </xf>
    <xf numFmtId="0" fontId="8" fillId="10" borderId="0" xfId="4" applyFont="1" applyFill="1" applyBorder="1" applyAlignment="1" applyProtection="1">
      <alignment horizontal="center" vertical="center" wrapText="1"/>
    </xf>
    <xf numFmtId="0" fontId="8" fillId="10" borderId="2" xfId="4" applyFont="1" applyFill="1" applyBorder="1" applyAlignment="1" applyProtection="1">
      <alignment horizontal="center" vertical="center"/>
    </xf>
    <xf numFmtId="0" fontId="8" fillId="10" borderId="24" xfId="4" applyFont="1" applyFill="1" applyBorder="1" applyAlignment="1" applyProtection="1">
      <alignment horizontal="center" vertical="center"/>
    </xf>
    <xf numFmtId="0" fontId="8" fillId="10" borderId="2" xfId="4" applyFont="1" applyFill="1" applyBorder="1" applyAlignment="1" applyProtection="1">
      <alignment horizontal="center" vertical="center" wrapText="1"/>
    </xf>
    <xf numFmtId="0" fontId="8" fillId="5" borderId="2" xfId="4" applyFont="1" applyFill="1" applyBorder="1" applyAlignment="1" applyProtection="1">
      <alignment horizontal="center" vertical="center"/>
    </xf>
    <xf numFmtId="0" fontId="8" fillId="10" borderId="3" xfId="4" applyFont="1" applyFill="1" applyBorder="1" applyAlignment="1" applyProtection="1">
      <alignment horizontal="center" vertical="center"/>
    </xf>
    <xf numFmtId="0" fontId="8" fillId="10" borderId="0" xfId="4" applyFont="1" applyFill="1" applyBorder="1" applyAlignment="1" applyProtection="1">
      <alignment horizontal="center" vertical="center"/>
    </xf>
    <xf numFmtId="0" fontId="8" fillId="10" borderId="1" xfId="4" applyFont="1" applyFill="1" applyBorder="1" applyAlignment="1" applyProtection="1">
      <alignment horizontal="center" vertical="center"/>
    </xf>
    <xf numFmtId="14" fontId="26" fillId="11" borderId="0" xfId="3" applyNumberFormat="1" applyFont="1" applyFill="1" applyBorder="1" applyAlignment="1">
      <alignment horizontal="center" vertical="center" wrapText="1"/>
    </xf>
    <xf numFmtId="0" fontId="8" fillId="10" borderId="2" xfId="4" applyNumberFormat="1" applyFont="1" applyFill="1" applyBorder="1" applyAlignment="1" applyProtection="1">
      <alignment horizontal="center" vertical="center"/>
    </xf>
    <xf numFmtId="0" fontId="14" fillId="0" borderId="0" xfId="4" applyFont="1" applyFill="1" applyBorder="1" applyAlignment="1" applyProtection="1">
      <alignment horizontal="left" vertical="center" wrapText="1"/>
      <protection locked="0"/>
    </xf>
    <xf numFmtId="0" fontId="14" fillId="0" borderId="0" xfId="4" applyFont="1" applyFill="1" applyBorder="1" applyAlignment="1" applyProtection="1">
      <alignment horizontal="left" vertical="center"/>
      <protection locked="0"/>
    </xf>
    <xf numFmtId="0" fontId="11" fillId="0" borderId="0" xfId="1" applyFont="1" applyFill="1" applyBorder="1" applyAlignment="1">
      <alignment horizontal="left" vertical="center"/>
    </xf>
    <xf numFmtId="0" fontId="7" fillId="0" borderId="0" xfId="1" applyFont="1" applyFill="1" applyBorder="1" applyAlignment="1">
      <alignment horizontal="left" vertical="center"/>
    </xf>
    <xf numFmtId="14" fontId="15" fillId="3" borderId="0" xfId="4" applyNumberFormat="1" applyFont="1" applyFill="1" applyBorder="1" applyAlignment="1" applyProtection="1">
      <alignment horizontal="right" vertical="center"/>
    </xf>
    <xf numFmtId="14" fontId="13" fillId="3" borderId="0" xfId="4" applyNumberFormat="1" applyFont="1" applyFill="1" applyBorder="1" applyAlignment="1" applyProtection="1">
      <alignment horizontal="left" vertical="top" wrapText="1"/>
    </xf>
    <xf numFmtId="14" fontId="18" fillId="8" borderId="19" xfId="4" applyNumberFormat="1" applyFont="1" applyFill="1" applyBorder="1" applyAlignment="1" applyProtection="1">
      <alignment horizontal="center" vertical="center"/>
      <protection locked="0"/>
    </xf>
    <xf numFmtId="0" fontId="0" fillId="0" borderId="0" xfId="0" applyAlignment="1">
      <alignment horizontal="center" vertical="center"/>
    </xf>
    <xf numFmtId="14" fontId="47" fillId="0" borderId="7" xfId="8" applyNumberFormat="1" applyFont="1" applyFill="1" applyBorder="1">
      <alignment vertical="center"/>
    </xf>
    <xf numFmtId="0" fontId="47" fillId="0" borderId="7" xfId="0" applyFont="1" applyFill="1" applyBorder="1" applyAlignment="1">
      <alignment vertical="center"/>
    </xf>
    <xf numFmtId="14" fontId="47" fillId="0" borderId="7" xfId="7" applyNumberFormat="1" applyFont="1" applyFill="1" applyBorder="1">
      <alignment vertical="center"/>
    </xf>
    <xf numFmtId="14" fontId="47" fillId="0" borderId="7" xfId="9" applyNumberFormat="1" applyFont="1" applyFill="1" applyBorder="1">
      <alignment vertical="center"/>
    </xf>
    <xf numFmtId="14" fontId="47" fillId="0" borderId="7" xfId="10" applyNumberFormat="1" applyFont="1" applyFill="1" applyBorder="1">
      <alignment vertical="center"/>
    </xf>
    <xf numFmtId="14" fontId="47" fillId="0" borderId="7" xfId="13" applyNumberFormat="1" applyFont="1" applyFill="1" applyBorder="1">
      <alignment vertical="center"/>
    </xf>
    <xf numFmtId="14" fontId="47" fillId="0" borderId="7" xfId="11" applyNumberFormat="1" applyFont="1" applyFill="1" applyBorder="1">
      <alignment vertical="center"/>
    </xf>
    <xf numFmtId="14" fontId="47" fillId="0" borderId="7" xfId="12" applyNumberFormat="1" applyFont="1" applyFill="1" applyBorder="1">
      <alignment vertical="center"/>
    </xf>
    <xf numFmtId="14" fontId="47" fillId="0" borderId="7" xfId="0" applyNumberFormat="1" applyFont="1" applyFill="1" applyBorder="1" applyAlignment="1">
      <alignment vertical="center"/>
    </xf>
    <xf numFmtId="14" fontId="13" fillId="0" borderId="0" xfId="4" applyNumberFormat="1" applyFont="1" applyBorder="1"/>
    <xf numFmtId="0" fontId="3" fillId="0" borderId="0" xfId="2" applyBorder="1"/>
    <xf numFmtId="0" fontId="48" fillId="19" borderId="0" xfId="4" applyFont="1" applyFill="1" applyBorder="1"/>
    <xf numFmtId="0" fontId="3" fillId="19" borderId="0" xfId="2" applyFill="1" applyBorder="1"/>
    <xf numFmtId="0" fontId="13" fillId="19" borderId="0" xfId="4" applyFont="1" applyFill="1" applyBorder="1"/>
    <xf numFmtId="14" fontId="13" fillId="19" borderId="0" xfId="4" applyNumberFormat="1" applyFont="1" applyFill="1" applyBorder="1"/>
    <xf numFmtId="10" fontId="13" fillId="0" borderId="0" xfId="4" applyNumberFormat="1" applyFont="1" applyBorder="1"/>
    <xf numFmtId="10" fontId="49" fillId="0" borderId="0" xfId="4" applyNumberFormat="1" applyFont="1" applyBorder="1"/>
    <xf numFmtId="10" fontId="13" fillId="19" borderId="0" xfId="4" applyNumberFormat="1" applyFont="1" applyFill="1" applyBorder="1"/>
    <xf numFmtId="10" fontId="49" fillId="19" borderId="0" xfId="4" applyNumberFormat="1" applyFont="1" applyFill="1" applyBorder="1"/>
    <xf numFmtId="14" fontId="39" fillId="0" borderId="7" xfId="4" applyNumberFormat="1" applyFont="1" applyFill="1" applyBorder="1" applyAlignment="1" applyProtection="1">
      <alignment horizontal="left" vertical="top"/>
      <protection locked="0"/>
    </xf>
  </cellXfs>
  <cellStyles count="14">
    <cellStyle name="60% - 강조색2" xfId="12" builtinId="36"/>
    <cellStyle name="60% - 강조색5" xfId="13" builtinId="48"/>
    <cellStyle name="강조색5 2" xfId="1"/>
    <cellStyle name="계산" xfId="10" builtinId="22"/>
    <cellStyle name="나쁨" xfId="8" builtinId="27"/>
    <cellStyle name="메모" xfId="11" builtinId="10"/>
    <cellStyle name="백분율" xfId="6" builtinId="5"/>
    <cellStyle name="백분율 2" xfId="3"/>
    <cellStyle name="보통" xfId="9" builtinId="28"/>
    <cellStyle name="좋음" xfId="7" builtinId="26"/>
    <cellStyle name="표준" xfId="0" builtinId="0"/>
    <cellStyle name="표준 2" xfId="4"/>
    <cellStyle name="표준 2 2" xfId="5"/>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
      <tableStyleElement type="headerRow" dxfId="7"/>
    </tableStyle>
  </tableStyles>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129</xdr:row>
      <xdr:rowOff>0</xdr:rowOff>
    </xdr:from>
    <xdr:to>
      <xdr:col>25</xdr:col>
      <xdr:colOff>611020</xdr:colOff>
      <xdr:row>142</xdr:row>
      <xdr:rowOff>84899</xdr:rowOff>
    </xdr:to>
    <xdr:pic>
      <xdr:nvPicPr>
        <xdr:cNvPr id="2" name="그림 1"/>
        <xdr:cNvPicPr>
          <a:picLocks noChangeAspect="1"/>
        </xdr:cNvPicPr>
      </xdr:nvPicPr>
      <xdr:blipFill>
        <a:blip xmlns:r="http://schemas.openxmlformats.org/officeDocument/2006/relationships" r:embed="rId1"/>
        <a:stretch>
          <a:fillRect/>
        </a:stretch>
      </xdr:blipFill>
      <xdr:spPr>
        <a:xfrm>
          <a:off x="1848971" y="19868029"/>
          <a:ext cx="5982535" cy="2124371"/>
        </a:xfrm>
        <a:prstGeom prst="rect">
          <a:avLst/>
        </a:prstGeom>
      </xdr:spPr>
    </xdr:pic>
    <xdr:clientData/>
  </xdr:twoCellAnchor>
  <xdr:twoCellAnchor editAs="oneCell">
    <xdr:from>
      <xdr:col>10</xdr:col>
      <xdr:colOff>0</xdr:colOff>
      <xdr:row>147</xdr:row>
      <xdr:rowOff>0</xdr:rowOff>
    </xdr:from>
    <xdr:to>
      <xdr:col>32</xdr:col>
      <xdr:colOff>47351</xdr:colOff>
      <xdr:row>172</xdr:row>
      <xdr:rowOff>136157</xdr:rowOff>
    </xdr:to>
    <xdr:pic>
      <xdr:nvPicPr>
        <xdr:cNvPr id="34505" name="그림 34504"/>
        <xdr:cNvPicPr>
          <a:picLocks noChangeAspect="1"/>
        </xdr:cNvPicPr>
      </xdr:nvPicPr>
      <xdr:blipFill>
        <a:blip xmlns:r="http://schemas.openxmlformats.org/officeDocument/2006/relationships" r:embed="rId2"/>
        <a:stretch>
          <a:fillRect/>
        </a:stretch>
      </xdr:blipFill>
      <xdr:spPr>
        <a:xfrm>
          <a:off x="1848971" y="22691912"/>
          <a:ext cx="7983064" cy="4058216"/>
        </a:xfrm>
        <a:prstGeom prst="rect">
          <a:avLst/>
        </a:prstGeom>
      </xdr:spPr>
    </xdr:pic>
    <xdr:clientData/>
  </xdr:twoCellAnchor>
  <xdr:twoCellAnchor editAs="oneCell">
    <xdr:from>
      <xdr:col>10</xdr:col>
      <xdr:colOff>0</xdr:colOff>
      <xdr:row>176</xdr:row>
      <xdr:rowOff>0</xdr:rowOff>
    </xdr:from>
    <xdr:to>
      <xdr:col>25</xdr:col>
      <xdr:colOff>344283</xdr:colOff>
      <xdr:row>204</xdr:row>
      <xdr:rowOff>27511</xdr:rowOff>
    </xdr:to>
    <xdr:pic>
      <xdr:nvPicPr>
        <xdr:cNvPr id="34506" name="그림 34505"/>
        <xdr:cNvPicPr>
          <a:picLocks noChangeAspect="1"/>
        </xdr:cNvPicPr>
      </xdr:nvPicPr>
      <xdr:blipFill>
        <a:blip xmlns:r="http://schemas.openxmlformats.org/officeDocument/2006/relationships" r:embed="rId3"/>
        <a:stretch>
          <a:fillRect/>
        </a:stretch>
      </xdr:blipFill>
      <xdr:spPr>
        <a:xfrm>
          <a:off x="1848971" y="27241500"/>
          <a:ext cx="5715798" cy="4420217"/>
        </a:xfrm>
        <a:prstGeom prst="rect">
          <a:avLst/>
        </a:prstGeom>
      </xdr:spPr>
    </xdr:pic>
    <xdr:clientData/>
  </xdr:twoCellAnchor>
  <xdr:twoCellAnchor editAs="oneCell">
    <xdr:from>
      <xdr:col>10</xdr:col>
      <xdr:colOff>0</xdr:colOff>
      <xdr:row>207</xdr:row>
      <xdr:rowOff>0</xdr:rowOff>
    </xdr:from>
    <xdr:to>
      <xdr:col>25</xdr:col>
      <xdr:colOff>334756</xdr:colOff>
      <xdr:row>233</xdr:row>
      <xdr:rowOff>131697</xdr:rowOff>
    </xdr:to>
    <xdr:pic>
      <xdr:nvPicPr>
        <xdr:cNvPr id="34507" name="그림 34506"/>
        <xdr:cNvPicPr>
          <a:picLocks noChangeAspect="1"/>
        </xdr:cNvPicPr>
      </xdr:nvPicPr>
      <xdr:blipFill>
        <a:blip xmlns:r="http://schemas.openxmlformats.org/officeDocument/2006/relationships" r:embed="rId4"/>
        <a:stretch>
          <a:fillRect/>
        </a:stretch>
      </xdr:blipFill>
      <xdr:spPr>
        <a:xfrm>
          <a:off x="1848971" y="32104853"/>
          <a:ext cx="5706271" cy="4210638"/>
        </a:xfrm>
        <a:prstGeom prst="rect">
          <a:avLst/>
        </a:prstGeom>
      </xdr:spPr>
    </xdr:pic>
    <xdr:clientData/>
  </xdr:twoCellAnchor>
  <xdr:twoCellAnchor>
    <xdr:from>
      <xdr:col>31</xdr:col>
      <xdr:colOff>20410</xdr:colOff>
      <xdr:row>105</xdr:row>
      <xdr:rowOff>47625</xdr:rowOff>
    </xdr:from>
    <xdr:to>
      <xdr:col>31</xdr:col>
      <xdr:colOff>40822</xdr:colOff>
      <xdr:row>105</xdr:row>
      <xdr:rowOff>161925</xdr:rowOff>
    </xdr:to>
    <xdr:sp macro="" textlink="">
      <xdr:nvSpPr>
        <xdr:cNvPr id="37979" name="직사각형 37978"/>
        <xdr:cNvSpPr/>
      </xdr:nvSpPr>
      <xdr:spPr>
        <a:xfrm>
          <a:off x="9621610" y="218408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105</xdr:row>
      <xdr:rowOff>104775</xdr:rowOff>
    </xdr:from>
    <xdr:to>
      <xdr:col>31</xdr:col>
      <xdr:colOff>40822</xdr:colOff>
      <xdr:row>105</xdr:row>
      <xdr:rowOff>104775</xdr:rowOff>
    </xdr:to>
    <xdr:cxnSp macro="">
      <xdr:nvCxnSpPr>
        <xdr:cNvPr id="37980" name="직선 화살표 연결선 37979"/>
        <xdr:cNvCxnSpPr/>
      </xdr:nvCxnSpPr>
      <xdr:spPr>
        <a:xfrm>
          <a:off x="9621610" y="218979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104</xdr:row>
      <xdr:rowOff>47625</xdr:rowOff>
    </xdr:from>
    <xdr:to>
      <xdr:col>31</xdr:col>
      <xdr:colOff>40822</xdr:colOff>
      <xdr:row>104</xdr:row>
      <xdr:rowOff>161925</xdr:rowOff>
    </xdr:to>
    <xdr:sp macro="" textlink="">
      <xdr:nvSpPr>
        <xdr:cNvPr id="37981" name="직사각형 37980"/>
        <xdr:cNvSpPr/>
      </xdr:nvSpPr>
      <xdr:spPr>
        <a:xfrm>
          <a:off x="9621610" y="2163127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104</xdr:row>
      <xdr:rowOff>104775</xdr:rowOff>
    </xdr:from>
    <xdr:to>
      <xdr:col>31</xdr:col>
      <xdr:colOff>40822</xdr:colOff>
      <xdr:row>104</xdr:row>
      <xdr:rowOff>104775</xdr:rowOff>
    </xdr:to>
    <xdr:cxnSp macro="">
      <xdr:nvCxnSpPr>
        <xdr:cNvPr id="37982" name="직선 화살표 연결선 37981"/>
        <xdr:cNvCxnSpPr/>
      </xdr:nvCxnSpPr>
      <xdr:spPr>
        <a:xfrm>
          <a:off x="9621610" y="216884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103</xdr:row>
      <xdr:rowOff>47625</xdr:rowOff>
    </xdr:from>
    <xdr:to>
      <xdr:col>30</xdr:col>
      <xdr:colOff>122465</xdr:colOff>
      <xdr:row>103</xdr:row>
      <xdr:rowOff>161925</xdr:rowOff>
    </xdr:to>
    <xdr:sp macro="" textlink="">
      <xdr:nvSpPr>
        <xdr:cNvPr id="37983" name="직사각형 37982"/>
        <xdr:cNvSpPr/>
      </xdr:nvSpPr>
      <xdr:spPr>
        <a:xfrm>
          <a:off x="9560378" y="214217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103</xdr:row>
      <xdr:rowOff>104775</xdr:rowOff>
    </xdr:from>
    <xdr:to>
      <xdr:col>30</xdr:col>
      <xdr:colOff>122465</xdr:colOff>
      <xdr:row>103</xdr:row>
      <xdr:rowOff>104775</xdr:rowOff>
    </xdr:to>
    <xdr:cxnSp macro="">
      <xdr:nvCxnSpPr>
        <xdr:cNvPr id="37984" name="직선 화살표 연결선 37983"/>
        <xdr:cNvCxnSpPr/>
      </xdr:nvCxnSpPr>
      <xdr:spPr>
        <a:xfrm>
          <a:off x="9560378" y="214788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102</xdr:row>
      <xdr:rowOff>47625</xdr:rowOff>
    </xdr:from>
    <xdr:to>
      <xdr:col>30</xdr:col>
      <xdr:colOff>122465</xdr:colOff>
      <xdr:row>102</xdr:row>
      <xdr:rowOff>161925</xdr:rowOff>
    </xdr:to>
    <xdr:sp macro="" textlink="">
      <xdr:nvSpPr>
        <xdr:cNvPr id="37985" name="직사각형 37984"/>
        <xdr:cNvSpPr/>
      </xdr:nvSpPr>
      <xdr:spPr>
        <a:xfrm>
          <a:off x="9560378" y="2121217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102</xdr:row>
      <xdr:rowOff>104775</xdr:rowOff>
    </xdr:from>
    <xdr:to>
      <xdr:col>30</xdr:col>
      <xdr:colOff>122465</xdr:colOff>
      <xdr:row>102</xdr:row>
      <xdr:rowOff>104775</xdr:rowOff>
    </xdr:to>
    <xdr:cxnSp macro="">
      <xdr:nvCxnSpPr>
        <xdr:cNvPr id="37986" name="직선 화살표 연결선 37985"/>
        <xdr:cNvCxnSpPr/>
      </xdr:nvCxnSpPr>
      <xdr:spPr>
        <a:xfrm>
          <a:off x="9560378" y="212693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101</xdr:row>
      <xdr:rowOff>47625</xdr:rowOff>
    </xdr:from>
    <xdr:to>
      <xdr:col>31</xdr:col>
      <xdr:colOff>40822</xdr:colOff>
      <xdr:row>101</xdr:row>
      <xdr:rowOff>161925</xdr:rowOff>
    </xdr:to>
    <xdr:sp macro="" textlink="">
      <xdr:nvSpPr>
        <xdr:cNvPr id="37987" name="직사각형 37986"/>
        <xdr:cNvSpPr/>
      </xdr:nvSpPr>
      <xdr:spPr>
        <a:xfrm>
          <a:off x="9560378" y="2100262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101</xdr:row>
      <xdr:rowOff>104775</xdr:rowOff>
    </xdr:from>
    <xdr:to>
      <xdr:col>31</xdr:col>
      <xdr:colOff>40822</xdr:colOff>
      <xdr:row>101</xdr:row>
      <xdr:rowOff>104775</xdr:rowOff>
    </xdr:to>
    <xdr:cxnSp macro="">
      <xdr:nvCxnSpPr>
        <xdr:cNvPr id="37988" name="직선 화살표 연결선 37987"/>
        <xdr:cNvCxnSpPr/>
      </xdr:nvCxnSpPr>
      <xdr:spPr>
        <a:xfrm>
          <a:off x="9560378" y="210597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100</xdr:row>
      <xdr:rowOff>47625</xdr:rowOff>
    </xdr:from>
    <xdr:to>
      <xdr:col>31</xdr:col>
      <xdr:colOff>40822</xdr:colOff>
      <xdr:row>100</xdr:row>
      <xdr:rowOff>161925</xdr:rowOff>
    </xdr:to>
    <xdr:sp macro="" textlink="">
      <xdr:nvSpPr>
        <xdr:cNvPr id="37989" name="직사각형 37988"/>
        <xdr:cNvSpPr/>
      </xdr:nvSpPr>
      <xdr:spPr>
        <a:xfrm>
          <a:off x="9560378" y="2079307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100</xdr:row>
      <xdr:rowOff>104775</xdr:rowOff>
    </xdr:from>
    <xdr:to>
      <xdr:col>31</xdr:col>
      <xdr:colOff>40822</xdr:colOff>
      <xdr:row>100</xdr:row>
      <xdr:rowOff>104775</xdr:rowOff>
    </xdr:to>
    <xdr:cxnSp macro="">
      <xdr:nvCxnSpPr>
        <xdr:cNvPr id="37990" name="직선 화살표 연결선 37989"/>
        <xdr:cNvCxnSpPr/>
      </xdr:nvCxnSpPr>
      <xdr:spPr>
        <a:xfrm>
          <a:off x="9560378" y="2085022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99</xdr:row>
      <xdr:rowOff>47625</xdr:rowOff>
    </xdr:from>
    <xdr:to>
      <xdr:col>31</xdr:col>
      <xdr:colOff>40822</xdr:colOff>
      <xdr:row>99</xdr:row>
      <xdr:rowOff>161925</xdr:rowOff>
    </xdr:to>
    <xdr:sp macro="" textlink="">
      <xdr:nvSpPr>
        <xdr:cNvPr id="37991" name="직사각형 37990"/>
        <xdr:cNvSpPr/>
      </xdr:nvSpPr>
      <xdr:spPr>
        <a:xfrm>
          <a:off x="9560378" y="2058352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99</xdr:row>
      <xdr:rowOff>104775</xdr:rowOff>
    </xdr:from>
    <xdr:to>
      <xdr:col>31</xdr:col>
      <xdr:colOff>40822</xdr:colOff>
      <xdr:row>99</xdr:row>
      <xdr:rowOff>104775</xdr:rowOff>
    </xdr:to>
    <xdr:cxnSp macro="">
      <xdr:nvCxnSpPr>
        <xdr:cNvPr id="37992" name="직선 화살표 연결선 37991"/>
        <xdr:cNvCxnSpPr/>
      </xdr:nvCxnSpPr>
      <xdr:spPr>
        <a:xfrm>
          <a:off x="9560378" y="206406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98</xdr:row>
      <xdr:rowOff>47625</xdr:rowOff>
    </xdr:from>
    <xdr:to>
      <xdr:col>31</xdr:col>
      <xdr:colOff>40822</xdr:colOff>
      <xdr:row>98</xdr:row>
      <xdr:rowOff>161925</xdr:rowOff>
    </xdr:to>
    <xdr:sp macro="" textlink="">
      <xdr:nvSpPr>
        <xdr:cNvPr id="37993" name="직사각형 37992"/>
        <xdr:cNvSpPr/>
      </xdr:nvSpPr>
      <xdr:spPr>
        <a:xfrm>
          <a:off x="9560378" y="2037397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98</xdr:row>
      <xdr:rowOff>104775</xdr:rowOff>
    </xdr:from>
    <xdr:to>
      <xdr:col>31</xdr:col>
      <xdr:colOff>40822</xdr:colOff>
      <xdr:row>98</xdr:row>
      <xdr:rowOff>104775</xdr:rowOff>
    </xdr:to>
    <xdr:cxnSp macro="">
      <xdr:nvCxnSpPr>
        <xdr:cNvPr id="37994" name="직선 화살표 연결선 37993"/>
        <xdr:cNvCxnSpPr/>
      </xdr:nvCxnSpPr>
      <xdr:spPr>
        <a:xfrm>
          <a:off x="9560378" y="2043112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97</xdr:row>
      <xdr:rowOff>47625</xdr:rowOff>
    </xdr:from>
    <xdr:to>
      <xdr:col>31</xdr:col>
      <xdr:colOff>40822</xdr:colOff>
      <xdr:row>97</xdr:row>
      <xdr:rowOff>161925</xdr:rowOff>
    </xdr:to>
    <xdr:sp macro="" textlink="">
      <xdr:nvSpPr>
        <xdr:cNvPr id="37995" name="직사각형 37994"/>
        <xdr:cNvSpPr/>
      </xdr:nvSpPr>
      <xdr:spPr>
        <a:xfrm>
          <a:off x="9560378" y="20164425"/>
          <a:ext cx="816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97</xdr:row>
      <xdr:rowOff>104775</xdr:rowOff>
    </xdr:from>
    <xdr:to>
      <xdr:col>31</xdr:col>
      <xdr:colOff>40822</xdr:colOff>
      <xdr:row>97</xdr:row>
      <xdr:rowOff>104775</xdr:rowOff>
    </xdr:to>
    <xdr:cxnSp macro="">
      <xdr:nvCxnSpPr>
        <xdr:cNvPr id="37996" name="직선 화살표 연결선 37995"/>
        <xdr:cNvCxnSpPr/>
      </xdr:nvCxnSpPr>
      <xdr:spPr>
        <a:xfrm>
          <a:off x="9560378" y="202215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95</xdr:row>
      <xdr:rowOff>47625</xdr:rowOff>
    </xdr:from>
    <xdr:to>
      <xdr:col>31</xdr:col>
      <xdr:colOff>61232</xdr:colOff>
      <xdr:row>95</xdr:row>
      <xdr:rowOff>161925</xdr:rowOff>
    </xdr:to>
    <xdr:sp macro="" textlink="">
      <xdr:nvSpPr>
        <xdr:cNvPr id="37997" name="직사각형 37996"/>
        <xdr:cNvSpPr/>
      </xdr:nvSpPr>
      <xdr:spPr>
        <a:xfrm>
          <a:off x="9642022" y="197453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95</xdr:row>
      <xdr:rowOff>104775</xdr:rowOff>
    </xdr:from>
    <xdr:to>
      <xdr:col>31</xdr:col>
      <xdr:colOff>61232</xdr:colOff>
      <xdr:row>95</xdr:row>
      <xdr:rowOff>104775</xdr:rowOff>
    </xdr:to>
    <xdr:cxnSp macro="">
      <xdr:nvCxnSpPr>
        <xdr:cNvPr id="37998" name="직선 화살표 연결선 37997"/>
        <xdr:cNvCxnSpPr/>
      </xdr:nvCxnSpPr>
      <xdr:spPr>
        <a:xfrm>
          <a:off x="9642022" y="198024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94</xdr:row>
      <xdr:rowOff>47625</xdr:rowOff>
    </xdr:from>
    <xdr:to>
      <xdr:col>31</xdr:col>
      <xdr:colOff>61232</xdr:colOff>
      <xdr:row>94</xdr:row>
      <xdr:rowOff>161925</xdr:rowOff>
    </xdr:to>
    <xdr:sp macro="" textlink="">
      <xdr:nvSpPr>
        <xdr:cNvPr id="37999" name="직사각형 37998"/>
        <xdr:cNvSpPr/>
      </xdr:nvSpPr>
      <xdr:spPr>
        <a:xfrm>
          <a:off x="9642022" y="19535775"/>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94</xdr:row>
      <xdr:rowOff>104775</xdr:rowOff>
    </xdr:from>
    <xdr:to>
      <xdr:col>31</xdr:col>
      <xdr:colOff>61232</xdr:colOff>
      <xdr:row>94</xdr:row>
      <xdr:rowOff>104775</xdr:rowOff>
    </xdr:to>
    <xdr:cxnSp macro="">
      <xdr:nvCxnSpPr>
        <xdr:cNvPr id="38000" name="직선 화살표 연결선 37999"/>
        <xdr:cNvCxnSpPr/>
      </xdr:nvCxnSpPr>
      <xdr:spPr>
        <a:xfrm>
          <a:off x="9642022" y="195929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93</xdr:row>
      <xdr:rowOff>47625</xdr:rowOff>
    </xdr:from>
    <xdr:to>
      <xdr:col>31</xdr:col>
      <xdr:colOff>40822</xdr:colOff>
      <xdr:row>93</xdr:row>
      <xdr:rowOff>161925</xdr:rowOff>
    </xdr:to>
    <xdr:sp macro="" textlink="">
      <xdr:nvSpPr>
        <xdr:cNvPr id="38001" name="직사각형 38000"/>
        <xdr:cNvSpPr/>
      </xdr:nvSpPr>
      <xdr:spPr>
        <a:xfrm>
          <a:off x="9621610" y="193262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93</xdr:row>
      <xdr:rowOff>104775</xdr:rowOff>
    </xdr:from>
    <xdr:to>
      <xdr:col>31</xdr:col>
      <xdr:colOff>40822</xdr:colOff>
      <xdr:row>93</xdr:row>
      <xdr:rowOff>104775</xdr:rowOff>
    </xdr:to>
    <xdr:cxnSp macro="">
      <xdr:nvCxnSpPr>
        <xdr:cNvPr id="38002" name="직선 화살표 연결선 38001"/>
        <xdr:cNvCxnSpPr/>
      </xdr:nvCxnSpPr>
      <xdr:spPr>
        <a:xfrm>
          <a:off x="9621610" y="193833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92</xdr:row>
      <xdr:rowOff>47625</xdr:rowOff>
    </xdr:from>
    <xdr:to>
      <xdr:col>31</xdr:col>
      <xdr:colOff>40822</xdr:colOff>
      <xdr:row>92</xdr:row>
      <xdr:rowOff>161925</xdr:rowOff>
    </xdr:to>
    <xdr:sp macro="" textlink="">
      <xdr:nvSpPr>
        <xdr:cNvPr id="38003" name="직사각형 38002"/>
        <xdr:cNvSpPr/>
      </xdr:nvSpPr>
      <xdr:spPr>
        <a:xfrm>
          <a:off x="9621610" y="1911667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92</xdr:row>
      <xdr:rowOff>104775</xdr:rowOff>
    </xdr:from>
    <xdr:to>
      <xdr:col>31</xdr:col>
      <xdr:colOff>40822</xdr:colOff>
      <xdr:row>92</xdr:row>
      <xdr:rowOff>104775</xdr:rowOff>
    </xdr:to>
    <xdr:cxnSp macro="">
      <xdr:nvCxnSpPr>
        <xdr:cNvPr id="38004" name="직선 화살표 연결선 38003"/>
        <xdr:cNvCxnSpPr/>
      </xdr:nvCxnSpPr>
      <xdr:spPr>
        <a:xfrm>
          <a:off x="9621610" y="191738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91</xdr:row>
      <xdr:rowOff>47625</xdr:rowOff>
    </xdr:from>
    <xdr:to>
      <xdr:col>30</xdr:col>
      <xdr:colOff>122465</xdr:colOff>
      <xdr:row>91</xdr:row>
      <xdr:rowOff>161925</xdr:rowOff>
    </xdr:to>
    <xdr:sp macro="" textlink="">
      <xdr:nvSpPr>
        <xdr:cNvPr id="38005" name="직사각형 38004"/>
        <xdr:cNvSpPr/>
      </xdr:nvSpPr>
      <xdr:spPr>
        <a:xfrm>
          <a:off x="9560378" y="189071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91</xdr:row>
      <xdr:rowOff>104775</xdr:rowOff>
    </xdr:from>
    <xdr:to>
      <xdr:col>30</xdr:col>
      <xdr:colOff>122465</xdr:colOff>
      <xdr:row>91</xdr:row>
      <xdr:rowOff>104775</xdr:rowOff>
    </xdr:to>
    <xdr:cxnSp macro="">
      <xdr:nvCxnSpPr>
        <xdr:cNvPr id="38006" name="직선 화살표 연결선 38005"/>
        <xdr:cNvCxnSpPr/>
      </xdr:nvCxnSpPr>
      <xdr:spPr>
        <a:xfrm>
          <a:off x="9560378" y="189642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90</xdr:row>
      <xdr:rowOff>47625</xdr:rowOff>
    </xdr:from>
    <xdr:to>
      <xdr:col>30</xdr:col>
      <xdr:colOff>122465</xdr:colOff>
      <xdr:row>90</xdr:row>
      <xdr:rowOff>161925</xdr:rowOff>
    </xdr:to>
    <xdr:sp macro="" textlink="">
      <xdr:nvSpPr>
        <xdr:cNvPr id="38007" name="직사각형 38006"/>
        <xdr:cNvSpPr/>
      </xdr:nvSpPr>
      <xdr:spPr>
        <a:xfrm>
          <a:off x="9539968" y="1869757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90</xdr:row>
      <xdr:rowOff>104775</xdr:rowOff>
    </xdr:from>
    <xdr:to>
      <xdr:col>30</xdr:col>
      <xdr:colOff>122465</xdr:colOff>
      <xdr:row>90</xdr:row>
      <xdr:rowOff>104775</xdr:rowOff>
    </xdr:to>
    <xdr:cxnSp macro="">
      <xdr:nvCxnSpPr>
        <xdr:cNvPr id="38008" name="직선 화살표 연결선 38007"/>
        <xdr:cNvCxnSpPr/>
      </xdr:nvCxnSpPr>
      <xdr:spPr>
        <a:xfrm>
          <a:off x="9539968" y="187547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89</xdr:row>
      <xdr:rowOff>47625</xdr:rowOff>
    </xdr:from>
    <xdr:to>
      <xdr:col>30</xdr:col>
      <xdr:colOff>102053</xdr:colOff>
      <xdr:row>89</xdr:row>
      <xdr:rowOff>161925</xdr:rowOff>
    </xdr:to>
    <xdr:sp macro="" textlink="">
      <xdr:nvSpPr>
        <xdr:cNvPr id="38009" name="직사각형 38008"/>
        <xdr:cNvSpPr/>
      </xdr:nvSpPr>
      <xdr:spPr>
        <a:xfrm>
          <a:off x="9539968" y="184880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89</xdr:row>
      <xdr:rowOff>104775</xdr:rowOff>
    </xdr:from>
    <xdr:to>
      <xdr:col>30</xdr:col>
      <xdr:colOff>102053</xdr:colOff>
      <xdr:row>89</xdr:row>
      <xdr:rowOff>104775</xdr:rowOff>
    </xdr:to>
    <xdr:cxnSp macro="">
      <xdr:nvCxnSpPr>
        <xdr:cNvPr id="38010" name="직선 화살표 연결선 38009"/>
        <xdr:cNvCxnSpPr/>
      </xdr:nvCxnSpPr>
      <xdr:spPr>
        <a:xfrm>
          <a:off x="9539968" y="185451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88</xdr:row>
      <xdr:rowOff>47625</xdr:rowOff>
    </xdr:from>
    <xdr:to>
      <xdr:col>30</xdr:col>
      <xdr:colOff>122465</xdr:colOff>
      <xdr:row>88</xdr:row>
      <xdr:rowOff>161925</xdr:rowOff>
    </xdr:to>
    <xdr:sp macro="" textlink="">
      <xdr:nvSpPr>
        <xdr:cNvPr id="38011" name="직사각형 38010"/>
        <xdr:cNvSpPr/>
      </xdr:nvSpPr>
      <xdr:spPr>
        <a:xfrm>
          <a:off x="9539968" y="1827847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88</xdr:row>
      <xdr:rowOff>104775</xdr:rowOff>
    </xdr:from>
    <xdr:to>
      <xdr:col>30</xdr:col>
      <xdr:colOff>122465</xdr:colOff>
      <xdr:row>88</xdr:row>
      <xdr:rowOff>104775</xdr:rowOff>
    </xdr:to>
    <xdr:cxnSp macro="">
      <xdr:nvCxnSpPr>
        <xdr:cNvPr id="38012" name="직선 화살표 연결선 38011"/>
        <xdr:cNvCxnSpPr/>
      </xdr:nvCxnSpPr>
      <xdr:spPr>
        <a:xfrm>
          <a:off x="9539968" y="183356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87</xdr:row>
      <xdr:rowOff>47625</xdr:rowOff>
    </xdr:from>
    <xdr:to>
      <xdr:col>31</xdr:col>
      <xdr:colOff>40822</xdr:colOff>
      <xdr:row>87</xdr:row>
      <xdr:rowOff>161925</xdr:rowOff>
    </xdr:to>
    <xdr:sp macro="" textlink="">
      <xdr:nvSpPr>
        <xdr:cNvPr id="38013" name="직사각형 38012"/>
        <xdr:cNvSpPr/>
      </xdr:nvSpPr>
      <xdr:spPr>
        <a:xfrm>
          <a:off x="9621610" y="180689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87</xdr:row>
      <xdr:rowOff>104775</xdr:rowOff>
    </xdr:from>
    <xdr:to>
      <xdr:col>31</xdr:col>
      <xdr:colOff>40822</xdr:colOff>
      <xdr:row>87</xdr:row>
      <xdr:rowOff>104775</xdr:rowOff>
    </xdr:to>
    <xdr:cxnSp macro="">
      <xdr:nvCxnSpPr>
        <xdr:cNvPr id="38014" name="직선 화살표 연결선 38013"/>
        <xdr:cNvCxnSpPr/>
      </xdr:nvCxnSpPr>
      <xdr:spPr>
        <a:xfrm>
          <a:off x="9621610" y="181260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86</xdr:row>
      <xdr:rowOff>47625</xdr:rowOff>
    </xdr:from>
    <xdr:to>
      <xdr:col>31</xdr:col>
      <xdr:colOff>40822</xdr:colOff>
      <xdr:row>86</xdr:row>
      <xdr:rowOff>161925</xdr:rowOff>
    </xdr:to>
    <xdr:sp macro="" textlink="">
      <xdr:nvSpPr>
        <xdr:cNvPr id="38015" name="직사각형 38014"/>
        <xdr:cNvSpPr/>
      </xdr:nvSpPr>
      <xdr:spPr>
        <a:xfrm>
          <a:off x="9560378" y="1785937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86</xdr:row>
      <xdr:rowOff>104775</xdr:rowOff>
    </xdr:from>
    <xdr:to>
      <xdr:col>31</xdr:col>
      <xdr:colOff>40822</xdr:colOff>
      <xdr:row>86</xdr:row>
      <xdr:rowOff>104775</xdr:rowOff>
    </xdr:to>
    <xdr:cxnSp macro="">
      <xdr:nvCxnSpPr>
        <xdr:cNvPr id="38016" name="직선 화살표 연결선 38015"/>
        <xdr:cNvCxnSpPr/>
      </xdr:nvCxnSpPr>
      <xdr:spPr>
        <a:xfrm>
          <a:off x="9560378" y="1791652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85</xdr:row>
      <xdr:rowOff>47625</xdr:rowOff>
    </xdr:from>
    <xdr:to>
      <xdr:col>31</xdr:col>
      <xdr:colOff>40822</xdr:colOff>
      <xdr:row>85</xdr:row>
      <xdr:rowOff>161925</xdr:rowOff>
    </xdr:to>
    <xdr:sp macro="" textlink="">
      <xdr:nvSpPr>
        <xdr:cNvPr id="38017" name="직사각형 38016"/>
        <xdr:cNvSpPr/>
      </xdr:nvSpPr>
      <xdr:spPr>
        <a:xfrm>
          <a:off x="9560378" y="17649825"/>
          <a:ext cx="816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85</xdr:row>
      <xdr:rowOff>104775</xdr:rowOff>
    </xdr:from>
    <xdr:to>
      <xdr:col>31</xdr:col>
      <xdr:colOff>40822</xdr:colOff>
      <xdr:row>85</xdr:row>
      <xdr:rowOff>104775</xdr:rowOff>
    </xdr:to>
    <xdr:cxnSp macro="">
      <xdr:nvCxnSpPr>
        <xdr:cNvPr id="38018" name="직선 화살표 연결선 38017"/>
        <xdr:cNvCxnSpPr/>
      </xdr:nvCxnSpPr>
      <xdr:spPr>
        <a:xfrm>
          <a:off x="9560378" y="177069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84</xdr:row>
      <xdr:rowOff>47625</xdr:rowOff>
    </xdr:from>
    <xdr:to>
      <xdr:col>30</xdr:col>
      <xdr:colOff>122465</xdr:colOff>
      <xdr:row>84</xdr:row>
      <xdr:rowOff>161925</xdr:rowOff>
    </xdr:to>
    <xdr:sp macro="" textlink="">
      <xdr:nvSpPr>
        <xdr:cNvPr id="38019" name="직사각형 38018"/>
        <xdr:cNvSpPr/>
      </xdr:nvSpPr>
      <xdr:spPr>
        <a:xfrm>
          <a:off x="9519557" y="174402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84</xdr:row>
      <xdr:rowOff>104775</xdr:rowOff>
    </xdr:from>
    <xdr:to>
      <xdr:col>30</xdr:col>
      <xdr:colOff>122465</xdr:colOff>
      <xdr:row>84</xdr:row>
      <xdr:rowOff>104775</xdr:rowOff>
    </xdr:to>
    <xdr:cxnSp macro="">
      <xdr:nvCxnSpPr>
        <xdr:cNvPr id="38020" name="직선 화살표 연결선 38019"/>
        <xdr:cNvCxnSpPr/>
      </xdr:nvCxnSpPr>
      <xdr:spPr>
        <a:xfrm>
          <a:off x="9519557" y="174974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83</xdr:row>
      <xdr:rowOff>47625</xdr:rowOff>
    </xdr:from>
    <xdr:to>
      <xdr:col>30</xdr:col>
      <xdr:colOff>102053</xdr:colOff>
      <xdr:row>83</xdr:row>
      <xdr:rowOff>161925</xdr:rowOff>
    </xdr:to>
    <xdr:sp macro="" textlink="">
      <xdr:nvSpPr>
        <xdr:cNvPr id="38021" name="직사각형 38020"/>
        <xdr:cNvSpPr/>
      </xdr:nvSpPr>
      <xdr:spPr>
        <a:xfrm>
          <a:off x="9519557" y="1723072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83</xdr:row>
      <xdr:rowOff>104775</xdr:rowOff>
    </xdr:from>
    <xdr:to>
      <xdr:col>30</xdr:col>
      <xdr:colOff>93889</xdr:colOff>
      <xdr:row>83</xdr:row>
      <xdr:rowOff>104775</xdr:rowOff>
    </xdr:to>
    <xdr:cxnSp macro="">
      <xdr:nvCxnSpPr>
        <xdr:cNvPr id="38022" name="직선 화살표 연결선 38021"/>
        <xdr:cNvCxnSpPr/>
      </xdr:nvCxnSpPr>
      <xdr:spPr>
        <a:xfrm>
          <a:off x="9519557" y="17287875"/>
          <a:ext cx="326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82</xdr:row>
      <xdr:rowOff>47625</xdr:rowOff>
    </xdr:from>
    <xdr:to>
      <xdr:col>30</xdr:col>
      <xdr:colOff>61232</xdr:colOff>
      <xdr:row>82</xdr:row>
      <xdr:rowOff>161925</xdr:rowOff>
    </xdr:to>
    <xdr:sp macro="" textlink="">
      <xdr:nvSpPr>
        <xdr:cNvPr id="38023" name="직사각형 38022"/>
        <xdr:cNvSpPr/>
      </xdr:nvSpPr>
      <xdr:spPr>
        <a:xfrm>
          <a:off x="9499147" y="170211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82</xdr:row>
      <xdr:rowOff>104775</xdr:rowOff>
    </xdr:from>
    <xdr:to>
      <xdr:col>30</xdr:col>
      <xdr:colOff>57150</xdr:colOff>
      <xdr:row>82</xdr:row>
      <xdr:rowOff>104775</xdr:rowOff>
    </xdr:to>
    <xdr:cxnSp macro="">
      <xdr:nvCxnSpPr>
        <xdr:cNvPr id="38024" name="직선 화살표 연결선 38023"/>
        <xdr:cNvCxnSpPr/>
      </xdr:nvCxnSpPr>
      <xdr:spPr>
        <a:xfrm>
          <a:off x="9499147" y="17078325"/>
          <a:ext cx="163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81</xdr:row>
      <xdr:rowOff>47625</xdr:rowOff>
    </xdr:from>
    <xdr:to>
      <xdr:col>30</xdr:col>
      <xdr:colOff>61232</xdr:colOff>
      <xdr:row>81</xdr:row>
      <xdr:rowOff>161925</xdr:rowOff>
    </xdr:to>
    <xdr:sp macro="" textlink="">
      <xdr:nvSpPr>
        <xdr:cNvPr id="38025" name="직사각형 38024"/>
        <xdr:cNvSpPr/>
      </xdr:nvSpPr>
      <xdr:spPr>
        <a:xfrm>
          <a:off x="9478735" y="168116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81</xdr:row>
      <xdr:rowOff>104775</xdr:rowOff>
    </xdr:from>
    <xdr:to>
      <xdr:col>30</xdr:col>
      <xdr:colOff>61232</xdr:colOff>
      <xdr:row>81</xdr:row>
      <xdr:rowOff>104775</xdr:rowOff>
    </xdr:to>
    <xdr:cxnSp macro="">
      <xdr:nvCxnSpPr>
        <xdr:cNvPr id="38026" name="직선 화살표 연결선 38025"/>
        <xdr:cNvCxnSpPr/>
      </xdr:nvCxnSpPr>
      <xdr:spPr>
        <a:xfrm>
          <a:off x="9478735" y="168687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80</xdr:row>
      <xdr:rowOff>47625</xdr:rowOff>
    </xdr:from>
    <xdr:to>
      <xdr:col>30</xdr:col>
      <xdr:colOff>40822</xdr:colOff>
      <xdr:row>80</xdr:row>
      <xdr:rowOff>161925</xdr:rowOff>
    </xdr:to>
    <xdr:sp macro="" textlink="">
      <xdr:nvSpPr>
        <xdr:cNvPr id="38027" name="직사각형 38026"/>
        <xdr:cNvSpPr/>
      </xdr:nvSpPr>
      <xdr:spPr>
        <a:xfrm>
          <a:off x="9417503" y="1660207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80</xdr:row>
      <xdr:rowOff>104775</xdr:rowOff>
    </xdr:from>
    <xdr:to>
      <xdr:col>30</xdr:col>
      <xdr:colOff>40822</xdr:colOff>
      <xdr:row>80</xdr:row>
      <xdr:rowOff>104775</xdr:rowOff>
    </xdr:to>
    <xdr:cxnSp macro="">
      <xdr:nvCxnSpPr>
        <xdr:cNvPr id="38028" name="직선 화살표 연결선 38027"/>
        <xdr:cNvCxnSpPr/>
      </xdr:nvCxnSpPr>
      <xdr:spPr>
        <a:xfrm>
          <a:off x="9417503" y="1665922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79</xdr:row>
      <xdr:rowOff>47625</xdr:rowOff>
    </xdr:from>
    <xdr:to>
      <xdr:col>29</xdr:col>
      <xdr:colOff>122465</xdr:colOff>
      <xdr:row>79</xdr:row>
      <xdr:rowOff>161925</xdr:rowOff>
    </xdr:to>
    <xdr:sp macro="" textlink="">
      <xdr:nvSpPr>
        <xdr:cNvPr id="38029" name="직사각형 38028"/>
        <xdr:cNvSpPr/>
      </xdr:nvSpPr>
      <xdr:spPr>
        <a:xfrm>
          <a:off x="9397093" y="163925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79</xdr:row>
      <xdr:rowOff>104775</xdr:rowOff>
    </xdr:from>
    <xdr:to>
      <xdr:col>29</xdr:col>
      <xdr:colOff>122465</xdr:colOff>
      <xdr:row>79</xdr:row>
      <xdr:rowOff>104775</xdr:rowOff>
    </xdr:to>
    <xdr:cxnSp macro="">
      <xdr:nvCxnSpPr>
        <xdr:cNvPr id="38030" name="직선 화살표 연결선 38029"/>
        <xdr:cNvCxnSpPr/>
      </xdr:nvCxnSpPr>
      <xdr:spPr>
        <a:xfrm>
          <a:off x="9397093" y="164496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78</xdr:row>
      <xdr:rowOff>47625</xdr:rowOff>
    </xdr:from>
    <xdr:to>
      <xdr:col>30</xdr:col>
      <xdr:colOff>122465</xdr:colOff>
      <xdr:row>78</xdr:row>
      <xdr:rowOff>161925</xdr:rowOff>
    </xdr:to>
    <xdr:sp macro="" textlink="">
      <xdr:nvSpPr>
        <xdr:cNvPr id="38031" name="직사각형 38030"/>
        <xdr:cNvSpPr/>
      </xdr:nvSpPr>
      <xdr:spPr>
        <a:xfrm>
          <a:off x="9397093" y="16182975"/>
          <a:ext cx="183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78</xdr:row>
      <xdr:rowOff>104775</xdr:rowOff>
    </xdr:from>
    <xdr:to>
      <xdr:col>30</xdr:col>
      <xdr:colOff>113280</xdr:colOff>
      <xdr:row>78</xdr:row>
      <xdr:rowOff>104775</xdr:rowOff>
    </xdr:to>
    <xdr:cxnSp macro="">
      <xdr:nvCxnSpPr>
        <xdr:cNvPr id="38032" name="직선 화살표 연결선 38031"/>
        <xdr:cNvCxnSpPr/>
      </xdr:nvCxnSpPr>
      <xdr:spPr>
        <a:xfrm>
          <a:off x="9397093" y="16240125"/>
          <a:ext cx="1745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77</xdr:row>
      <xdr:rowOff>47625</xdr:rowOff>
    </xdr:from>
    <xdr:to>
      <xdr:col>30</xdr:col>
      <xdr:colOff>122465</xdr:colOff>
      <xdr:row>77</xdr:row>
      <xdr:rowOff>161925</xdr:rowOff>
    </xdr:to>
    <xdr:sp macro="" textlink="">
      <xdr:nvSpPr>
        <xdr:cNvPr id="38033" name="직사각형 38032"/>
        <xdr:cNvSpPr/>
      </xdr:nvSpPr>
      <xdr:spPr>
        <a:xfrm>
          <a:off x="9519557" y="159734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77</xdr:row>
      <xdr:rowOff>104775</xdr:rowOff>
    </xdr:from>
    <xdr:to>
      <xdr:col>30</xdr:col>
      <xdr:colOff>122465</xdr:colOff>
      <xdr:row>77</xdr:row>
      <xdr:rowOff>104775</xdr:rowOff>
    </xdr:to>
    <xdr:cxnSp macro="">
      <xdr:nvCxnSpPr>
        <xdr:cNvPr id="38034" name="직선 화살표 연결선 38033"/>
        <xdr:cNvCxnSpPr/>
      </xdr:nvCxnSpPr>
      <xdr:spPr>
        <a:xfrm>
          <a:off x="9519557" y="160305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76</xdr:row>
      <xdr:rowOff>47625</xdr:rowOff>
    </xdr:from>
    <xdr:to>
      <xdr:col>30</xdr:col>
      <xdr:colOff>61232</xdr:colOff>
      <xdr:row>76</xdr:row>
      <xdr:rowOff>161925</xdr:rowOff>
    </xdr:to>
    <xdr:sp macro="" textlink="">
      <xdr:nvSpPr>
        <xdr:cNvPr id="38035" name="직사각형 38034"/>
        <xdr:cNvSpPr/>
      </xdr:nvSpPr>
      <xdr:spPr>
        <a:xfrm>
          <a:off x="9499147" y="157638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76</xdr:row>
      <xdr:rowOff>104775</xdr:rowOff>
    </xdr:from>
    <xdr:to>
      <xdr:col>30</xdr:col>
      <xdr:colOff>61232</xdr:colOff>
      <xdr:row>76</xdr:row>
      <xdr:rowOff>104775</xdr:rowOff>
    </xdr:to>
    <xdr:cxnSp macro="">
      <xdr:nvCxnSpPr>
        <xdr:cNvPr id="38036" name="직선 화살표 연결선 38035"/>
        <xdr:cNvCxnSpPr/>
      </xdr:nvCxnSpPr>
      <xdr:spPr>
        <a:xfrm>
          <a:off x="9499147" y="158210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75</xdr:row>
      <xdr:rowOff>47625</xdr:rowOff>
    </xdr:from>
    <xdr:to>
      <xdr:col>30</xdr:col>
      <xdr:colOff>61232</xdr:colOff>
      <xdr:row>75</xdr:row>
      <xdr:rowOff>161925</xdr:rowOff>
    </xdr:to>
    <xdr:sp macro="" textlink="">
      <xdr:nvSpPr>
        <xdr:cNvPr id="38037" name="직사각형 38036"/>
        <xdr:cNvSpPr/>
      </xdr:nvSpPr>
      <xdr:spPr>
        <a:xfrm>
          <a:off x="9499147" y="155543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75</xdr:row>
      <xdr:rowOff>104775</xdr:rowOff>
    </xdr:from>
    <xdr:to>
      <xdr:col>30</xdr:col>
      <xdr:colOff>61232</xdr:colOff>
      <xdr:row>75</xdr:row>
      <xdr:rowOff>104775</xdr:rowOff>
    </xdr:to>
    <xdr:cxnSp macro="">
      <xdr:nvCxnSpPr>
        <xdr:cNvPr id="38038" name="직선 화살표 연결선 38037"/>
        <xdr:cNvCxnSpPr/>
      </xdr:nvCxnSpPr>
      <xdr:spPr>
        <a:xfrm>
          <a:off x="9499147" y="156114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74</xdr:row>
      <xdr:rowOff>47625</xdr:rowOff>
    </xdr:from>
    <xdr:to>
      <xdr:col>30</xdr:col>
      <xdr:colOff>122465</xdr:colOff>
      <xdr:row>74</xdr:row>
      <xdr:rowOff>161925</xdr:rowOff>
    </xdr:to>
    <xdr:sp macro="" textlink="">
      <xdr:nvSpPr>
        <xdr:cNvPr id="38039" name="직사각형 38038"/>
        <xdr:cNvSpPr/>
      </xdr:nvSpPr>
      <xdr:spPr>
        <a:xfrm>
          <a:off x="9499147" y="15344775"/>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74</xdr:row>
      <xdr:rowOff>104775</xdr:rowOff>
    </xdr:from>
    <xdr:to>
      <xdr:col>30</xdr:col>
      <xdr:colOff>122465</xdr:colOff>
      <xdr:row>74</xdr:row>
      <xdr:rowOff>104775</xdr:rowOff>
    </xdr:to>
    <xdr:cxnSp macro="">
      <xdr:nvCxnSpPr>
        <xdr:cNvPr id="38040" name="직선 화살표 연결선 38039"/>
        <xdr:cNvCxnSpPr/>
      </xdr:nvCxnSpPr>
      <xdr:spPr>
        <a:xfrm>
          <a:off x="9499147" y="1540192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73</xdr:row>
      <xdr:rowOff>47625</xdr:rowOff>
    </xdr:from>
    <xdr:to>
      <xdr:col>30</xdr:col>
      <xdr:colOff>122465</xdr:colOff>
      <xdr:row>73</xdr:row>
      <xdr:rowOff>161925</xdr:rowOff>
    </xdr:to>
    <xdr:sp macro="" textlink="">
      <xdr:nvSpPr>
        <xdr:cNvPr id="38041" name="직사각형 38040"/>
        <xdr:cNvSpPr/>
      </xdr:nvSpPr>
      <xdr:spPr>
        <a:xfrm>
          <a:off x="9519557" y="151352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73</xdr:row>
      <xdr:rowOff>104775</xdr:rowOff>
    </xdr:from>
    <xdr:to>
      <xdr:col>30</xdr:col>
      <xdr:colOff>122465</xdr:colOff>
      <xdr:row>73</xdr:row>
      <xdr:rowOff>104775</xdr:rowOff>
    </xdr:to>
    <xdr:cxnSp macro="">
      <xdr:nvCxnSpPr>
        <xdr:cNvPr id="38042" name="직선 화살표 연결선 38041"/>
        <xdr:cNvCxnSpPr/>
      </xdr:nvCxnSpPr>
      <xdr:spPr>
        <a:xfrm>
          <a:off x="9519557" y="151923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72</xdr:row>
      <xdr:rowOff>47625</xdr:rowOff>
    </xdr:from>
    <xdr:to>
      <xdr:col>31</xdr:col>
      <xdr:colOff>40822</xdr:colOff>
      <xdr:row>72</xdr:row>
      <xdr:rowOff>161925</xdr:rowOff>
    </xdr:to>
    <xdr:sp macro="" textlink="">
      <xdr:nvSpPr>
        <xdr:cNvPr id="38043" name="직사각형 38042"/>
        <xdr:cNvSpPr/>
      </xdr:nvSpPr>
      <xdr:spPr>
        <a:xfrm>
          <a:off x="9539968" y="14925675"/>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72</xdr:row>
      <xdr:rowOff>104775</xdr:rowOff>
    </xdr:from>
    <xdr:to>
      <xdr:col>31</xdr:col>
      <xdr:colOff>40822</xdr:colOff>
      <xdr:row>72</xdr:row>
      <xdr:rowOff>104775</xdr:rowOff>
    </xdr:to>
    <xdr:cxnSp macro="">
      <xdr:nvCxnSpPr>
        <xdr:cNvPr id="38044" name="직선 화살표 연결선 38043"/>
        <xdr:cNvCxnSpPr/>
      </xdr:nvCxnSpPr>
      <xdr:spPr>
        <a:xfrm>
          <a:off x="9539968" y="1498282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71</xdr:row>
      <xdr:rowOff>47625</xdr:rowOff>
    </xdr:from>
    <xdr:to>
      <xdr:col>30</xdr:col>
      <xdr:colOff>102053</xdr:colOff>
      <xdr:row>71</xdr:row>
      <xdr:rowOff>161925</xdr:rowOff>
    </xdr:to>
    <xdr:sp macro="" textlink="">
      <xdr:nvSpPr>
        <xdr:cNvPr id="38045" name="직사각형 38044"/>
        <xdr:cNvSpPr/>
      </xdr:nvSpPr>
      <xdr:spPr>
        <a:xfrm>
          <a:off x="9539968" y="147161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71</xdr:row>
      <xdr:rowOff>104775</xdr:rowOff>
    </xdr:from>
    <xdr:to>
      <xdr:col>30</xdr:col>
      <xdr:colOff>102053</xdr:colOff>
      <xdr:row>71</xdr:row>
      <xdr:rowOff>104775</xdr:rowOff>
    </xdr:to>
    <xdr:cxnSp macro="">
      <xdr:nvCxnSpPr>
        <xdr:cNvPr id="38046" name="직선 화살표 연결선 38045"/>
        <xdr:cNvCxnSpPr/>
      </xdr:nvCxnSpPr>
      <xdr:spPr>
        <a:xfrm>
          <a:off x="9539968" y="147732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70</xdr:row>
      <xdr:rowOff>47625</xdr:rowOff>
    </xdr:from>
    <xdr:to>
      <xdr:col>31</xdr:col>
      <xdr:colOff>40822</xdr:colOff>
      <xdr:row>70</xdr:row>
      <xdr:rowOff>161925</xdr:rowOff>
    </xdr:to>
    <xdr:sp macro="" textlink="">
      <xdr:nvSpPr>
        <xdr:cNvPr id="38047" name="직사각형 38046"/>
        <xdr:cNvSpPr/>
      </xdr:nvSpPr>
      <xdr:spPr>
        <a:xfrm>
          <a:off x="9519557" y="14506575"/>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70</xdr:row>
      <xdr:rowOff>104775</xdr:rowOff>
    </xdr:from>
    <xdr:to>
      <xdr:col>31</xdr:col>
      <xdr:colOff>40822</xdr:colOff>
      <xdr:row>70</xdr:row>
      <xdr:rowOff>104775</xdr:rowOff>
    </xdr:to>
    <xdr:cxnSp macro="">
      <xdr:nvCxnSpPr>
        <xdr:cNvPr id="38048" name="직선 화살표 연결선 38047"/>
        <xdr:cNvCxnSpPr/>
      </xdr:nvCxnSpPr>
      <xdr:spPr>
        <a:xfrm>
          <a:off x="9519557" y="14563725"/>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69</xdr:row>
      <xdr:rowOff>47625</xdr:rowOff>
    </xdr:from>
    <xdr:to>
      <xdr:col>30</xdr:col>
      <xdr:colOff>122465</xdr:colOff>
      <xdr:row>69</xdr:row>
      <xdr:rowOff>161925</xdr:rowOff>
    </xdr:to>
    <xdr:sp macro="" textlink="">
      <xdr:nvSpPr>
        <xdr:cNvPr id="38049" name="직사각형 38048"/>
        <xdr:cNvSpPr/>
      </xdr:nvSpPr>
      <xdr:spPr>
        <a:xfrm>
          <a:off x="9519557" y="142970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69</xdr:row>
      <xdr:rowOff>104775</xdr:rowOff>
    </xdr:from>
    <xdr:to>
      <xdr:col>30</xdr:col>
      <xdr:colOff>122465</xdr:colOff>
      <xdr:row>69</xdr:row>
      <xdr:rowOff>104775</xdr:rowOff>
    </xdr:to>
    <xdr:cxnSp macro="">
      <xdr:nvCxnSpPr>
        <xdr:cNvPr id="38050" name="직선 화살표 연결선 38049"/>
        <xdr:cNvCxnSpPr/>
      </xdr:nvCxnSpPr>
      <xdr:spPr>
        <a:xfrm>
          <a:off x="9519557" y="143541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68</xdr:row>
      <xdr:rowOff>47625</xdr:rowOff>
    </xdr:from>
    <xdr:to>
      <xdr:col>30</xdr:col>
      <xdr:colOff>81643</xdr:colOff>
      <xdr:row>68</xdr:row>
      <xdr:rowOff>161925</xdr:rowOff>
    </xdr:to>
    <xdr:sp macro="" textlink="">
      <xdr:nvSpPr>
        <xdr:cNvPr id="38051" name="직사각형 38050"/>
        <xdr:cNvSpPr/>
      </xdr:nvSpPr>
      <xdr:spPr>
        <a:xfrm>
          <a:off x="9499147" y="1408747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68</xdr:row>
      <xdr:rowOff>104775</xdr:rowOff>
    </xdr:from>
    <xdr:to>
      <xdr:col>30</xdr:col>
      <xdr:colOff>81643</xdr:colOff>
      <xdr:row>68</xdr:row>
      <xdr:rowOff>104775</xdr:rowOff>
    </xdr:to>
    <xdr:cxnSp macro="">
      <xdr:nvCxnSpPr>
        <xdr:cNvPr id="38052" name="직선 화살표 연결선 38051"/>
        <xdr:cNvCxnSpPr/>
      </xdr:nvCxnSpPr>
      <xdr:spPr>
        <a:xfrm>
          <a:off x="9499147" y="1414462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67</xdr:row>
      <xdr:rowOff>47625</xdr:rowOff>
    </xdr:from>
    <xdr:to>
      <xdr:col>30</xdr:col>
      <xdr:colOff>40822</xdr:colOff>
      <xdr:row>67</xdr:row>
      <xdr:rowOff>161925</xdr:rowOff>
    </xdr:to>
    <xdr:sp macro="" textlink="">
      <xdr:nvSpPr>
        <xdr:cNvPr id="38053" name="직사각형 38052"/>
        <xdr:cNvSpPr/>
      </xdr:nvSpPr>
      <xdr:spPr>
        <a:xfrm>
          <a:off x="9417503" y="1387792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67</xdr:row>
      <xdr:rowOff>104775</xdr:rowOff>
    </xdr:from>
    <xdr:to>
      <xdr:col>30</xdr:col>
      <xdr:colOff>24493</xdr:colOff>
      <xdr:row>67</xdr:row>
      <xdr:rowOff>104775</xdr:rowOff>
    </xdr:to>
    <xdr:cxnSp macro="">
      <xdr:nvCxnSpPr>
        <xdr:cNvPr id="38054" name="직선 화살표 연결선 38053"/>
        <xdr:cNvCxnSpPr/>
      </xdr:nvCxnSpPr>
      <xdr:spPr>
        <a:xfrm>
          <a:off x="9417503" y="13935075"/>
          <a:ext cx="653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66</xdr:row>
      <xdr:rowOff>47625</xdr:rowOff>
    </xdr:from>
    <xdr:to>
      <xdr:col>30</xdr:col>
      <xdr:colOff>122465</xdr:colOff>
      <xdr:row>66</xdr:row>
      <xdr:rowOff>161925</xdr:rowOff>
    </xdr:to>
    <xdr:sp macro="" textlink="">
      <xdr:nvSpPr>
        <xdr:cNvPr id="38055" name="직사각형 38054"/>
        <xdr:cNvSpPr/>
      </xdr:nvSpPr>
      <xdr:spPr>
        <a:xfrm>
          <a:off x="9417503" y="13668375"/>
          <a:ext cx="163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66</xdr:row>
      <xdr:rowOff>104775</xdr:rowOff>
    </xdr:from>
    <xdr:to>
      <xdr:col>30</xdr:col>
      <xdr:colOff>113134</xdr:colOff>
      <xdr:row>66</xdr:row>
      <xdr:rowOff>104775</xdr:rowOff>
    </xdr:to>
    <xdr:cxnSp macro="">
      <xdr:nvCxnSpPr>
        <xdr:cNvPr id="38056" name="직선 화살표 연결선 38055"/>
        <xdr:cNvCxnSpPr/>
      </xdr:nvCxnSpPr>
      <xdr:spPr>
        <a:xfrm>
          <a:off x="9417503" y="13725525"/>
          <a:ext cx="1539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65</xdr:row>
      <xdr:rowOff>47625</xdr:rowOff>
    </xdr:from>
    <xdr:to>
      <xdr:col>30</xdr:col>
      <xdr:colOff>102053</xdr:colOff>
      <xdr:row>65</xdr:row>
      <xdr:rowOff>161925</xdr:rowOff>
    </xdr:to>
    <xdr:sp macro="" textlink="">
      <xdr:nvSpPr>
        <xdr:cNvPr id="38057" name="직사각형 38056"/>
        <xdr:cNvSpPr/>
      </xdr:nvSpPr>
      <xdr:spPr>
        <a:xfrm>
          <a:off x="9519557" y="1345882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65</xdr:row>
      <xdr:rowOff>104775</xdr:rowOff>
    </xdr:from>
    <xdr:to>
      <xdr:col>30</xdr:col>
      <xdr:colOff>102053</xdr:colOff>
      <xdr:row>65</xdr:row>
      <xdr:rowOff>104775</xdr:rowOff>
    </xdr:to>
    <xdr:cxnSp macro="">
      <xdr:nvCxnSpPr>
        <xdr:cNvPr id="38058" name="직선 화살표 연결선 38057"/>
        <xdr:cNvCxnSpPr/>
      </xdr:nvCxnSpPr>
      <xdr:spPr>
        <a:xfrm>
          <a:off x="9519557" y="135159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64</xdr:row>
      <xdr:rowOff>47625</xdr:rowOff>
    </xdr:from>
    <xdr:to>
      <xdr:col>30</xdr:col>
      <xdr:colOff>102053</xdr:colOff>
      <xdr:row>64</xdr:row>
      <xdr:rowOff>161925</xdr:rowOff>
    </xdr:to>
    <xdr:sp macro="" textlink="">
      <xdr:nvSpPr>
        <xdr:cNvPr id="38059" name="직사각형 38058"/>
        <xdr:cNvSpPr/>
      </xdr:nvSpPr>
      <xdr:spPr>
        <a:xfrm>
          <a:off x="9519557" y="1324927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64</xdr:row>
      <xdr:rowOff>104775</xdr:rowOff>
    </xdr:from>
    <xdr:to>
      <xdr:col>30</xdr:col>
      <xdr:colOff>102053</xdr:colOff>
      <xdr:row>64</xdr:row>
      <xdr:rowOff>104775</xdr:rowOff>
    </xdr:to>
    <xdr:cxnSp macro="">
      <xdr:nvCxnSpPr>
        <xdr:cNvPr id="38060" name="직선 화살표 연결선 38059"/>
        <xdr:cNvCxnSpPr/>
      </xdr:nvCxnSpPr>
      <xdr:spPr>
        <a:xfrm>
          <a:off x="9519557" y="1330642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63</xdr:row>
      <xdr:rowOff>47625</xdr:rowOff>
    </xdr:from>
    <xdr:to>
      <xdr:col>30</xdr:col>
      <xdr:colOff>81643</xdr:colOff>
      <xdr:row>63</xdr:row>
      <xdr:rowOff>161925</xdr:rowOff>
    </xdr:to>
    <xdr:sp macro="" textlink="">
      <xdr:nvSpPr>
        <xdr:cNvPr id="38061" name="직사각형 38060"/>
        <xdr:cNvSpPr/>
      </xdr:nvSpPr>
      <xdr:spPr>
        <a:xfrm>
          <a:off x="9519557" y="130397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63</xdr:row>
      <xdr:rowOff>104775</xdr:rowOff>
    </xdr:from>
    <xdr:to>
      <xdr:col>30</xdr:col>
      <xdr:colOff>81643</xdr:colOff>
      <xdr:row>63</xdr:row>
      <xdr:rowOff>104775</xdr:rowOff>
    </xdr:to>
    <xdr:cxnSp macro="">
      <xdr:nvCxnSpPr>
        <xdr:cNvPr id="38062" name="직선 화살표 연결선 38061"/>
        <xdr:cNvCxnSpPr/>
      </xdr:nvCxnSpPr>
      <xdr:spPr>
        <a:xfrm>
          <a:off x="9519557" y="13096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62</xdr:row>
      <xdr:rowOff>47625</xdr:rowOff>
    </xdr:from>
    <xdr:to>
      <xdr:col>30</xdr:col>
      <xdr:colOff>81643</xdr:colOff>
      <xdr:row>62</xdr:row>
      <xdr:rowOff>161925</xdr:rowOff>
    </xdr:to>
    <xdr:sp macro="" textlink="">
      <xdr:nvSpPr>
        <xdr:cNvPr id="38063" name="직사각형 38062"/>
        <xdr:cNvSpPr/>
      </xdr:nvSpPr>
      <xdr:spPr>
        <a:xfrm>
          <a:off x="9519557" y="128301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62</xdr:row>
      <xdr:rowOff>104775</xdr:rowOff>
    </xdr:from>
    <xdr:to>
      <xdr:col>30</xdr:col>
      <xdr:colOff>81643</xdr:colOff>
      <xdr:row>62</xdr:row>
      <xdr:rowOff>104775</xdr:rowOff>
    </xdr:to>
    <xdr:cxnSp macro="">
      <xdr:nvCxnSpPr>
        <xdr:cNvPr id="38064" name="직선 화살표 연결선 38063"/>
        <xdr:cNvCxnSpPr/>
      </xdr:nvCxnSpPr>
      <xdr:spPr>
        <a:xfrm>
          <a:off x="9519557" y="128873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61</xdr:row>
      <xdr:rowOff>47625</xdr:rowOff>
    </xdr:from>
    <xdr:to>
      <xdr:col>30</xdr:col>
      <xdr:colOff>102053</xdr:colOff>
      <xdr:row>61</xdr:row>
      <xdr:rowOff>161925</xdr:rowOff>
    </xdr:to>
    <xdr:sp macro="" textlink="">
      <xdr:nvSpPr>
        <xdr:cNvPr id="38065" name="직사각형 38064"/>
        <xdr:cNvSpPr/>
      </xdr:nvSpPr>
      <xdr:spPr>
        <a:xfrm>
          <a:off x="9539968" y="126206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61</xdr:row>
      <xdr:rowOff>104775</xdr:rowOff>
    </xdr:from>
    <xdr:to>
      <xdr:col>30</xdr:col>
      <xdr:colOff>102053</xdr:colOff>
      <xdr:row>61</xdr:row>
      <xdr:rowOff>104775</xdr:rowOff>
    </xdr:to>
    <xdr:cxnSp macro="">
      <xdr:nvCxnSpPr>
        <xdr:cNvPr id="38066" name="직선 화살표 연결선 38065"/>
        <xdr:cNvCxnSpPr/>
      </xdr:nvCxnSpPr>
      <xdr:spPr>
        <a:xfrm>
          <a:off x="9539968" y="126777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60</xdr:row>
      <xdr:rowOff>47625</xdr:rowOff>
    </xdr:from>
    <xdr:to>
      <xdr:col>30</xdr:col>
      <xdr:colOff>61232</xdr:colOff>
      <xdr:row>60</xdr:row>
      <xdr:rowOff>161925</xdr:rowOff>
    </xdr:to>
    <xdr:sp macro="" textlink="">
      <xdr:nvSpPr>
        <xdr:cNvPr id="38067" name="직사각형 38066"/>
        <xdr:cNvSpPr/>
      </xdr:nvSpPr>
      <xdr:spPr>
        <a:xfrm>
          <a:off x="9499147" y="124110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60</xdr:row>
      <xdr:rowOff>104775</xdr:rowOff>
    </xdr:from>
    <xdr:to>
      <xdr:col>30</xdr:col>
      <xdr:colOff>61232</xdr:colOff>
      <xdr:row>60</xdr:row>
      <xdr:rowOff>104775</xdr:rowOff>
    </xdr:to>
    <xdr:cxnSp macro="">
      <xdr:nvCxnSpPr>
        <xdr:cNvPr id="38068" name="직선 화살표 연결선 38067"/>
        <xdr:cNvCxnSpPr/>
      </xdr:nvCxnSpPr>
      <xdr:spPr>
        <a:xfrm>
          <a:off x="9499147" y="124682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59</xdr:row>
      <xdr:rowOff>47625</xdr:rowOff>
    </xdr:from>
    <xdr:to>
      <xdr:col>30</xdr:col>
      <xdr:colOff>102053</xdr:colOff>
      <xdr:row>59</xdr:row>
      <xdr:rowOff>161925</xdr:rowOff>
    </xdr:to>
    <xdr:sp macro="" textlink="">
      <xdr:nvSpPr>
        <xdr:cNvPr id="38069" name="직사각형 38068"/>
        <xdr:cNvSpPr/>
      </xdr:nvSpPr>
      <xdr:spPr>
        <a:xfrm>
          <a:off x="9499147" y="12201525"/>
          <a:ext cx="612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59</xdr:row>
      <xdr:rowOff>104775</xdr:rowOff>
    </xdr:from>
    <xdr:to>
      <xdr:col>30</xdr:col>
      <xdr:colOff>102053</xdr:colOff>
      <xdr:row>59</xdr:row>
      <xdr:rowOff>104775</xdr:rowOff>
    </xdr:to>
    <xdr:cxnSp macro="">
      <xdr:nvCxnSpPr>
        <xdr:cNvPr id="38070" name="직선 화살표 연결선 38069"/>
        <xdr:cNvCxnSpPr/>
      </xdr:nvCxnSpPr>
      <xdr:spPr>
        <a:xfrm>
          <a:off x="9499147" y="12258675"/>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58</xdr:row>
      <xdr:rowOff>47625</xdr:rowOff>
    </xdr:from>
    <xdr:to>
      <xdr:col>30</xdr:col>
      <xdr:colOff>102053</xdr:colOff>
      <xdr:row>58</xdr:row>
      <xdr:rowOff>161925</xdr:rowOff>
    </xdr:to>
    <xdr:sp macro="" textlink="">
      <xdr:nvSpPr>
        <xdr:cNvPr id="38071" name="직사각형 38070"/>
        <xdr:cNvSpPr/>
      </xdr:nvSpPr>
      <xdr:spPr>
        <a:xfrm>
          <a:off x="9539968" y="119919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58</xdr:row>
      <xdr:rowOff>104775</xdr:rowOff>
    </xdr:from>
    <xdr:to>
      <xdr:col>30</xdr:col>
      <xdr:colOff>102053</xdr:colOff>
      <xdr:row>58</xdr:row>
      <xdr:rowOff>104775</xdr:rowOff>
    </xdr:to>
    <xdr:cxnSp macro="">
      <xdr:nvCxnSpPr>
        <xdr:cNvPr id="38072" name="직선 화살표 연결선 38071"/>
        <xdr:cNvCxnSpPr/>
      </xdr:nvCxnSpPr>
      <xdr:spPr>
        <a:xfrm>
          <a:off x="9539968" y="120491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57</xdr:row>
      <xdr:rowOff>47625</xdr:rowOff>
    </xdr:from>
    <xdr:to>
      <xdr:col>30</xdr:col>
      <xdr:colOff>102053</xdr:colOff>
      <xdr:row>57</xdr:row>
      <xdr:rowOff>161925</xdr:rowOff>
    </xdr:to>
    <xdr:sp macro="" textlink="">
      <xdr:nvSpPr>
        <xdr:cNvPr id="38073" name="직사각형 38072"/>
        <xdr:cNvSpPr/>
      </xdr:nvSpPr>
      <xdr:spPr>
        <a:xfrm>
          <a:off x="9519557" y="1178242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57</xdr:row>
      <xdr:rowOff>104775</xdr:rowOff>
    </xdr:from>
    <xdr:to>
      <xdr:col>30</xdr:col>
      <xdr:colOff>102053</xdr:colOff>
      <xdr:row>57</xdr:row>
      <xdr:rowOff>104775</xdr:rowOff>
    </xdr:to>
    <xdr:cxnSp macro="">
      <xdr:nvCxnSpPr>
        <xdr:cNvPr id="38074" name="직선 화살표 연결선 38073"/>
        <xdr:cNvCxnSpPr/>
      </xdr:nvCxnSpPr>
      <xdr:spPr>
        <a:xfrm>
          <a:off x="9519557" y="118395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56</xdr:row>
      <xdr:rowOff>47625</xdr:rowOff>
    </xdr:from>
    <xdr:to>
      <xdr:col>30</xdr:col>
      <xdr:colOff>81643</xdr:colOff>
      <xdr:row>56</xdr:row>
      <xdr:rowOff>161925</xdr:rowOff>
    </xdr:to>
    <xdr:sp macro="" textlink="">
      <xdr:nvSpPr>
        <xdr:cNvPr id="38075" name="직사각형 38074"/>
        <xdr:cNvSpPr/>
      </xdr:nvSpPr>
      <xdr:spPr>
        <a:xfrm>
          <a:off x="9478735" y="115728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56</xdr:row>
      <xdr:rowOff>104775</xdr:rowOff>
    </xdr:from>
    <xdr:to>
      <xdr:col>30</xdr:col>
      <xdr:colOff>81643</xdr:colOff>
      <xdr:row>56</xdr:row>
      <xdr:rowOff>104775</xdr:rowOff>
    </xdr:to>
    <xdr:cxnSp macro="">
      <xdr:nvCxnSpPr>
        <xdr:cNvPr id="38076" name="직선 화살표 연결선 38075"/>
        <xdr:cNvCxnSpPr/>
      </xdr:nvCxnSpPr>
      <xdr:spPr>
        <a:xfrm>
          <a:off x="9478735" y="116300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55</xdr:row>
      <xdr:rowOff>47625</xdr:rowOff>
    </xdr:from>
    <xdr:to>
      <xdr:col>30</xdr:col>
      <xdr:colOff>102053</xdr:colOff>
      <xdr:row>55</xdr:row>
      <xdr:rowOff>161925</xdr:rowOff>
    </xdr:to>
    <xdr:sp macro="" textlink="">
      <xdr:nvSpPr>
        <xdr:cNvPr id="38077" name="직사각형 38076"/>
        <xdr:cNvSpPr/>
      </xdr:nvSpPr>
      <xdr:spPr>
        <a:xfrm>
          <a:off x="9478735" y="11363325"/>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55</xdr:row>
      <xdr:rowOff>104775</xdr:rowOff>
    </xdr:from>
    <xdr:to>
      <xdr:col>30</xdr:col>
      <xdr:colOff>102053</xdr:colOff>
      <xdr:row>55</xdr:row>
      <xdr:rowOff>104775</xdr:rowOff>
    </xdr:to>
    <xdr:cxnSp macro="">
      <xdr:nvCxnSpPr>
        <xdr:cNvPr id="38078" name="직선 화살표 연결선 38077"/>
        <xdr:cNvCxnSpPr/>
      </xdr:nvCxnSpPr>
      <xdr:spPr>
        <a:xfrm>
          <a:off x="9478735" y="114204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54</xdr:row>
      <xdr:rowOff>47625</xdr:rowOff>
    </xdr:from>
    <xdr:to>
      <xdr:col>31</xdr:col>
      <xdr:colOff>61232</xdr:colOff>
      <xdr:row>54</xdr:row>
      <xdr:rowOff>161925</xdr:rowOff>
    </xdr:to>
    <xdr:sp macro="" textlink="">
      <xdr:nvSpPr>
        <xdr:cNvPr id="38079" name="직사각형 38078"/>
        <xdr:cNvSpPr/>
      </xdr:nvSpPr>
      <xdr:spPr>
        <a:xfrm>
          <a:off x="9397093" y="11153775"/>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54</xdr:row>
      <xdr:rowOff>104775</xdr:rowOff>
    </xdr:from>
    <xdr:to>
      <xdr:col>31</xdr:col>
      <xdr:colOff>57086</xdr:colOff>
      <xdr:row>54</xdr:row>
      <xdr:rowOff>104775</xdr:rowOff>
    </xdr:to>
    <xdr:cxnSp macro="">
      <xdr:nvCxnSpPr>
        <xdr:cNvPr id="38080" name="직선 화살표 연결선 38079"/>
        <xdr:cNvCxnSpPr/>
      </xdr:nvCxnSpPr>
      <xdr:spPr>
        <a:xfrm>
          <a:off x="9397093" y="11210925"/>
          <a:ext cx="26119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53</xdr:row>
      <xdr:rowOff>47625</xdr:rowOff>
    </xdr:from>
    <xdr:to>
      <xdr:col>30</xdr:col>
      <xdr:colOff>61232</xdr:colOff>
      <xdr:row>53</xdr:row>
      <xdr:rowOff>161925</xdr:rowOff>
    </xdr:to>
    <xdr:sp macro="" textlink="">
      <xdr:nvSpPr>
        <xdr:cNvPr id="38081" name="직사각형 38080"/>
        <xdr:cNvSpPr/>
      </xdr:nvSpPr>
      <xdr:spPr>
        <a:xfrm>
          <a:off x="9499147" y="109442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53</xdr:row>
      <xdr:rowOff>104775</xdr:rowOff>
    </xdr:from>
    <xdr:to>
      <xdr:col>30</xdr:col>
      <xdr:colOff>61232</xdr:colOff>
      <xdr:row>53</xdr:row>
      <xdr:rowOff>104775</xdr:rowOff>
    </xdr:to>
    <xdr:cxnSp macro="">
      <xdr:nvCxnSpPr>
        <xdr:cNvPr id="38082" name="직선 화살표 연결선 38081"/>
        <xdr:cNvCxnSpPr/>
      </xdr:nvCxnSpPr>
      <xdr:spPr>
        <a:xfrm>
          <a:off x="9499147" y="110013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52</xdr:row>
      <xdr:rowOff>47625</xdr:rowOff>
    </xdr:from>
    <xdr:to>
      <xdr:col>30</xdr:col>
      <xdr:colOff>61232</xdr:colOff>
      <xdr:row>52</xdr:row>
      <xdr:rowOff>161925</xdr:rowOff>
    </xdr:to>
    <xdr:sp macro="" textlink="">
      <xdr:nvSpPr>
        <xdr:cNvPr id="38083" name="직사각형 38082"/>
        <xdr:cNvSpPr/>
      </xdr:nvSpPr>
      <xdr:spPr>
        <a:xfrm>
          <a:off x="9499147" y="107346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52</xdr:row>
      <xdr:rowOff>104775</xdr:rowOff>
    </xdr:from>
    <xdr:to>
      <xdr:col>30</xdr:col>
      <xdr:colOff>61232</xdr:colOff>
      <xdr:row>52</xdr:row>
      <xdr:rowOff>104775</xdr:rowOff>
    </xdr:to>
    <xdr:cxnSp macro="">
      <xdr:nvCxnSpPr>
        <xdr:cNvPr id="38084" name="직선 화살표 연결선 38083"/>
        <xdr:cNvCxnSpPr/>
      </xdr:nvCxnSpPr>
      <xdr:spPr>
        <a:xfrm>
          <a:off x="9499147" y="107918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51</xdr:row>
      <xdr:rowOff>47625</xdr:rowOff>
    </xdr:from>
    <xdr:to>
      <xdr:col>30</xdr:col>
      <xdr:colOff>40822</xdr:colOff>
      <xdr:row>51</xdr:row>
      <xdr:rowOff>161925</xdr:rowOff>
    </xdr:to>
    <xdr:sp macro="" textlink="">
      <xdr:nvSpPr>
        <xdr:cNvPr id="38085" name="직사각형 38084"/>
        <xdr:cNvSpPr/>
      </xdr:nvSpPr>
      <xdr:spPr>
        <a:xfrm>
          <a:off x="9478735" y="105251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51</xdr:row>
      <xdr:rowOff>104775</xdr:rowOff>
    </xdr:from>
    <xdr:to>
      <xdr:col>30</xdr:col>
      <xdr:colOff>40822</xdr:colOff>
      <xdr:row>51</xdr:row>
      <xdr:rowOff>104775</xdr:rowOff>
    </xdr:to>
    <xdr:cxnSp macro="">
      <xdr:nvCxnSpPr>
        <xdr:cNvPr id="38086" name="직선 화살표 연결선 38085"/>
        <xdr:cNvCxnSpPr/>
      </xdr:nvCxnSpPr>
      <xdr:spPr>
        <a:xfrm>
          <a:off x="9478735" y="105822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50</xdr:row>
      <xdr:rowOff>47625</xdr:rowOff>
    </xdr:from>
    <xdr:to>
      <xdr:col>30</xdr:col>
      <xdr:colOff>40822</xdr:colOff>
      <xdr:row>50</xdr:row>
      <xdr:rowOff>161925</xdr:rowOff>
    </xdr:to>
    <xdr:sp macro="" textlink="">
      <xdr:nvSpPr>
        <xdr:cNvPr id="38087" name="직사각형 38086"/>
        <xdr:cNvSpPr/>
      </xdr:nvSpPr>
      <xdr:spPr>
        <a:xfrm>
          <a:off x="9478735" y="103155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50</xdr:row>
      <xdr:rowOff>104775</xdr:rowOff>
    </xdr:from>
    <xdr:to>
      <xdr:col>30</xdr:col>
      <xdr:colOff>40822</xdr:colOff>
      <xdr:row>50</xdr:row>
      <xdr:rowOff>104775</xdr:rowOff>
    </xdr:to>
    <xdr:cxnSp macro="">
      <xdr:nvCxnSpPr>
        <xdr:cNvPr id="38088" name="직선 화살표 연결선 38087"/>
        <xdr:cNvCxnSpPr/>
      </xdr:nvCxnSpPr>
      <xdr:spPr>
        <a:xfrm>
          <a:off x="9478735" y="103727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49</xdr:row>
      <xdr:rowOff>47625</xdr:rowOff>
    </xdr:from>
    <xdr:to>
      <xdr:col>29</xdr:col>
      <xdr:colOff>102053</xdr:colOff>
      <xdr:row>49</xdr:row>
      <xdr:rowOff>161925</xdr:rowOff>
    </xdr:to>
    <xdr:sp macro="" textlink="">
      <xdr:nvSpPr>
        <xdr:cNvPr id="38089" name="직사각형 38088"/>
        <xdr:cNvSpPr/>
      </xdr:nvSpPr>
      <xdr:spPr>
        <a:xfrm>
          <a:off x="9397093" y="101060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49</xdr:row>
      <xdr:rowOff>104775</xdr:rowOff>
    </xdr:from>
    <xdr:to>
      <xdr:col>29</xdr:col>
      <xdr:colOff>102053</xdr:colOff>
      <xdr:row>49</xdr:row>
      <xdr:rowOff>104775</xdr:rowOff>
    </xdr:to>
    <xdr:cxnSp macro="">
      <xdr:nvCxnSpPr>
        <xdr:cNvPr id="38090" name="직선 화살표 연결선 38089"/>
        <xdr:cNvCxnSpPr/>
      </xdr:nvCxnSpPr>
      <xdr:spPr>
        <a:xfrm>
          <a:off x="9397093" y="101631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48</xdr:row>
      <xdr:rowOff>47625</xdr:rowOff>
    </xdr:from>
    <xdr:to>
      <xdr:col>30</xdr:col>
      <xdr:colOff>40822</xdr:colOff>
      <xdr:row>48</xdr:row>
      <xdr:rowOff>161925</xdr:rowOff>
    </xdr:to>
    <xdr:sp macro="" textlink="">
      <xdr:nvSpPr>
        <xdr:cNvPr id="38091" name="직사각형 38090"/>
        <xdr:cNvSpPr/>
      </xdr:nvSpPr>
      <xdr:spPr>
        <a:xfrm>
          <a:off x="9478735" y="98964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48</xdr:row>
      <xdr:rowOff>104775</xdr:rowOff>
    </xdr:from>
    <xdr:to>
      <xdr:col>30</xdr:col>
      <xdr:colOff>40822</xdr:colOff>
      <xdr:row>48</xdr:row>
      <xdr:rowOff>104775</xdr:rowOff>
    </xdr:to>
    <xdr:cxnSp macro="">
      <xdr:nvCxnSpPr>
        <xdr:cNvPr id="38092" name="직선 화살표 연결선 38091"/>
        <xdr:cNvCxnSpPr/>
      </xdr:nvCxnSpPr>
      <xdr:spPr>
        <a:xfrm>
          <a:off x="9478735" y="99536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47</xdr:row>
      <xdr:rowOff>47625</xdr:rowOff>
    </xdr:from>
    <xdr:to>
      <xdr:col>30</xdr:col>
      <xdr:colOff>61232</xdr:colOff>
      <xdr:row>47</xdr:row>
      <xdr:rowOff>161925</xdr:rowOff>
    </xdr:to>
    <xdr:sp macro="" textlink="">
      <xdr:nvSpPr>
        <xdr:cNvPr id="38093" name="직사각형 38092"/>
        <xdr:cNvSpPr/>
      </xdr:nvSpPr>
      <xdr:spPr>
        <a:xfrm>
          <a:off x="9499147" y="96869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47</xdr:row>
      <xdr:rowOff>104775</xdr:rowOff>
    </xdr:from>
    <xdr:to>
      <xdr:col>30</xdr:col>
      <xdr:colOff>61232</xdr:colOff>
      <xdr:row>47</xdr:row>
      <xdr:rowOff>104775</xdr:rowOff>
    </xdr:to>
    <xdr:cxnSp macro="">
      <xdr:nvCxnSpPr>
        <xdr:cNvPr id="38094" name="직선 화살표 연결선 38093"/>
        <xdr:cNvCxnSpPr/>
      </xdr:nvCxnSpPr>
      <xdr:spPr>
        <a:xfrm>
          <a:off x="9499147" y="97440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46</xdr:row>
      <xdr:rowOff>47625</xdr:rowOff>
    </xdr:from>
    <xdr:to>
      <xdr:col>31</xdr:col>
      <xdr:colOff>61232</xdr:colOff>
      <xdr:row>46</xdr:row>
      <xdr:rowOff>161925</xdr:rowOff>
    </xdr:to>
    <xdr:sp macro="" textlink="">
      <xdr:nvSpPr>
        <xdr:cNvPr id="38095" name="직사각형 38094"/>
        <xdr:cNvSpPr/>
      </xdr:nvSpPr>
      <xdr:spPr>
        <a:xfrm>
          <a:off x="9642022" y="94773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46</xdr:row>
      <xdr:rowOff>104775</xdr:rowOff>
    </xdr:from>
    <xdr:to>
      <xdr:col>31</xdr:col>
      <xdr:colOff>61232</xdr:colOff>
      <xdr:row>46</xdr:row>
      <xdr:rowOff>104775</xdr:rowOff>
    </xdr:to>
    <xdr:cxnSp macro="">
      <xdr:nvCxnSpPr>
        <xdr:cNvPr id="38096" name="직선 화살표 연결선 38095"/>
        <xdr:cNvCxnSpPr/>
      </xdr:nvCxnSpPr>
      <xdr:spPr>
        <a:xfrm>
          <a:off x="9642022" y="95345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45</xdr:row>
      <xdr:rowOff>47625</xdr:rowOff>
    </xdr:from>
    <xdr:to>
      <xdr:col>31</xdr:col>
      <xdr:colOff>61232</xdr:colOff>
      <xdr:row>45</xdr:row>
      <xdr:rowOff>161925</xdr:rowOff>
    </xdr:to>
    <xdr:sp macro="" textlink="">
      <xdr:nvSpPr>
        <xdr:cNvPr id="38097" name="직사각형 38096"/>
        <xdr:cNvSpPr/>
      </xdr:nvSpPr>
      <xdr:spPr>
        <a:xfrm>
          <a:off x="9397093" y="9267825"/>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45</xdr:row>
      <xdr:rowOff>104775</xdr:rowOff>
    </xdr:from>
    <xdr:to>
      <xdr:col>31</xdr:col>
      <xdr:colOff>61232</xdr:colOff>
      <xdr:row>45</xdr:row>
      <xdr:rowOff>104775</xdr:rowOff>
    </xdr:to>
    <xdr:cxnSp macro="">
      <xdr:nvCxnSpPr>
        <xdr:cNvPr id="38098" name="직선 화살표 연결선 38097"/>
        <xdr:cNvCxnSpPr/>
      </xdr:nvCxnSpPr>
      <xdr:spPr>
        <a:xfrm>
          <a:off x="9397093" y="932497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44</xdr:row>
      <xdr:rowOff>47625</xdr:rowOff>
    </xdr:from>
    <xdr:to>
      <xdr:col>30</xdr:col>
      <xdr:colOff>40822</xdr:colOff>
      <xdr:row>44</xdr:row>
      <xdr:rowOff>161925</xdr:rowOff>
    </xdr:to>
    <xdr:sp macro="" textlink="">
      <xdr:nvSpPr>
        <xdr:cNvPr id="38099" name="직사각형 38098"/>
        <xdr:cNvSpPr/>
      </xdr:nvSpPr>
      <xdr:spPr>
        <a:xfrm>
          <a:off x="9478735" y="90582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44</xdr:row>
      <xdr:rowOff>104775</xdr:rowOff>
    </xdr:from>
    <xdr:to>
      <xdr:col>30</xdr:col>
      <xdr:colOff>40822</xdr:colOff>
      <xdr:row>44</xdr:row>
      <xdr:rowOff>104775</xdr:rowOff>
    </xdr:to>
    <xdr:cxnSp macro="">
      <xdr:nvCxnSpPr>
        <xdr:cNvPr id="38100" name="직선 화살표 연결선 38099"/>
        <xdr:cNvCxnSpPr/>
      </xdr:nvCxnSpPr>
      <xdr:spPr>
        <a:xfrm>
          <a:off x="9478735" y="91154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43</xdr:row>
      <xdr:rowOff>47625</xdr:rowOff>
    </xdr:from>
    <xdr:to>
      <xdr:col>30</xdr:col>
      <xdr:colOff>40822</xdr:colOff>
      <xdr:row>43</xdr:row>
      <xdr:rowOff>161925</xdr:rowOff>
    </xdr:to>
    <xdr:sp macro="" textlink="">
      <xdr:nvSpPr>
        <xdr:cNvPr id="38101" name="직사각형 38100"/>
        <xdr:cNvSpPr/>
      </xdr:nvSpPr>
      <xdr:spPr>
        <a:xfrm>
          <a:off x="9478735" y="88487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43</xdr:row>
      <xdr:rowOff>104775</xdr:rowOff>
    </xdr:from>
    <xdr:to>
      <xdr:col>30</xdr:col>
      <xdr:colOff>40822</xdr:colOff>
      <xdr:row>43</xdr:row>
      <xdr:rowOff>104775</xdr:rowOff>
    </xdr:to>
    <xdr:cxnSp macro="">
      <xdr:nvCxnSpPr>
        <xdr:cNvPr id="38102" name="직선 화살표 연결선 38101"/>
        <xdr:cNvCxnSpPr/>
      </xdr:nvCxnSpPr>
      <xdr:spPr>
        <a:xfrm>
          <a:off x="9478735" y="89058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42</xdr:row>
      <xdr:rowOff>47625</xdr:rowOff>
    </xdr:from>
    <xdr:to>
      <xdr:col>29</xdr:col>
      <xdr:colOff>122465</xdr:colOff>
      <xdr:row>42</xdr:row>
      <xdr:rowOff>161925</xdr:rowOff>
    </xdr:to>
    <xdr:sp macro="" textlink="">
      <xdr:nvSpPr>
        <xdr:cNvPr id="38103" name="직사각형 38102"/>
        <xdr:cNvSpPr/>
      </xdr:nvSpPr>
      <xdr:spPr>
        <a:xfrm>
          <a:off x="9417503" y="86391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42</xdr:row>
      <xdr:rowOff>104775</xdr:rowOff>
    </xdr:from>
    <xdr:to>
      <xdr:col>29</xdr:col>
      <xdr:colOff>122465</xdr:colOff>
      <xdr:row>42</xdr:row>
      <xdr:rowOff>104775</xdr:rowOff>
    </xdr:to>
    <xdr:cxnSp macro="">
      <xdr:nvCxnSpPr>
        <xdr:cNvPr id="38104" name="직선 화살표 연결선 38103"/>
        <xdr:cNvCxnSpPr/>
      </xdr:nvCxnSpPr>
      <xdr:spPr>
        <a:xfrm>
          <a:off x="9417503" y="86963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41</xdr:row>
      <xdr:rowOff>47625</xdr:rowOff>
    </xdr:from>
    <xdr:to>
      <xdr:col>30</xdr:col>
      <xdr:colOff>40822</xdr:colOff>
      <xdr:row>41</xdr:row>
      <xdr:rowOff>161925</xdr:rowOff>
    </xdr:to>
    <xdr:sp macro="" textlink="">
      <xdr:nvSpPr>
        <xdr:cNvPr id="38105" name="직사각형 38104"/>
        <xdr:cNvSpPr/>
      </xdr:nvSpPr>
      <xdr:spPr>
        <a:xfrm>
          <a:off x="9478735" y="84296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41</xdr:row>
      <xdr:rowOff>104775</xdr:rowOff>
    </xdr:from>
    <xdr:to>
      <xdr:col>30</xdr:col>
      <xdr:colOff>40822</xdr:colOff>
      <xdr:row>41</xdr:row>
      <xdr:rowOff>104775</xdr:rowOff>
    </xdr:to>
    <xdr:cxnSp macro="">
      <xdr:nvCxnSpPr>
        <xdr:cNvPr id="38106" name="직선 화살표 연결선 38105"/>
        <xdr:cNvCxnSpPr/>
      </xdr:nvCxnSpPr>
      <xdr:spPr>
        <a:xfrm>
          <a:off x="9478735" y="84867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40</xdr:row>
      <xdr:rowOff>47625</xdr:rowOff>
    </xdr:from>
    <xdr:to>
      <xdr:col>29</xdr:col>
      <xdr:colOff>122465</xdr:colOff>
      <xdr:row>40</xdr:row>
      <xdr:rowOff>161925</xdr:rowOff>
    </xdr:to>
    <xdr:sp macro="" textlink="">
      <xdr:nvSpPr>
        <xdr:cNvPr id="38107" name="직사각형 38106"/>
        <xdr:cNvSpPr/>
      </xdr:nvSpPr>
      <xdr:spPr>
        <a:xfrm>
          <a:off x="9397093" y="822007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40</xdr:row>
      <xdr:rowOff>104775</xdr:rowOff>
    </xdr:from>
    <xdr:to>
      <xdr:col>29</xdr:col>
      <xdr:colOff>122465</xdr:colOff>
      <xdr:row>40</xdr:row>
      <xdr:rowOff>104775</xdr:rowOff>
    </xdr:to>
    <xdr:cxnSp macro="">
      <xdr:nvCxnSpPr>
        <xdr:cNvPr id="38108" name="직선 화살표 연결선 38107"/>
        <xdr:cNvCxnSpPr/>
      </xdr:nvCxnSpPr>
      <xdr:spPr>
        <a:xfrm>
          <a:off x="9397093" y="82772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39</xdr:row>
      <xdr:rowOff>47625</xdr:rowOff>
    </xdr:from>
    <xdr:to>
      <xdr:col>30</xdr:col>
      <xdr:colOff>40822</xdr:colOff>
      <xdr:row>39</xdr:row>
      <xdr:rowOff>161925</xdr:rowOff>
    </xdr:to>
    <xdr:sp macro="" textlink="">
      <xdr:nvSpPr>
        <xdr:cNvPr id="38109" name="직사각형 38108"/>
        <xdr:cNvSpPr/>
      </xdr:nvSpPr>
      <xdr:spPr>
        <a:xfrm>
          <a:off x="9397093" y="8010525"/>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39</xdr:row>
      <xdr:rowOff>104775</xdr:rowOff>
    </xdr:from>
    <xdr:to>
      <xdr:col>30</xdr:col>
      <xdr:colOff>40822</xdr:colOff>
      <xdr:row>39</xdr:row>
      <xdr:rowOff>104775</xdr:rowOff>
    </xdr:to>
    <xdr:cxnSp macro="">
      <xdr:nvCxnSpPr>
        <xdr:cNvPr id="38110" name="직선 화살표 연결선 38109"/>
        <xdr:cNvCxnSpPr/>
      </xdr:nvCxnSpPr>
      <xdr:spPr>
        <a:xfrm>
          <a:off x="9397093" y="80676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38</xdr:row>
      <xdr:rowOff>47625</xdr:rowOff>
    </xdr:from>
    <xdr:to>
      <xdr:col>31</xdr:col>
      <xdr:colOff>61232</xdr:colOff>
      <xdr:row>38</xdr:row>
      <xdr:rowOff>161925</xdr:rowOff>
    </xdr:to>
    <xdr:sp macro="" textlink="">
      <xdr:nvSpPr>
        <xdr:cNvPr id="38111" name="직사각형 38110"/>
        <xdr:cNvSpPr/>
      </xdr:nvSpPr>
      <xdr:spPr>
        <a:xfrm>
          <a:off x="9397093" y="7800975"/>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38</xdr:row>
      <xdr:rowOff>104775</xdr:rowOff>
    </xdr:from>
    <xdr:to>
      <xdr:col>31</xdr:col>
      <xdr:colOff>57830</xdr:colOff>
      <xdr:row>38</xdr:row>
      <xdr:rowOff>104775</xdr:rowOff>
    </xdr:to>
    <xdr:cxnSp macro="">
      <xdr:nvCxnSpPr>
        <xdr:cNvPr id="38112" name="직선 화살표 연결선 38111"/>
        <xdr:cNvCxnSpPr/>
      </xdr:nvCxnSpPr>
      <xdr:spPr>
        <a:xfrm>
          <a:off x="9397093" y="7858125"/>
          <a:ext cx="2619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37</xdr:row>
      <xdr:rowOff>47625</xdr:rowOff>
    </xdr:from>
    <xdr:to>
      <xdr:col>29</xdr:col>
      <xdr:colOff>122465</xdr:colOff>
      <xdr:row>37</xdr:row>
      <xdr:rowOff>161925</xdr:rowOff>
    </xdr:to>
    <xdr:sp macro="" textlink="">
      <xdr:nvSpPr>
        <xdr:cNvPr id="38113" name="직사각형 38112"/>
        <xdr:cNvSpPr/>
      </xdr:nvSpPr>
      <xdr:spPr>
        <a:xfrm>
          <a:off x="9376682" y="75914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37</xdr:row>
      <xdr:rowOff>104775</xdr:rowOff>
    </xdr:from>
    <xdr:to>
      <xdr:col>29</xdr:col>
      <xdr:colOff>122465</xdr:colOff>
      <xdr:row>37</xdr:row>
      <xdr:rowOff>104775</xdr:rowOff>
    </xdr:to>
    <xdr:cxnSp macro="">
      <xdr:nvCxnSpPr>
        <xdr:cNvPr id="38114" name="직선 화살표 연결선 38113"/>
        <xdr:cNvCxnSpPr/>
      </xdr:nvCxnSpPr>
      <xdr:spPr>
        <a:xfrm>
          <a:off x="9376682" y="76485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36</xdr:row>
      <xdr:rowOff>47625</xdr:rowOff>
    </xdr:from>
    <xdr:to>
      <xdr:col>29</xdr:col>
      <xdr:colOff>122465</xdr:colOff>
      <xdr:row>36</xdr:row>
      <xdr:rowOff>161925</xdr:rowOff>
    </xdr:to>
    <xdr:sp macro="" textlink="">
      <xdr:nvSpPr>
        <xdr:cNvPr id="38115" name="직사각형 38114"/>
        <xdr:cNvSpPr/>
      </xdr:nvSpPr>
      <xdr:spPr>
        <a:xfrm>
          <a:off x="9376682" y="73818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36</xdr:row>
      <xdr:rowOff>104775</xdr:rowOff>
    </xdr:from>
    <xdr:to>
      <xdr:col>29</xdr:col>
      <xdr:colOff>122465</xdr:colOff>
      <xdr:row>36</xdr:row>
      <xdr:rowOff>104775</xdr:rowOff>
    </xdr:to>
    <xdr:cxnSp macro="">
      <xdr:nvCxnSpPr>
        <xdr:cNvPr id="38116" name="직선 화살표 연결선 38115"/>
        <xdr:cNvCxnSpPr/>
      </xdr:nvCxnSpPr>
      <xdr:spPr>
        <a:xfrm>
          <a:off x="9376682" y="74390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35</xdr:row>
      <xdr:rowOff>47625</xdr:rowOff>
    </xdr:from>
    <xdr:to>
      <xdr:col>29</xdr:col>
      <xdr:colOff>122465</xdr:colOff>
      <xdr:row>35</xdr:row>
      <xdr:rowOff>161925</xdr:rowOff>
    </xdr:to>
    <xdr:sp macro="" textlink="">
      <xdr:nvSpPr>
        <xdr:cNvPr id="38117" name="직사각형 38116"/>
        <xdr:cNvSpPr/>
      </xdr:nvSpPr>
      <xdr:spPr>
        <a:xfrm>
          <a:off x="9376682" y="71723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35</xdr:row>
      <xdr:rowOff>104775</xdr:rowOff>
    </xdr:from>
    <xdr:to>
      <xdr:col>29</xdr:col>
      <xdr:colOff>122465</xdr:colOff>
      <xdr:row>35</xdr:row>
      <xdr:rowOff>104775</xdr:rowOff>
    </xdr:to>
    <xdr:cxnSp macro="">
      <xdr:nvCxnSpPr>
        <xdr:cNvPr id="38118" name="직선 화살표 연결선 38117"/>
        <xdr:cNvCxnSpPr/>
      </xdr:nvCxnSpPr>
      <xdr:spPr>
        <a:xfrm>
          <a:off x="9376682" y="72294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34</xdr:row>
      <xdr:rowOff>47625</xdr:rowOff>
    </xdr:from>
    <xdr:to>
      <xdr:col>29</xdr:col>
      <xdr:colOff>122465</xdr:colOff>
      <xdr:row>34</xdr:row>
      <xdr:rowOff>161925</xdr:rowOff>
    </xdr:to>
    <xdr:sp macro="" textlink="">
      <xdr:nvSpPr>
        <xdr:cNvPr id="38119" name="직사각형 38118"/>
        <xdr:cNvSpPr/>
      </xdr:nvSpPr>
      <xdr:spPr>
        <a:xfrm>
          <a:off x="9376682" y="6962775"/>
          <a:ext cx="612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34</xdr:row>
      <xdr:rowOff>104775</xdr:rowOff>
    </xdr:from>
    <xdr:to>
      <xdr:col>29</xdr:col>
      <xdr:colOff>122465</xdr:colOff>
      <xdr:row>34</xdr:row>
      <xdr:rowOff>104775</xdr:rowOff>
    </xdr:to>
    <xdr:cxnSp macro="">
      <xdr:nvCxnSpPr>
        <xdr:cNvPr id="38120" name="직선 화살표 연결선 38119"/>
        <xdr:cNvCxnSpPr/>
      </xdr:nvCxnSpPr>
      <xdr:spPr>
        <a:xfrm>
          <a:off x="9376682" y="70199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33</xdr:row>
      <xdr:rowOff>47625</xdr:rowOff>
    </xdr:from>
    <xdr:to>
      <xdr:col>29</xdr:col>
      <xdr:colOff>81643</xdr:colOff>
      <xdr:row>33</xdr:row>
      <xdr:rowOff>161925</xdr:rowOff>
    </xdr:to>
    <xdr:sp macro="" textlink="">
      <xdr:nvSpPr>
        <xdr:cNvPr id="38121" name="직사각형 38120"/>
        <xdr:cNvSpPr/>
      </xdr:nvSpPr>
      <xdr:spPr>
        <a:xfrm>
          <a:off x="9376682" y="67532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33</xdr:row>
      <xdr:rowOff>104775</xdr:rowOff>
    </xdr:from>
    <xdr:to>
      <xdr:col>29</xdr:col>
      <xdr:colOff>81643</xdr:colOff>
      <xdr:row>33</xdr:row>
      <xdr:rowOff>104775</xdr:rowOff>
    </xdr:to>
    <xdr:cxnSp macro="">
      <xdr:nvCxnSpPr>
        <xdr:cNvPr id="38122" name="직선 화살표 연결선 38121"/>
        <xdr:cNvCxnSpPr/>
      </xdr:nvCxnSpPr>
      <xdr:spPr>
        <a:xfrm>
          <a:off x="9376682" y="68103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32</xdr:row>
      <xdr:rowOff>47625</xdr:rowOff>
    </xdr:from>
    <xdr:to>
      <xdr:col>29</xdr:col>
      <xdr:colOff>81643</xdr:colOff>
      <xdr:row>32</xdr:row>
      <xdr:rowOff>161925</xdr:rowOff>
    </xdr:to>
    <xdr:sp macro="" textlink="">
      <xdr:nvSpPr>
        <xdr:cNvPr id="38123" name="직사각형 38122"/>
        <xdr:cNvSpPr/>
      </xdr:nvSpPr>
      <xdr:spPr>
        <a:xfrm>
          <a:off x="9376682" y="65436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32</xdr:row>
      <xdr:rowOff>104775</xdr:rowOff>
    </xdr:from>
    <xdr:to>
      <xdr:col>29</xdr:col>
      <xdr:colOff>81643</xdr:colOff>
      <xdr:row>32</xdr:row>
      <xdr:rowOff>104775</xdr:rowOff>
    </xdr:to>
    <xdr:cxnSp macro="">
      <xdr:nvCxnSpPr>
        <xdr:cNvPr id="38124" name="직선 화살표 연결선 38123"/>
        <xdr:cNvCxnSpPr/>
      </xdr:nvCxnSpPr>
      <xdr:spPr>
        <a:xfrm>
          <a:off x="9376682" y="66008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31</xdr:row>
      <xdr:rowOff>47625</xdr:rowOff>
    </xdr:from>
    <xdr:to>
      <xdr:col>29</xdr:col>
      <xdr:colOff>81643</xdr:colOff>
      <xdr:row>31</xdr:row>
      <xdr:rowOff>161925</xdr:rowOff>
    </xdr:to>
    <xdr:sp macro="" textlink="">
      <xdr:nvSpPr>
        <xdr:cNvPr id="38125" name="직사각형 38124"/>
        <xdr:cNvSpPr/>
      </xdr:nvSpPr>
      <xdr:spPr>
        <a:xfrm>
          <a:off x="9376682" y="63341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31</xdr:row>
      <xdr:rowOff>104775</xdr:rowOff>
    </xdr:from>
    <xdr:to>
      <xdr:col>29</xdr:col>
      <xdr:colOff>81643</xdr:colOff>
      <xdr:row>31</xdr:row>
      <xdr:rowOff>104775</xdr:rowOff>
    </xdr:to>
    <xdr:cxnSp macro="">
      <xdr:nvCxnSpPr>
        <xdr:cNvPr id="38126" name="직선 화살표 연결선 38125"/>
        <xdr:cNvCxnSpPr/>
      </xdr:nvCxnSpPr>
      <xdr:spPr>
        <a:xfrm>
          <a:off x="9376682" y="6391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30</xdr:row>
      <xdr:rowOff>47625</xdr:rowOff>
    </xdr:from>
    <xdr:to>
      <xdr:col>29</xdr:col>
      <xdr:colOff>81643</xdr:colOff>
      <xdr:row>30</xdr:row>
      <xdr:rowOff>161925</xdr:rowOff>
    </xdr:to>
    <xdr:sp macro="" textlink="">
      <xdr:nvSpPr>
        <xdr:cNvPr id="38127" name="직사각형 38126"/>
        <xdr:cNvSpPr/>
      </xdr:nvSpPr>
      <xdr:spPr>
        <a:xfrm>
          <a:off x="9376682" y="6124575"/>
          <a:ext cx="204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30</xdr:row>
      <xdr:rowOff>104775</xdr:rowOff>
    </xdr:from>
    <xdr:to>
      <xdr:col>29</xdr:col>
      <xdr:colOff>81643</xdr:colOff>
      <xdr:row>30</xdr:row>
      <xdr:rowOff>104775</xdr:rowOff>
    </xdr:to>
    <xdr:cxnSp macro="">
      <xdr:nvCxnSpPr>
        <xdr:cNvPr id="38128" name="직선 화살표 연결선 38127"/>
        <xdr:cNvCxnSpPr/>
      </xdr:nvCxnSpPr>
      <xdr:spPr>
        <a:xfrm>
          <a:off x="9376682" y="61817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29</xdr:row>
      <xdr:rowOff>47625</xdr:rowOff>
    </xdr:from>
    <xdr:to>
      <xdr:col>29</xdr:col>
      <xdr:colOff>61232</xdr:colOff>
      <xdr:row>29</xdr:row>
      <xdr:rowOff>161925</xdr:rowOff>
    </xdr:to>
    <xdr:sp macro="" textlink="">
      <xdr:nvSpPr>
        <xdr:cNvPr id="38129" name="직사각형 38128"/>
        <xdr:cNvSpPr/>
      </xdr:nvSpPr>
      <xdr:spPr>
        <a:xfrm>
          <a:off x="9356272" y="59150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29</xdr:row>
      <xdr:rowOff>104775</xdr:rowOff>
    </xdr:from>
    <xdr:to>
      <xdr:col>29</xdr:col>
      <xdr:colOff>61232</xdr:colOff>
      <xdr:row>29</xdr:row>
      <xdr:rowOff>104775</xdr:rowOff>
    </xdr:to>
    <xdr:cxnSp macro="">
      <xdr:nvCxnSpPr>
        <xdr:cNvPr id="38130" name="직선 화살표 연결선 38129"/>
        <xdr:cNvCxnSpPr/>
      </xdr:nvCxnSpPr>
      <xdr:spPr>
        <a:xfrm>
          <a:off x="9356272" y="59721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28</xdr:row>
      <xdr:rowOff>47625</xdr:rowOff>
    </xdr:from>
    <xdr:to>
      <xdr:col>29</xdr:col>
      <xdr:colOff>61232</xdr:colOff>
      <xdr:row>28</xdr:row>
      <xdr:rowOff>161925</xdr:rowOff>
    </xdr:to>
    <xdr:sp macro="" textlink="">
      <xdr:nvSpPr>
        <xdr:cNvPr id="38131" name="직사각형 38130"/>
        <xdr:cNvSpPr/>
      </xdr:nvSpPr>
      <xdr:spPr>
        <a:xfrm>
          <a:off x="9356272" y="57054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28</xdr:row>
      <xdr:rowOff>104775</xdr:rowOff>
    </xdr:from>
    <xdr:to>
      <xdr:col>29</xdr:col>
      <xdr:colOff>61232</xdr:colOff>
      <xdr:row>28</xdr:row>
      <xdr:rowOff>104775</xdr:rowOff>
    </xdr:to>
    <xdr:cxnSp macro="">
      <xdr:nvCxnSpPr>
        <xdr:cNvPr id="38132" name="직선 화살표 연결선 38131"/>
        <xdr:cNvCxnSpPr/>
      </xdr:nvCxnSpPr>
      <xdr:spPr>
        <a:xfrm>
          <a:off x="9356272" y="57626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27</xdr:row>
      <xdr:rowOff>47625</xdr:rowOff>
    </xdr:from>
    <xdr:to>
      <xdr:col>29</xdr:col>
      <xdr:colOff>61232</xdr:colOff>
      <xdr:row>27</xdr:row>
      <xdr:rowOff>161925</xdr:rowOff>
    </xdr:to>
    <xdr:sp macro="" textlink="">
      <xdr:nvSpPr>
        <xdr:cNvPr id="38133" name="직사각형 38132"/>
        <xdr:cNvSpPr/>
      </xdr:nvSpPr>
      <xdr:spPr>
        <a:xfrm>
          <a:off x="9356272" y="54959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27</xdr:row>
      <xdr:rowOff>104775</xdr:rowOff>
    </xdr:from>
    <xdr:to>
      <xdr:col>29</xdr:col>
      <xdr:colOff>61232</xdr:colOff>
      <xdr:row>27</xdr:row>
      <xdr:rowOff>104775</xdr:rowOff>
    </xdr:to>
    <xdr:cxnSp macro="">
      <xdr:nvCxnSpPr>
        <xdr:cNvPr id="38134" name="직선 화살표 연결선 38133"/>
        <xdr:cNvCxnSpPr/>
      </xdr:nvCxnSpPr>
      <xdr:spPr>
        <a:xfrm>
          <a:off x="9356272" y="55530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26</xdr:row>
      <xdr:rowOff>47625</xdr:rowOff>
    </xdr:from>
    <xdr:to>
      <xdr:col>29</xdr:col>
      <xdr:colOff>40822</xdr:colOff>
      <xdr:row>26</xdr:row>
      <xdr:rowOff>161925</xdr:rowOff>
    </xdr:to>
    <xdr:sp macro="" textlink="">
      <xdr:nvSpPr>
        <xdr:cNvPr id="38135" name="직사각형 38134"/>
        <xdr:cNvSpPr/>
      </xdr:nvSpPr>
      <xdr:spPr>
        <a:xfrm>
          <a:off x="9335860" y="52863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26</xdr:row>
      <xdr:rowOff>104775</xdr:rowOff>
    </xdr:from>
    <xdr:to>
      <xdr:col>29</xdr:col>
      <xdr:colOff>40822</xdr:colOff>
      <xdr:row>26</xdr:row>
      <xdr:rowOff>104775</xdr:rowOff>
    </xdr:to>
    <xdr:cxnSp macro="">
      <xdr:nvCxnSpPr>
        <xdr:cNvPr id="38136" name="직선 화살표 연결선 38135"/>
        <xdr:cNvCxnSpPr/>
      </xdr:nvCxnSpPr>
      <xdr:spPr>
        <a:xfrm>
          <a:off x="9335860" y="53435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25</xdr:row>
      <xdr:rowOff>47625</xdr:rowOff>
    </xdr:from>
    <xdr:to>
      <xdr:col>29</xdr:col>
      <xdr:colOff>61232</xdr:colOff>
      <xdr:row>25</xdr:row>
      <xdr:rowOff>161925</xdr:rowOff>
    </xdr:to>
    <xdr:sp macro="" textlink="">
      <xdr:nvSpPr>
        <xdr:cNvPr id="38137" name="직사각형 38136"/>
        <xdr:cNvSpPr/>
      </xdr:nvSpPr>
      <xdr:spPr>
        <a:xfrm>
          <a:off x="9335860" y="507682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25</xdr:row>
      <xdr:rowOff>104775</xdr:rowOff>
    </xdr:from>
    <xdr:to>
      <xdr:col>29</xdr:col>
      <xdr:colOff>61232</xdr:colOff>
      <xdr:row>25</xdr:row>
      <xdr:rowOff>104775</xdr:rowOff>
    </xdr:to>
    <xdr:cxnSp macro="">
      <xdr:nvCxnSpPr>
        <xdr:cNvPr id="38138" name="직선 화살표 연결선 38137"/>
        <xdr:cNvCxnSpPr/>
      </xdr:nvCxnSpPr>
      <xdr:spPr>
        <a:xfrm>
          <a:off x="9335860" y="51339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24</xdr:row>
      <xdr:rowOff>47625</xdr:rowOff>
    </xdr:from>
    <xdr:to>
      <xdr:col>29</xdr:col>
      <xdr:colOff>122465</xdr:colOff>
      <xdr:row>24</xdr:row>
      <xdr:rowOff>161925</xdr:rowOff>
    </xdr:to>
    <xdr:sp macro="" textlink="">
      <xdr:nvSpPr>
        <xdr:cNvPr id="38139" name="직사각형 38138"/>
        <xdr:cNvSpPr/>
      </xdr:nvSpPr>
      <xdr:spPr>
        <a:xfrm>
          <a:off x="9335860" y="4867275"/>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24</xdr:row>
      <xdr:rowOff>104775</xdr:rowOff>
    </xdr:from>
    <xdr:to>
      <xdr:col>29</xdr:col>
      <xdr:colOff>122465</xdr:colOff>
      <xdr:row>24</xdr:row>
      <xdr:rowOff>104775</xdr:rowOff>
    </xdr:to>
    <xdr:cxnSp macro="">
      <xdr:nvCxnSpPr>
        <xdr:cNvPr id="38140" name="직선 화살표 연결선 38139"/>
        <xdr:cNvCxnSpPr/>
      </xdr:nvCxnSpPr>
      <xdr:spPr>
        <a:xfrm>
          <a:off x="9335860" y="492442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23</xdr:row>
      <xdr:rowOff>47625</xdr:rowOff>
    </xdr:from>
    <xdr:to>
      <xdr:col>29</xdr:col>
      <xdr:colOff>40822</xdr:colOff>
      <xdr:row>23</xdr:row>
      <xdr:rowOff>161925</xdr:rowOff>
    </xdr:to>
    <xdr:sp macro="" textlink="">
      <xdr:nvSpPr>
        <xdr:cNvPr id="38141" name="직사각형 38140"/>
        <xdr:cNvSpPr/>
      </xdr:nvSpPr>
      <xdr:spPr>
        <a:xfrm>
          <a:off x="9335860" y="46577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23</xdr:row>
      <xdr:rowOff>104775</xdr:rowOff>
    </xdr:from>
    <xdr:to>
      <xdr:col>29</xdr:col>
      <xdr:colOff>40822</xdr:colOff>
      <xdr:row>23</xdr:row>
      <xdr:rowOff>104775</xdr:rowOff>
    </xdr:to>
    <xdr:cxnSp macro="">
      <xdr:nvCxnSpPr>
        <xdr:cNvPr id="38142" name="직선 화살표 연결선 38141"/>
        <xdr:cNvCxnSpPr/>
      </xdr:nvCxnSpPr>
      <xdr:spPr>
        <a:xfrm>
          <a:off x="9335860" y="47148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22</xdr:row>
      <xdr:rowOff>47625</xdr:rowOff>
    </xdr:from>
    <xdr:to>
      <xdr:col>29</xdr:col>
      <xdr:colOff>40822</xdr:colOff>
      <xdr:row>22</xdr:row>
      <xdr:rowOff>161925</xdr:rowOff>
    </xdr:to>
    <xdr:sp macro="" textlink="">
      <xdr:nvSpPr>
        <xdr:cNvPr id="38143" name="직사각형 38142"/>
        <xdr:cNvSpPr/>
      </xdr:nvSpPr>
      <xdr:spPr>
        <a:xfrm>
          <a:off x="9335860" y="44481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22</xdr:row>
      <xdr:rowOff>104775</xdr:rowOff>
    </xdr:from>
    <xdr:to>
      <xdr:col>29</xdr:col>
      <xdr:colOff>40822</xdr:colOff>
      <xdr:row>22</xdr:row>
      <xdr:rowOff>104775</xdr:rowOff>
    </xdr:to>
    <xdr:cxnSp macro="">
      <xdr:nvCxnSpPr>
        <xdr:cNvPr id="38144" name="직선 화살표 연결선 38143"/>
        <xdr:cNvCxnSpPr/>
      </xdr:nvCxnSpPr>
      <xdr:spPr>
        <a:xfrm>
          <a:off x="9335860" y="45053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21</xdr:row>
      <xdr:rowOff>47625</xdr:rowOff>
    </xdr:from>
    <xdr:to>
      <xdr:col>29</xdr:col>
      <xdr:colOff>40822</xdr:colOff>
      <xdr:row>21</xdr:row>
      <xdr:rowOff>161925</xdr:rowOff>
    </xdr:to>
    <xdr:sp macro="" textlink="">
      <xdr:nvSpPr>
        <xdr:cNvPr id="38145" name="직사각형 38144"/>
        <xdr:cNvSpPr/>
      </xdr:nvSpPr>
      <xdr:spPr>
        <a:xfrm>
          <a:off x="9335860" y="42386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21</xdr:row>
      <xdr:rowOff>104775</xdr:rowOff>
    </xdr:from>
    <xdr:to>
      <xdr:col>29</xdr:col>
      <xdr:colOff>40822</xdr:colOff>
      <xdr:row>21</xdr:row>
      <xdr:rowOff>104775</xdr:rowOff>
    </xdr:to>
    <xdr:cxnSp macro="">
      <xdr:nvCxnSpPr>
        <xdr:cNvPr id="38146" name="직선 화살표 연결선 38145"/>
        <xdr:cNvCxnSpPr/>
      </xdr:nvCxnSpPr>
      <xdr:spPr>
        <a:xfrm>
          <a:off x="9335860" y="42957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102053</xdr:colOff>
      <xdr:row>20</xdr:row>
      <xdr:rowOff>47625</xdr:rowOff>
    </xdr:from>
    <xdr:to>
      <xdr:col>28</xdr:col>
      <xdr:colOff>122465</xdr:colOff>
      <xdr:row>20</xdr:row>
      <xdr:rowOff>161925</xdr:rowOff>
    </xdr:to>
    <xdr:sp macro="" textlink="">
      <xdr:nvSpPr>
        <xdr:cNvPr id="38147" name="직사각형 38146"/>
        <xdr:cNvSpPr/>
      </xdr:nvSpPr>
      <xdr:spPr>
        <a:xfrm>
          <a:off x="9274628" y="40290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102053</xdr:colOff>
      <xdr:row>20</xdr:row>
      <xdr:rowOff>104775</xdr:rowOff>
    </xdr:from>
    <xdr:to>
      <xdr:col>28</xdr:col>
      <xdr:colOff>122465</xdr:colOff>
      <xdr:row>20</xdr:row>
      <xdr:rowOff>104775</xdr:rowOff>
    </xdr:to>
    <xdr:cxnSp macro="">
      <xdr:nvCxnSpPr>
        <xdr:cNvPr id="38148" name="직선 화살표 연결선 38147"/>
        <xdr:cNvCxnSpPr/>
      </xdr:nvCxnSpPr>
      <xdr:spPr>
        <a:xfrm>
          <a:off x="9274628" y="40862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19</xdr:row>
      <xdr:rowOff>47625</xdr:rowOff>
    </xdr:from>
    <xdr:to>
      <xdr:col>28</xdr:col>
      <xdr:colOff>122465</xdr:colOff>
      <xdr:row>19</xdr:row>
      <xdr:rowOff>161925</xdr:rowOff>
    </xdr:to>
    <xdr:sp macro="" textlink="">
      <xdr:nvSpPr>
        <xdr:cNvPr id="38149" name="직사각형 38148"/>
        <xdr:cNvSpPr/>
      </xdr:nvSpPr>
      <xdr:spPr>
        <a:xfrm>
          <a:off x="9254218" y="38195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19</xdr:row>
      <xdr:rowOff>104775</xdr:rowOff>
    </xdr:from>
    <xdr:to>
      <xdr:col>28</xdr:col>
      <xdr:colOff>122465</xdr:colOff>
      <xdr:row>19</xdr:row>
      <xdr:rowOff>104775</xdr:rowOff>
    </xdr:to>
    <xdr:cxnSp macro="">
      <xdr:nvCxnSpPr>
        <xdr:cNvPr id="38150" name="직선 화살표 연결선 38149"/>
        <xdr:cNvCxnSpPr/>
      </xdr:nvCxnSpPr>
      <xdr:spPr>
        <a:xfrm>
          <a:off x="9254218" y="38766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18</xdr:row>
      <xdr:rowOff>47625</xdr:rowOff>
    </xdr:from>
    <xdr:to>
      <xdr:col>28</xdr:col>
      <xdr:colOff>102053</xdr:colOff>
      <xdr:row>18</xdr:row>
      <xdr:rowOff>161925</xdr:rowOff>
    </xdr:to>
    <xdr:sp macro="" textlink="">
      <xdr:nvSpPr>
        <xdr:cNvPr id="38151" name="직사각형 38150"/>
        <xdr:cNvSpPr/>
      </xdr:nvSpPr>
      <xdr:spPr>
        <a:xfrm>
          <a:off x="9254218" y="36099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18</xdr:row>
      <xdr:rowOff>104775</xdr:rowOff>
    </xdr:from>
    <xdr:to>
      <xdr:col>28</xdr:col>
      <xdr:colOff>102053</xdr:colOff>
      <xdr:row>18</xdr:row>
      <xdr:rowOff>104775</xdr:rowOff>
    </xdr:to>
    <xdr:cxnSp macro="">
      <xdr:nvCxnSpPr>
        <xdr:cNvPr id="38152" name="직선 화살표 연결선 38151"/>
        <xdr:cNvCxnSpPr/>
      </xdr:nvCxnSpPr>
      <xdr:spPr>
        <a:xfrm>
          <a:off x="9254218" y="36671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17</xdr:row>
      <xdr:rowOff>47625</xdr:rowOff>
    </xdr:from>
    <xdr:to>
      <xdr:col>28</xdr:col>
      <xdr:colOff>102053</xdr:colOff>
      <xdr:row>17</xdr:row>
      <xdr:rowOff>161925</xdr:rowOff>
    </xdr:to>
    <xdr:sp macro="" textlink="">
      <xdr:nvSpPr>
        <xdr:cNvPr id="38153" name="직사각형 38152"/>
        <xdr:cNvSpPr/>
      </xdr:nvSpPr>
      <xdr:spPr>
        <a:xfrm>
          <a:off x="9254218" y="34004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17</xdr:row>
      <xdr:rowOff>104775</xdr:rowOff>
    </xdr:from>
    <xdr:to>
      <xdr:col>28</xdr:col>
      <xdr:colOff>102053</xdr:colOff>
      <xdr:row>17</xdr:row>
      <xdr:rowOff>104775</xdr:rowOff>
    </xdr:to>
    <xdr:cxnSp macro="">
      <xdr:nvCxnSpPr>
        <xdr:cNvPr id="38154" name="직선 화살표 연결선 38153"/>
        <xdr:cNvCxnSpPr/>
      </xdr:nvCxnSpPr>
      <xdr:spPr>
        <a:xfrm>
          <a:off x="9254218" y="34575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16</xdr:row>
      <xdr:rowOff>47625</xdr:rowOff>
    </xdr:from>
    <xdr:to>
      <xdr:col>28</xdr:col>
      <xdr:colOff>81643</xdr:colOff>
      <xdr:row>16</xdr:row>
      <xdr:rowOff>161925</xdr:rowOff>
    </xdr:to>
    <xdr:sp macro="" textlink="">
      <xdr:nvSpPr>
        <xdr:cNvPr id="38155" name="직사각형 38154"/>
        <xdr:cNvSpPr/>
      </xdr:nvSpPr>
      <xdr:spPr>
        <a:xfrm>
          <a:off x="9233807" y="31908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16</xdr:row>
      <xdr:rowOff>104775</xdr:rowOff>
    </xdr:from>
    <xdr:to>
      <xdr:col>28</xdr:col>
      <xdr:colOff>81643</xdr:colOff>
      <xdr:row>16</xdr:row>
      <xdr:rowOff>104775</xdr:rowOff>
    </xdr:to>
    <xdr:cxnSp macro="">
      <xdr:nvCxnSpPr>
        <xdr:cNvPr id="38156" name="직선 화살표 연결선 38155"/>
        <xdr:cNvCxnSpPr/>
      </xdr:nvCxnSpPr>
      <xdr:spPr>
        <a:xfrm>
          <a:off x="9233807" y="32480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15</xdr:row>
      <xdr:rowOff>47625</xdr:rowOff>
    </xdr:from>
    <xdr:to>
      <xdr:col>29</xdr:col>
      <xdr:colOff>40822</xdr:colOff>
      <xdr:row>15</xdr:row>
      <xdr:rowOff>161925</xdr:rowOff>
    </xdr:to>
    <xdr:sp macro="" textlink="">
      <xdr:nvSpPr>
        <xdr:cNvPr id="38157" name="직사각형 38156"/>
        <xdr:cNvSpPr/>
      </xdr:nvSpPr>
      <xdr:spPr>
        <a:xfrm>
          <a:off x="9233807" y="2981325"/>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15</xdr:row>
      <xdr:rowOff>104775</xdr:rowOff>
    </xdr:from>
    <xdr:to>
      <xdr:col>29</xdr:col>
      <xdr:colOff>40822</xdr:colOff>
      <xdr:row>15</xdr:row>
      <xdr:rowOff>104775</xdr:rowOff>
    </xdr:to>
    <xdr:cxnSp macro="">
      <xdr:nvCxnSpPr>
        <xdr:cNvPr id="38158" name="직선 화살표 연결선 38157"/>
        <xdr:cNvCxnSpPr/>
      </xdr:nvCxnSpPr>
      <xdr:spPr>
        <a:xfrm>
          <a:off x="9233807" y="3038475"/>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14</xdr:row>
      <xdr:rowOff>47625</xdr:rowOff>
    </xdr:from>
    <xdr:to>
      <xdr:col>29</xdr:col>
      <xdr:colOff>122465</xdr:colOff>
      <xdr:row>14</xdr:row>
      <xdr:rowOff>161925</xdr:rowOff>
    </xdr:to>
    <xdr:sp macro="" textlink="">
      <xdr:nvSpPr>
        <xdr:cNvPr id="38159" name="직사각형 38158"/>
        <xdr:cNvSpPr/>
      </xdr:nvSpPr>
      <xdr:spPr>
        <a:xfrm>
          <a:off x="9233807" y="2771775"/>
          <a:ext cx="2041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14</xdr:row>
      <xdr:rowOff>104775</xdr:rowOff>
    </xdr:from>
    <xdr:to>
      <xdr:col>29</xdr:col>
      <xdr:colOff>122465</xdr:colOff>
      <xdr:row>14</xdr:row>
      <xdr:rowOff>104775</xdr:rowOff>
    </xdr:to>
    <xdr:cxnSp macro="">
      <xdr:nvCxnSpPr>
        <xdr:cNvPr id="38160" name="직선 화살표 연결선 38159"/>
        <xdr:cNvCxnSpPr/>
      </xdr:nvCxnSpPr>
      <xdr:spPr>
        <a:xfrm>
          <a:off x="9233807" y="2828925"/>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13</xdr:row>
      <xdr:rowOff>47625</xdr:rowOff>
    </xdr:from>
    <xdr:to>
      <xdr:col>28</xdr:col>
      <xdr:colOff>61232</xdr:colOff>
      <xdr:row>13</xdr:row>
      <xdr:rowOff>161925</xdr:rowOff>
    </xdr:to>
    <xdr:sp macro="" textlink="">
      <xdr:nvSpPr>
        <xdr:cNvPr id="38161" name="직사각형 38160"/>
        <xdr:cNvSpPr/>
      </xdr:nvSpPr>
      <xdr:spPr>
        <a:xfrm>
          <a:off x="9213397" y="25622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13</xdr:row>
      <xdr:rowOff>104775</xdr:rowOff>
    </xdr:from>
    <xdr:to>
      <xdr:col>28</xdr:col>
      <xdr:colOff>61232</xdr:colOff>
      <xdr:row>13</xdr:row>
      <xdr:rowOff>104775</xdr:rowOff>
    </xdr:to>
    <xdr:cxnSp macro="">
      <xdr:nvCxnSpPr>
        <xdr:cNvPr id="38162" name="직선 화살표 연결선 38161"/>
        <xdr:cNvCxnSpPr/>
      </xdr:nvCxnSpPr>
      <xdr:spPr>
        <a:xfrm>
          <a:off x="9213397" y="26193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12</xdr:row>
      <xdr:rowOff>47625</xdr:rowOff>
    </xdr:from>
    <xdr:to>
      <xdr:col>28</xdr:col>
      <xdr:colOff>61232</xdr:colOff>
      <xdr:row>12</xdr:row>
      <xdr:rowOff>161925</xdr:rowOff>
    </xdr:to>
    <xdr:sp macro="" textlink="">
      <xdr:nvSpPr>
        <xdr:cNvPr id="38163" name="직사각형 38162"/>
        <xdr:cNvSpPr/>
      </xdr:nvSpPr>
      <xdr:spPr>
        <a:xfrm>
          <a:off x="9213397" y="23526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12</xdr:row>
      <xdr:rowOff>104775</xdr:rowOff>
    </xdr:from>
    <xdr:to>
      <xdr:col>28</xdr:col>
      <xdr:colOff>61232</xdr:colOff>
      <xdr:row>12</xdr:row>
      <xdr:rowOff>104775</xdr:rowOff>
    </xdr:to>
    <xdr:cxnSp macro="">
      <xdr:nvCxnSpPr>
        <xdr:cNvPr id="38164" name="직선 화살표 연결선 38163"/>
        <xdr:cNvCxnSpPr/>
      </xdr:nvCxnSpPr>
      <xdr:spPr>
        <a:xfrm>
          <a:off x="9213397" y="24098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11</xdr:row>
      <xdr:rowOff>47625</xdr:rowOff>
    </xdr:from>
    <xdr:to>
      <xdr:col>28</xdr:col>
      <xdr:colOff>61232</xdr:colOff>
      <xdr:row>11</xdr:row>
      <xdr:rowOff>161925</xdr:rowOff>
    </xdr:to>
    <xdr:sp macro="" textlink="">
      <xdr:nvSpPr>
        <xdr:cNvPr id="38165" name="직사각형 38164"/>
        <xdr:cNvSpPr/>
      </xdr:nvSpPr>
      <xdr:spPr>
        <a:xfrm>
          <a:off x="9213397" y="2143125"/>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11</xdr:row>
      <xdr:rowOff>104775</xdr:rowOff>
    </xdr:from>
    <xdr:to>
      <xdr:col>28</xdr:col>
      <xdr:colOff>61232</xdr:colOff>
      <xdr:row>11</xdr:row>
      <xdr:rowOff>104775</xdr:rowOff>
    </xdr:to>
    <xdr:cxnSp macro="">
      <xdr:nvCxnSpPr>
        <xdr:cNvPr id="38166" name="직선 화살표 연결선 38165"/>
        <xdr:cNvCxnSpPr/>
      </xdr:nvCxnSpPr>
      <xdr:spPr>
        <a:xfrm>
          <a:off x="9213397" y="22002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10</xdr:row>
      <xdr:rowOff>47625</xdr:rowOff>
    </xdr:from>
    <xdr:to>
      <xdr:col>28</xdr:col>
      <xdr:colOff>61232</xdr:colOff>
      <xdr:row>10</xdr:row>
      <xdr:rowOff>161925</xdr:rowOff>
    </xdr:to>
    <xdr:sp macro="" textlink="">
      <xdr:nvSpPr>
        <xdr:cNvPr id="38167" name="직사각형 38166"/>
        <xdr:cNvSpPr/>
      </xdr:nvSpPr>
      <xdr:spPr>
        <a:xfrm>
          <a:off x="9213397" y="19335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10</xdr:row>
      <xdr:rowOff>104775</xdr:rowOff>
    </xdr:from>
    <xdr:to>
      <xdr:col>28</xdr:col>
      <xdr:colOff>61232</xdr:colOff>
      <xdr:row>10</xdr:row>
      <xdr:rowOff>104775</xdr:rowOff>
    </xdr:to>
    <xdr:cxnSp macro="">
      <xdr:nvCxnSpPr>
        <xdr:cNvPr id="38168" name="직선 화살표 연결선 38167"/>
        <xdr:cNvCxnSpPr/>
      </xdr:nvCxnSpPr>
      <xdr:spPr>
        <a:xfrm>
          <a:off x="9213397" y="19907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9</xdr:row>
      <xdr:rowOff>47625</xdr:rowOff>
    </xdr:from>
    <xdr:to>
      <xdr:col>28</xdr:col>
      <xdr:colOff>40822</xdr:colOff>
      <xdr:row>9</xdr:row>
      <xdr:rowOff>161925</xdr:rowOff>
    </xdr:to>
    <xdr:sp macro="" textlink="">
      <xdr:nvSpPr>
        <xdr:cNvPr id="38169" name="직사각형 38168"/>
        <xdr:cNvSpPr/>
      </xdr:nvSpPr>
      <xdr:spPr>
        <a:xfrm>
          <a:off x="9192985" y="17240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9</xdr:row>
      <xdr:rowOff>104775</xdr:rowOff>
    </xdr:from>
    <xdr:to>
      <xdr:col>28</xdr:col>
      <xdr:colOff>40822</xdr:colOff>
      <xdr:row>9</xdr:row>
      <xdr:rowOff>104775</xdr:rowOff>
    </xdr:to>
    <xdr:cxnSp macro="">
      <xdr:nvCxnSpPr>
        <xdr:cNvPr id="38170" name="직선 화살표 연결선 38169"/>
        <xdr:cNvCxnSpPr/>
      </xdr:nvCxnSpPr>
      <xdr:spPr>
        <a:xfrm>
          <a:off x="9192985" y="17811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8</xdr:row>
      <xdr:rowOff>47625</xdr:rowOff>
    </xdr:from>
    <xdr:to>
      <xdr:col>28</xdr:col>
      <xdr:colOff>61232</xdr:colOff>
      <xdr:row>8</xdr:row>
      <xdr:rowOff>161925</xdr:rowOff>
    </xdr:to>
    <xdr:sp macro="" textlink="">
      <xdr:nvSpPr>
        <xdr:cNvPr id="38171" name="직사각형 38170"/>
        <xdr:cNvSpPr/>
      </xdr:nvSpPr>
      <xdr:spPr>
        <a:xfrm>
          <a:off x="9192985" y="151447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8</xdr:row>
      <xdr:rowOff>104775</xdr:rowOff>
    </xdr:from>
    <xdr:to>
      <xdr:col>28</xdr:col>
      <xdr:colOff>61232</xdr:colOff>
      <xdr:row>8</xdr:row>
      <xdr:rowOff>104775</xdr:rowOff>
    </xdr:to>
    <xdr:cxnSp macro="">
      <xdr:nvCxnSpPr>
        <xdr:cNvPr id="38172" name="직선 화살표 연결선 38171"/>
        <xdr:cNvCxnSpPr/>
      </xdr:nvCxnSpPr>
      <xdr:spPr>
        <a:xfrm>
          <a:off x="9192985" y="15716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7</xdr:row>
      <xdr:rowOff>47625</xdr:rowOff>
    </xdr:from>
    <xdr:to>
      <xdr:col>28</xdr:col>
      <xdr:colOff>61232</xdr:colOff>
      <xdr:row>7</xdr:row>
      <xdr:rowOff>161925</xdr:rowOff>
    </xdr:to>
    <xdr:sp macro="" textlink="">
      <xdr:nvSpPr>
        <xdr:cNvPr id="38173" name="직사각형 38172"/>
        <xdr:cNvSpPr/>
      </xdr:nvSpPr>
      <xdr:spPr>
        <a:xfrm>
          <a:off x="9192985" y="130492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7</xdr:row>
      <xdr:rowOff>104775</xdr:rowOff>
    </xdr:from>
    <xdr:to>
      <xdr:col>28</xdr:col>
      <xdr:colOff>61232</xdr:colOff>
      <xdr:row>7</xdr:row>
      <xdr:rowOff>104775</xdr:rowOff>
    </xdr:to>
    <xdr:cxnSp macro="">
      <xdr:nvCxnSpPr>
        <xdr:cNvPr id="38174" name="직선 화살표 연결선 38173"/>
        <xdr:cNvCxnSpPr/>
      </xdr:nvCxnSpPr>
      <xdr:spPr>
        <a:xfrm>
          <a:off x="9192985" y="13620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6</xdr:row>
      <xdr:rowOff>47625</xdr:rowOff>
    </xdr:from>
    <xdr:to>
      <xdr:col>28</xdr:col>
      <xdr:colOff>40822</xdr:colOff>
      <xdr:row>6</xdr:row>
      <xdr:rowOff>161925</xdr:rowOff>
    </xdr:to>
    <xdr:sp macro="" textlink="">
      <xdr:nvSpPr>
        <xdr:cNvPr id="38175" name="직사각형 38174"/>
        <xdr:cNvSpPr/>
      </xdr:nvSpPr>
      <xdr:spPr>
        <a:xfrm>
          <a:off x="9192985" y="10953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6</xdr:row>
      <xdr:rowOff>104775</xdr:rowOff>
    </xdr:from>
    <xdr:to>
      <xdr:col>28</xdr:col>
      <xdr:colOff>40822</xdr:colOff>
      <xdr:row>6</xdr:row>
      <xdr:rowOff>104775</xdr:rowOff>
    </xdr:to>
    <xdr:cxnSp macro="">
      <xdr:nvCxnSpPr>
        <xdr:cNvPr id="38176" name="직선 화살표 연결선 38175"/>
        <xdr:cNvCxnSpPr/>
      </xdr:nvCxnSpPr>
      <xdr:spPr>
        <a:xfrm>
          <a:off x="9192985" y="11525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5</xdr:row>
      <xdr:rowOff>19050</xdr:rowOff>
    </xdr:from>
    <xdr:to>
      <xdr:col>28</xdr:col>
      <xdr:colOff>40822</xdr:colOff>
      <xdr:row>5</xdr:row>
      <xdr:rowOff>133350</xdr:rowOff>
    </xdr:to>
    <xdr:sp macro="" textlink="">
      <xdr:nvSpPr>
        <xdr:cNvPr id="38177" name="직사각형 38176"/>
        <xdr:cNvSpPr/>
      </xdr:nvSpPr>
      <xdr:spPr>
        <a:xfrm>
          <a:off x="9192985" y="9144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5</xdr:row>
      <xdr:rowOff>76200</xdr:rowOff>
    </xdr:from>
    <xdr:to>
      <xdr:col>28</xdr:col>
      <xdr:colOff>40822</xdr:colOff>
      <xdr:row>5</xdr:row>
      <xdr:rowOff>76200</xdr:rowOff>
    </xdr:to>
    <xdr:cxnSp macro="">
      <xdr:nvCxnSpPr>
        <xdr:cNvPr id="38178" name="직선 화살표 연결선 38177"/>
        <xdr:cNvCxnSpPr/>
      </xdr:nvCxnSpPr>
      <xdr:spPr>
        <a:xfrm>
          <a:off x="9192985" y="971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4</xdr:row>
      <xdr:rowOff>19050</xdr:rowOff>
    </xdr:from>
    <xdr:to>
      <xdr:col>28</xdr:col>
      <xdr:colOff>40822</xdr:colOff>
      <xdr:row>4</xdr:row>
      <xdr:rowOff>133350</xdr:rowOff>
    </xdr:to>
    <xdr:sp macro="" textlink="">
      <xdr:nvSpPr>
        <xdr:cNvPr id="38179" name="직사각형 38178"/>
        <xdr:cNvSpPr/>
      </xdr:nvSpPr>
      <xdr:spPr>
        <a:xfrm>
          <a:off x="9192985" y="7620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4</xdr:row>
      <xdr:rowOff>76200</xdr:rowOff>
    </xdr:from>
    <xdr:to>
      <xdr:col>28</xdr:col>
      <xdr:colOff>40822</xdr:colOff>
      <xdr:row>4</xdr:row>
      <xdr:rowOff>76200</xdr:rowOff>
    </xdr:to>
    <xdr:cxnSp macro="">
      <xdr:nvCxnSpPr>
        <xdr:cNvPr id="38180" name="직선 화살표 연결선 38179"/>
        <xdr:cNvCxnSpPr/>
      </xdr:nvCxnSpPr>
      <xdr:spPr>
        <a:xfrm>
          <a:off x="9192985" y="8191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2.75"/>
  <cols>
    <col min="1" max="1" width="28.25" style="102" bestFit="1" customWidth="1"/>
    <col min="2" max="2" width="23.125" style="99" bestFit="1" customWidth="1"/>
    <col min="3" max="3" width="21.75" style="99" customWidth="1"/>
    <col min="4" max="4" width="27.375" style="99" bestFit="1" customWidth="1"/>
    <col min="5" max="5" width="12.875" style="99" bestFit="1" customWidth="1"/>
    <col min="6" max="6" width="17.75" style="99" bestFit="1" customWidth="1"/>
    <col min="7" max="7" width="21.875" style="102" bestFit="1" customWidth="1"/>
    <col min="8" max="8" width="23.75" style="102" bestFit="1" customWidth="1"/>
    <col min="9" max="9" width="9.75" style="102" bestFit="1" customWidth="1"/>
    <col min="10" max="10" width="25.125" style="102" bestFit="1" customWidth="1"/>
    <col min="11" max="11" width="4.875" style="102" bestFit="1" customWidth="1"/>
    <col min="12" max="12" width="25.125" style="102" bestFit="1" customWidth="1"/>
    <col min="13" max="13" width="4.875" style="102" bestFit="1" customWidth="1"/>
    <col min="14" max="14" width="23" style="102" bestFit="1" customWidth="1"/>
    <col min="15" max="15" width="14.5" style="102" customWidth="1"/>
    <col min="16" max="16" width="28.375" style="102" bestFit="1" customWidth="1"/>
    <col min="17" max="17" width="9.5" style="102" bestFit="1" customWidth="1"/>
    <col min="18" max="18" width="27.75" style="102" bestFit="1" customWidth="1"/>
    <col min="19" max="19" width="4.875" style="102" bestFit="1" customWidth="1"/>
    <col min="20" max="20" width="25" style="102" bestFit="1" customWidth="1"/>
    <col min="21" max="21" width="4.375" style="102" bestFit="1" customWidth="1"/>
    <col min="22" max="22" width="23" style="102" bestFit="1" customWidth="1"/>
    <col min="23" max="23" width="8.125" style="102" bestFit="1" customWidth="1"/>
    <col min="24" max="24" width="22.625" style="102" bestFit="1" customWidth="1"/>
    <col min="25" max="25" width="9.5" style="102" bestFit="1" customWidth="1"/>
    <col min="26" max="26" width="26.25" style="102" bestFit="1" customWidth="1"/>
    <col min="27" max="27" width="7.875" style="102" bestFit="1" customWidth="1"/>
    <col min="28" max="28" width="21.25" style="102" bestFit="1" customWidth="1"/>
    <col min="29" max="29" width="15.625" style="102" bestFit="1" customWidth="1"/>
    <col min="30" max="30" width="23.5" style="102" bestFit="1" customWidth="1"/>
    <col min="31" max="31" width="15.25" style="102" bestFit="1" customWidth="1"/>
    <col min="32" max="32" width="22.625" style="102" bestFit="1" customWidth="1"/>
    <col min="33" max="33" width="60.875" style="102" bestFit="1" customWidth="1"/>
    <col min="34" max="34" width="28.375" style="102" bestFit="1" customWidth="1"/>
    <col min="35" max="35" width="11.5" style="102" bestFit="1" customWidth="1"/>
    <col min="36" max="36" width="25.125" style="102" bestFit="1" customWidth="1"/>
    <col min="37" max="37" width="4" style="102" bestFit="1" customWidth="1"/>
    <col min="38" max="38" width="14.875" style="102" bestFit="1" customWidth="1"/>
    <col min="39" max="39" width="11.625" style="102" bestFit="1" customWidth="1"/>
    <col min="40" max="40" width="22.625" style="102" bestFit="1" customWidth="1"/>
    <col min="41" max="41" width="5.875" style="102" bestFit="1" customWidth="1"/>
    <col min="42" max="42" width="15.875" style="102" bestFit="1" customWidth="1"/>
    <col min="43" max="43" width="6.375" style="102" bestFit="1" customWidth="1"/>
    <col min="44" max="44" width="13.25" style="102" bestFit="1" customWidth="1"/>
    <col min="45" max="45" width="3.25" style="102" bestFit="1" customWidth="1"/>
    <col min="46" max="46" width="14.875" style="102" bestFit="1" customWidth="1"/>
    <col min="47" max="47" width="28.625" style="102" bestFit="1" customWidth="1"/>
    <col min="48" max="48" width="22.625" style="102" bestFit="1" customWidth="1"/>
    <col min="49" max="49" width="5.375" style="102" bestFit="1" customWidth="1"/>
    <col min="50" max="50" width="15.875" style="102" bestFit="1" customWidth="1"/>
    <col min="51" max="51" width="10" style="102"/>
    <col min="52" max="52" width="13.25" style="102" bestFit="1" customWidth="1"/>
    <col min="53" max="53" width="10" style="102"/>
    <col min="54" max="54" width="14.875" style="102" bestFit="1" customWidth="1"/>
    <col min="55" max="55" width="10" style="102"/>
    <col min="56" max="56" width="22.625" style="102" bestFit="1" customWidth="1"/>
    <col min="57" max="57" width="10" style="102"/>
    <col min="58" max="58" width="15.875" style="102" bestFit="1" customWidth="1"/>
    <col min="59" max="59" width="10" style="102"/>
    <col min="60" max="60" width="13.25" style="102" bestFit="1" customWidth="1"/>
    <col min="61" max="61" width="10" style="102"/>
    <col min="62" max="62" width="14.875" style="102" bestFit="1" customWidth="1"/>
    <col min="63" max="63" width="10" style="102"/>
    <col min="64" max="64" width="22.625" style="102" bestFit="1" customWidth="1"/>
    <col min="65" max="65" width="10" style="102"/>
    <col min="66" max="66" width="33.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956</v>
      </c>
      <c r="C8" s="101" t="s">
        <v>1275</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1124</v>
      </c>
      <c r="D11" s="99" t="s">
        <v>26</v>
      </c>
      <c r="E11" s="108">
        <v>1</v>
      </c>
      <c r="F11" s="109" t="s">
        <v>27</v>
      </c>
      <c r="G11" s="110">
        <v>43647</v>
      </c>
      <c r="H11" s="109" t="s">
        <v>28</v>
      </c>
      <c r="I11" s="110">
        <v>43669</v>
      </c>
      <c r="J11" s="102" t="s">
        <v>418</v>
      </c>
      <c r="K11" s="102" t="s">
        <v>1276</v>
      </c>
      <c r="L11" s="102" t="s">
        <v>415</v>
      </c>
      <c r="M11" s="102">
        <v>1</v>
      </c>
      <c r="N11" s="107" t="s">
        <v>29</v>
      </c>
      <c r="O11" s="99">
        <v>0</v>
      </c>
      <c r="P11" s="99" t="s">
        <v>30</v>
      </c>
      <c r="Q11" s="107" t="s">
        <v>1013</v>
      </c>
      <c r="R11" s="102" t="s">
        <v>420</v>
      </c>
      <c r="S11" s="102">
        <v>1</v>
      </c>
      <c r="T11" s="102" t="s">
        <v>425</v>
      </c>
      <c r="U11" s="102">
        <v>1</v>
      </c>
      <c r="V11" s="102" t="s">
        <v>426</v>
      </c>
      <c r="W11" s="102">
        <v>0</v>
      </c>
      <c r="X11" s="102" t="s">
        <v>429</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427</v>
      </c>
      <c r="AA12" s="102">
        <v>1</v>
      </c>
      <c r="AB12" s="102" t="s">
        <v>428</v>
      </c>
      <c r="AC12" s="102">
        <v>1</v>
      </c>
      <c r="AD12" s="102" t="s">
        <v>953</v>
      </c>
      <c r="AE12" s="102">
        <v>1</v>
      </c>
    </row>
    <row r="13" spans="1:64">
      <c r="A13" s="101" t="s">
        <v>402</v>
      </c>
      <c r="B13" s="107" t="s">
        <v>31</v>
      </c>
      <c r="C13" s="99">
        <v>1</v>
      </c>
      <c r="D13" s="107" t="s">
        <v>32</v>
      </c>
      <c r="E13" s="99" t="s">
        <v>1107</v>
      </c>
      <c r="F13" s="99" t="s">
        <v>33</v>
      </c>
      <c r="G13" s="109" t="s">
        <v>1125</v>
      </c>
      <c r="H13" s="109" t="s">
        <v>34</v>
      </c>
      <c r="I13" s="102" t="s">
        <v>963</v>
      </c>
    </row>
    <row r="14" spans="1:64">
      <c r="A14" s="101" t="s">
        <v>403</v>
      </c>
      <c r="B14" s="108" t="s">
        <v>35</v>
      </c>
      <c r="C14" s="108" t="s">
        <v>1108</v>
      </c>
      <c r="D14" s="108" t="s">
        <v>36</v>
      </c>
      <c r="E14" s="108" t="s">
        <v>1109</v>
      </c>
      <c r="F14" s="108" t="s">
        <v>37</v>
      </c>
      <c r="G14" s="108" t="s">
        <v>1110</v>
      </c>
      <c r="H14" s="108" t="s">
        <v>38</v>
      </c>
      <c r="I14" s="108" t="b">
        <v>0</v>
      </c>
      <c r="J14" s="108" t="s">
        <v>39</v>
      </c>
      <c r="K14" s="108" t="s">
        <v>1111</v>
      </c>
      <c r="L14" s="108" t="s">
        <v>40</v>
      </c>
      <c r="M14" s="108" t="s">
        <v>1112</v>
      </c>
      <c r="N14" s="108" t="s">
        <v>41</v>
      </c>
      <c r="O14" s="108" t="s">
        <v>1110</v>
      </c>
      <c r="P14" s="108" t="s">
        <v>42</v>
      </c>
      <c r="Q14" s="108" t="b">
        <v>0</v>
      </c>
      <c r="R14" s="108" t="s">
        <v>43</v>
      </c>
      <c r="S14" s="108" t="s">
        <v>1120</v>
      </c>
      <c r="T14" s="108" t="s">
        <v>44</v>
      </c>
      <c r="U14" s="108" t="s">
        <v>1113</v>
      </c>
      <c r="V14" s="108" t="s">
        <v>45</v>
      </c>
      <c r="W14" s="108" t="s">
        <v>1110</v>
      </c>
      <c r="X14" s="108" t="s">
        <v>46</v>
      </c>
      <c r="Y14" s="108" t="b">
        <v>1</v>
      </c>
      <c r="Z14" s="108" t="s">
        <v>47</v>
      </c>
      <c r="AA14" s="108" t="s">
        <v>1114</v>
      </c>
      <c r="AB14" s="108" t="s">
        <v>48</v>
      </c>
      <c r="AC14" s="108" t="s">
        <v>1121</v>
      </c>
      <c r="AD14" s="108" t="s">
        <v>49</v>
      </c>
      <c r="AE14" s="108" t="s">
        <v>1014</v>
      </c>
      <c r="AF14" s="108" t="s">
        <v>50</v>
      </c>
      <c r="AG14" s="108" t="b">
        <v>1</v>
      </c>
      <c r="AH14" s="108" t="s">
        <v>51</v>
      </c>
      <c r="AI14" s="108" t="s">
        <v>1122</v>
      </c>
      <c r="AJ14" s="108" t="s">
        <v>52</v>
      </c>
      <c r="AK14" s="108" t="s">
        <v>1115</v>
      </c>
      <c r="AL14" s="108" t="s">
        <v>53</v>
      </c>
      <c r="AM14" s="108" t="s">
        <v>1126</v>
      </c>
      <c r="AN14" s="108" t="s">
        <v>54</v>
      </c>
      <c r="AO14" s="108" t="b">
        <v>0</v>
      </c>
      <c r="AP14" s="108" t="s">
        <v>55</v>
      </c>
      <c r="AQ14" s="108" t="s">
        <v>1123</v>
      </c>
      <c r="AR14" s="108" t="s">
        <v>56</v>
      </c>
      <c r="AS14" s="108" t="s">
        <v>1116</v>
      </c>
      <c r="AT14" s="108" t="s">
        <v>57</v>
      </c>
      <c r="AU14" s="108" t="s">
        <v>1117</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1119</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26" bestFit="1" customWidth="1"/>
    <col min="2" max="2" width="8.375" style="139" bestFit="1" customWidth="1"/>
    <col min="3" max="3" width="15.75" style="136" customWidth="1"/>
    <col min="4" max="4" width="60.625" style="127" customWidth="1"/>
    <col min="5" max="5" width="60.625" style="140" customWidth="1"/>
    <col min="6" max="16384" width="73.375" style="126"/>
  </cols>
  <sheetData>
    <row r="1" spans="1:5" s="124" customFormat="1" ht="24.75" customHeight="1">
      <c r="A1" s="124" t="s">
        <v>899</v>
      </c>
      <c r="B1" s="124" t="s">
        <v>900</v>
      </c>
      <c r="C1" s="125" t="s">
        <v>901</v>
      </c>
      <c r="D1" s="125" t="s">
        <v>67</v>
      </c>
      <c r="E1" s="125" t="s">
        <v>68</v>
      </c>
    </row>
    <row r="2" spans="1:5" ht="60">
      <c r="A2" s="126" t="s">
        <v>1118</v>
      </c>
      <c r="B2" s="139">
        <v>1</v>
      </c>
      <c r="D2" s="127" t="s">
        <v>902</v>
      </c>
      <c r="E2" s="140" t="s">
        <v>588</v>
      </c>
    </row>
    <row r="3" spans="1:5" ht="112.5" customHeight="1">
      <c r="A3" s="128">
        <v>450</v>
      </c>
      <c r="B3" s="139">
        <v>2</v>
      </c>
      <c r="D3" s="127" t="s">
        <v>515</v>
      </c>
      <c r="E3" s="140" t="s">
        <v>903</v>
      </c>
    </row>
    <row r="4" spans="1:5" ht="48">
      <c r="B4" s="139">
        <v>3</v>
      </c>
      <c r="D4" s="127" t="s">
        <v>904</v>
      </c>
      <c r="E4" s="140" t="s">
        <v>589</v>
      </c>
    </row>
    <row r="5" spans="1:5" ht="48">
      <c r="B5" s="139">
        <v>4</v>
      </c>
      <c r="D5" s="127" t="s">
        <v>905</v>
      </c>
      <c r="E5" s="140" t="s">
        <v>590</v>
      </c>
    </row>
    <row r="6" spans="1:5" ht="60">
      <c r="B6" s="139">
        <v>5</v>
      </c>
      <c r="D6" s="127" t="s">
        <v>906</v>
      </c>
      <c r="E6" s="140" t="s">
        <v>591</v>
      </c>
    </row>
    <row r="7" spans="1:5" ht="36">
      <c r="B7" s="139">
        <v>6</v>
      </c>
      <c r="D7" s="127" t="s">
        <v>907</v>
      </c>
      <c r="E7" s="140" t="s">
        <v>592</v>
      </c>
    </row>
    <row r="8" spans="1:5">
      <c r="B8" s="139">
        <v>7</v>
      </c>
      <c r="D8" s="127" t="s">
        <v>893</v>
      </c>
      <c r="E8" s="140" t="s">
        <v>908</v>
      </c>
    </row>
    <row r="9" spans="1:5">
      <c r="B9" s="139">
        <v>101</v>
      </c>
      <c r="D9" s="127" t="s">
        <v>69</v>
      </c>
      <c r="E9" s="140" t="s">
        <v>593</v>
      </c>
    </row>
    <row r="10" spans="1:5">
      <c r="B10" s="139">
        <v>102</v>
      </c>
      <c r="D10" s="127" t="s">
        <v>70</v>
      </c>
      <c r="E10" s="140" t="s">
        <v>594</v>
      </c>
    </row>
    <row r="11" spans="1:5">
      <c r="B11" s="139">
        <v>103</v>
      </c>
      <c r="D11" s="127" t="s">
        <v>71</v>
      </c>
      <c r="E11" s="140" t="s">
        <v>595</v>
      </c>
    </row>
    <row r="12" spans="1:5">
      <c r="B12" s="139">
        <v>104</v>
      </c>
      <c r="D12" s="127" t="s">
        <v>72</v>
      </c>
      <c r="E12" s="140" t="s">
        <v>596</v>
      </c>
    </row>
    <row r="13" spans="1:5">
      <c r="B13" s="139">
        <v>105</v>
      </c>
      <c r="D13" s="127" t="s">
        <v>73</v>
      </c>
      <c r="E13" s="140" t="s">
        <v>597</v>
      </c>
    </row>
    <row r="14" spans="1:5">
      <c r="B14" s="139">
        <v>106</v>
      </c>
      <c r="D14" s="127" t="s">
        <v>433</v>
      </c>
      <c r="E14" s="140" t="s">
        <v>598</v>
      </c>
    </row>
    <row r="15" spans="1:5" ht="36">
      <c r="B15" s="139">
        <v>107</v>
      </c>
      <c r="D15" s="127" t="s">
        <v>434</v>
      </c>
      <c r="E15" s="140" t="s">
        <v>599</v>
      </c>
    </row>
    <row r="16" spans="1:5" ht="36">
      <c r="B16" s="139">
        <v>108</v>
      </c>
      <c r="D16" s="127" t="s">
        <v>435</v>
      </c>
      <c r="E16" s="140" t="s">
        <v>600</v>
      </c>
    </row>
    <row r="17" spans="1:6">
      <c r="B17" s="139">
        <v>109</v>
      </c>
      <c r="D17" s="127" t="s">
        <v>74</v>
      </c>
      <c r="E17" s="140" t="s">
        <v>518</v>
      </c>
    </row>
    <row r="18" spans="1:6">
      <c r="B18" s="139">
        <v>110</v>
      </c>
      <c r="D18" s="127" t="s">
        <v>75</v>
      </c>
      <c r="E18" s="140" t="s">
        <v>601</v>
      </c>
    </row>
    <row r="19" spans="1:6">
      <c r="B19" s="139">
        <v>111</v>
      </c>
      <c r="D19" s="127" t="s">
        <v>76</v>
      </c>
      <c r="E19" s="140" t="s">
        <v>602</v>
      </c>
    </row>
    <row r="20" spans="1:6">
      <c r="A20" s="129"/>
      <c r="B20" s="139">
        <v>112</v>
      </c>
      <c r="C20" s="138" t="s">
        <v>909</v>
      </c>
      <c r="D20" s="128" t="s">
        <v>910</v>
      </c>
      <c r="E20" s="128" t="s">
        <v>516</v>
      </c>
      <c r="F20" s="130"/>
    </row>
    <row r="21" spans="1:6">
      <c r="B21" s="139">
        <v>113</v>
      </c>
      <c r="D21" s="127" t="s">
        <v>77</v>
      </c>
      <c r="E21" s="140" t="s">
        <v>519</v>
      </c>
    </row>
    <row r="22" spans="1:6">
      <c r="B22" s="139">
        <v>114</v>
      </c>
      <c r="D22" s="127" t="s">
        <v>78</v>
      </c>
      <c r="E22" s="140" t="s">
        <v>603</v>
      </c>
    </row>
    <row r="23" spans="1:6">
      <c r="B23" s="139">
        <v>115</v>
      </c>
      <c r="D23" s="127" t="s">
        <v>79</v>
      </c>
      <c r="E23" s="140" t="s">
        <v>604</v>
      </c>
    </row>
    <row r="24" spans="1:6" ht="24">
      <c r="B24" s="139">
        <v>116</v>
      </c>
      <c r="D24" s="127" t="s">
        <v>436</v>
      </c>
      <c r="E24" s="140" t="s">
        <v>605</v>
      </c>
    </row>
    <row r="25" spans="1:6">
      <c r="B25" s="139">
        <v>117</v>
      </c>
      <c r="D25" s="127" t="s">
        <v>437</v>
      </c>
      <c r="E25" s="140" t="s">
        <v>606</v>
      </c>
    </row>
    <row r="26" spans="1:6" ht="24">
      <c r="B26" s="139">
        <v>118</v>
      </c>
      <c r="D26" s="127" t="s">
        <v>80</v>
      </c>
      <c r="E26" s="140" t="s">
        <v>607</v>
      </c>
    </row>
    <row r="27" spans="1:6">
      <c r="B27" s="139">
        <v>119</v>
      </c>
      <c r="D27" s="127" t="s">
        <v>81</v>
      </c>
      <c r="E27" s="140" t="s">
        <v>608</v>
      </c>
    </row>
    <row r="28" spans="1:6">
      <c r="B28" s="139">
        <v>120</v>
      </c>
      <c r="D28" s="127" t="s">
        <v>431</v>
      </c>
      <c r="E28" s="140" t="s">
        <v>609</v>
      </c>
    </row>
    <row r="29" spans="1:6">
      <c r="B29" s="139">
        <v>121</v>
      </c>
      <c r="D29" s="127" t="s">
        <v>82</v>
      </c>
      <c r="E29" s="140" t="s">
        <v>610</v>
      </c>
    </row>
    <row r="30" spans="1:6">
      <c r="B30" s="139">
        <v>122</v>
      </c>
      <c r="D30" s="127" t="s">
        <v>83</v>
      </c>
      <c r="E30" s="140" t="s">
        <v>611</v>
      </c>
    </row>
    <row r="31" spans="1:6">
      <c r="B31" s="139">
        <v>123</v>
      </c>
      <c r="D31" s="127" t="s">
        <v>84</v>
      </c>
      <c r="E31" s="140" t="s">
        <v>612</v>
      </c>
    </row>
    <row r="32" spans="1:6">
      <c r="B32" s="139">
        <v>124</v>
      </c>
      <c r="D32" s="127" t="s">
        <v>85</v>
      </c>
      <c r="E32" s="140" t="s">
        <v>613</v>
      </c>
    </row>
    <row r="33" spans="2:5" ht="24">
      <c r="B33" s="139">
        <v>125</v>
      </c>
      <c r="D33" s="127" t="s">
        <v>432</v>
      </c>
      <c r="E33" s="140" t="s">
        <v>614</v>
      </c>
    </row>
    <row r="34" spans="2:5">
      <c r="B34" s="139">
        <v>126</v>
      </c>
      <c r="D34" s="127" t="s">
        <v>86</v>
      </c>
      <c r="E34" s="140" t="s">
        <v>615</v>
      </c>
    </row>
    <row r="35" spans="2:5">
      <c r="B35" s="139">
        <v>127</v>
      </c>
      <c r="D35" s="127" t="s">
        <v>87</v>
      </c>
      <c r="E35" s="140" t="s">
        <v>616</v>
      </c>
    </row>
    <row r="36" spans="2:5">
      <c r="B36" s="139">
        <v>128</v>
      </c>
      <c r="D36" s="127" t="s">
        <v>438</v>
      </c>
      <c r="E36" s="140" t="s">
        <v>617</v>
      </c>
    </row>
    <row r="37" spans="2:5">
      <c r="B37" s="139">
        <v>129</v>
      </c>
      <c r="D37" s="127" t="s">
        <v>88</v>
      </c>
      <c r="E37" s="140" t="s">
        <v>618</v>
      </c>
    </row>
    <row r="38" spans="2:5">
      <c r="B38" s="139">
        <v>130</v>
      </c>
      <c r="D38" s="127" t="s">
        <v>89</v>
      </c>
      <c r="E38" s="140" t="s">
        <v>520</v>
      </c>
    </row>
    <row r="39" spans="2:5">
      <c r="B39" s="139">
        <v>131</v>
      </c>
      <c r="D39" s="127" t="s">
        <v>90</v>
      </c>
      <c r="E39" s="140" t="s">
        <v>521</v>
      </c>
    </row>
    <row r="40" spans="2:5">
      <c r="B40" s="139">
        <v>132</v>
      </c>
      <c r="D40" s="132" t="s">
        <v>439</v>
      </c>
      <c r="E40" s="133">
        <v>43435</v>
      </c>
    </row>
    <row r="41" spans="2:5">
      <c r="B41" s="139">
        <v>133</v>
      </c>
      <c r="D41" s="132" t="s">
        <v>439</v>
      </c>
      <c r="E41" s="133">
        <v>43435</v>
      </c>
    </row>
    <row r="42" spans="2:5">
      <c r="B42" s="139">
        <v>134</v>
      </c>
      <c r="D42" s="132" t="s">
        <v>440</v>
      </c>
      <c r="E42" s="133">
        <v>43465</v>
      </c>
    </row>
    <row r="43" spans="2:5">
      <c r="B43" s="139">
        <v>135</v>
      </c>
      <c r="D43" s="132" t="s">
        <v>440</v>
      </c>
      <c r="E43" s="133">
        <v>43465</v>
      </c>
    </row>
    <row r="44" spans="2:5">
      <c r="B44" s="139">
        <v>136</v>
      </c>
      <c r="D44" s="127" t="s">
        <v>91</v>
      </c>
      <c r="E44" s="140" t="s">
        <v>91</v>
      </c>
    </row>
    <row r="45" spans="2:5">
      <c r="B45" s="139">
        <v>137</v>
      </c>
      <c r="D45" s="127" t="s">
        <v>92</v>
      </c>
      <c r="E45" s="140" t="s">
        <v>619</v>
      </c>
    </row>
    <row r="46" spans="2:5">
      <c r="B46" s="139">
        <v>138</v>
      </c>
      <c r="C46" s="136" t="s">
        <v>911</v>
      </c>
      <c r="D46" s="127" t="s">
        <v>912</v>
      </c>
      <c r="E46" s="146" t="s">
        <v>913</v>
      </c>
    </row>
    <row r="47" spans="2:5">
      <c r="B47" s="139">
        <v>139</v>
      </c>
      <c r="D47" s="127" t="s">
        <v>93</v>
      </c>
      <c r="E47" s="140" t="s">
        <v>620</v>
      </c>
    </row>
    <row r="48" spans="2:5">
      <c r="B48" s="139">
        <v>140</v>
      </c>
      <c r="D48" s="127" t="s">
        <v>94</v>
      </c>
      <c r="E48" s="140" t="s">
        <v>621</v>
      </c>
    </row>
    <row r="49" spans="1:6">
      <c r="B49" s="139">
        <v>141</v>
      </c>
      <c r="D49" s="127" t="s">
        <v>441</v>
      </c>
      <c r="E49" s="140" t="s">
        <v>522</v>
      </c>
    </row>
    <row r="50" spans="1:6">
      <c r="B50" s="139">
        <v>142</v>
      </c>
      <c r="D50" s="127" t="s">
        <v>95</v>
      </c>
      <c r="E50" s="140" t="s">
        <v>523</v>
      </c>
    </row>
    <row r="51" spans="1:6">
      <c r="B51" s="139">
        <v>143</v>
      </c>
      <c r="D51" s="127" t="s">
        <v>96</v>
      </c>
      <c r="E51" s="140" t="s">
        <v>622</v>
      </c>
    </row>
    <row r="52" spans="1:6">
      <c r="B52" s="139">
        <v>144</v>
      </c>
      <c r="D52" s="127" t="s">
        <v>97</v>
      </c>
      <c r="E52" s="140" t="s">
        <v>623</v>
      </c>
    </row>
    <row r="53" spans="1:6" ht="24">
      <c r="B53" s="139">
        <v>145</v>
      </c>
      <c r="D53" s="127" t="s">
        <v>98</v>
      </c>
      <c r="E53" s="140" t="s">
        <v>624</v>
      </c>
    </row>
    <row r="54" spans="1:6">
      <c r="B54" s="139">
        <v>146</v>
      </c>
      <c r="D54" s="127" t="s">
        <v>99</v>
      </c>
      <c r="E54" s="140" t="s">
        <v>625</v>
      </c>
    </row>
    <row r="55" spans="1:6">
      <c r="B55" s="139">
        <v>147</v>
      </c>
      <c r="D55" s="127" t="s">
        <v>442</v>
      </c>
      <c r="E55" s="140" t="s">
        <v>524</v>
      </c>
    </row>
    <row r="56" spans="1:6">
      <c r="B56" s="139">
        <v>148</v>
      </c>
      <c r="D56" s="127" t="s">
        <v>100</v>
      </c>
      <c r="E56" s="140" t="s">
        <v>525</v>
      </c>
    </row>
    <row r="57" spans="1:6">
      <c r="B57" s="139">
        <v>149</v>
      </c>
      <c r="D57" s="127" t="s">
        <v>101</v>
      </c>
      <c r="E57" s="140" t="s">
        <v>626</v>
      </c>
    </row>
    <row r="58" spans="1:6">
      <c r="B58" s="139">
        <v>150</v>
      </c>
      <c r="D58" s="127" t="s">
        <v>102</v>
      </c>
      <c r="E58" s="140" t="s">
        <v>627</v>
      </c>
    </row>
    <row r="59" spans="1:6" ht="24">
      <c r="B59" s="139">
        <v>151</v>
      </c>
      <c r="D59" s="127" t="s">
        <v>103</v>
      </c>
      <c r="E59" s="140" t="s">
        <v>628</v>
      </c>
    </row>
    <row r="60" spans="1:6">
      <c r="B60" s="139">
        <v>152</v>
      </c>
      <c r="D60" s="127" t="s">
        <v>443</v>
      </c>
      <c r="E60" s="140" t="s">
        <v>629</v>
      </c>
    </row>
    <row r="61" spans="1:6">
      <c r="A61" s="131"/>
      <c r="B61" s="139">
        <v>153</v>
      </c>
      <c r="C61" s="138" t="s">
        <v>510</v>
      </c>
      <c r="D61" s="128" t="s">
        <v>914</v>
      </c>
      <c r="E61" s="128" t="s">
        <v>915</v>
      </c>
      <c r="F61" s="130"/>
    </row>
    <row r="62" spans="1:6" ht="12.75">
      <c r="B62" s="139">
        <v>154</v>
      </c>
      <c r="D62" s="127" t="s">
        <v>104</v>
      </c>
      <c r="E62" s="148" t="s">
        <v>897</v>
      </c>
    </row>
    <row r="63" spans="1:6" ht="12.75">
      <c r="B63" s="139">
        <v>155</v>
      </c>
      <c r="D63" s="127" t="s">
        <v>105</v>
      </c>
      <c r="E63" s="148" t="s">
        <v>916</v>
      </c>
    </row>
    <row r="64" spans="1:6">
      <c r="A64" s="131"/>
      <c r="B64" s="139">
        <v>156</v>
      </c>
      <c r="C64" s="138" t="s">
        <v>917</v>
      </c>
      <c r="D64" s="128" t="s">
        <v>918</v>
      </c>
      <c r="E64" s="128" t="s">
        <v>919</v>
      </c>
      <c r="F64" s="130"/>
    </row>
    <row r="65" spans="1:6">
      <c r="A65" s="131"/>
      <c r="B65" s="139">
        <v>157</v>
      </c>
      <c r="C65" s="138" t="s">
        <v>510</v>
      </c>
      <c r="D65" s="128" t="s">
        <v>920</v>
      </c>
      <c r="E65" s="128" t="s">
        <v>921</v>
      </c>
      <c r="F65" s="130"/>
    </row>
    <row r="66" spans="1:6">
      <c r="A66" s="131"/>
      <c r="B66" s="139">
        <v>158</v>
      </c>
      <c r="C66" s="138" t="s">
        <v>510</v>
      </c>
      <c r="D66" s="128" t="s">
        <v>922</v>
      </c>
      <c r="E66" s="128" t="s">
        <v>923</v>
      </c>
      <c r="F66" s="130"/>
    </row>
    <row r="67" spans="1:6">
      <c r="A67" s="131"/>
      <c r="B67" s="139">
        <v>159</v>
      </c>
      <c r="C67" s="138" t="s">
        <v>917</v>
      </c>
      <c r="D67" s="128" t="s">
        <v>894</v>
      </c>
      <c r="E67" s="128" t="s">
        <v>924</v>
      </c>
      <c r="F67" s="130"/>
    </row>
    <row r="68" spans="1:6">
      <c r="B68" s="139">
        <v>160</v>
      </c>
      <c r="D68" s="127" t="s">
        <v>106</v>
      </c>
      <c r="E68" s="140" t="s">
        <v>925</v>
      </c>
    </row>
    <row r="69" spans="1:6">
      <c r="B69" s="139">
        <v>161</v>
      </c>
      <c r="D69" s="127" t="s">
        <v>107</v>
      </c>
      <c r="E69" s="140" t="s">
        <v>926</v>
      </c>
    </row>
    <row r="70" spans="1:6">
      <c r="B70" s="139">
        <v>162</v>
      </c>
      <c r="D70" s="127" t="s">
        <v>927</v>
      </c>
      <c r="E70" s="140" t="s">
        <v>895</v>
      </c>
    </row>
    <row r="71" spans="1:6">
      <c r="B71" s="139">
        <v>163</v>
      </c>
      <c r="D71" s="127" t="s">
        <v>108</v>
      </c>
      <c r="E71" s="140" t="s">
        <v>928</v>
      </c>
    </row>
    <row r="72" spans="1:6">
      <c r="B72" s="139">
        <v>164</v>
      </c>
      <c r="D72" s="127" t="s">
        <v>109</v>
      </c>
      <c r="E72" s="140" t="s">
        <v>630</v>
      </c>
    </row>
    <row r="73" spans="1:6">
      <c r="B73" s="139">
        <v>165</v>
      </c>
      <c r="D73" s="127" t="s">
        <v>110</v>
      </c>
      <c r="E73" s="140" t="s">
        <v>631</v>
      </c>
    </row>
    <row r="74" spans="1:6">
      <c r="B74" s="139">
        <v>166</v>
      </c>
      <c r="D74" s="127" t="s">
        <v>111</v>
      </c>
      <c r="E74" s="140" t="s">
        <v>632</v>
      </c>
    </row>
    <row r="75" spans="1:6" ht="24">
      <c r="B75" s="139">
        <v>167</v>
      </c>
      <c r="D75" s="127" t="s">
        <v>112</v>
      </c>
      <c r="E75" s="140" t="s">
        <v>633</v>
      </c>
    </row>
    <row r="76" spans="1:6">
      <c r="B76" s="139">
        <v>168</v>
      </c>
      <c r="D76" s="127" t="s">
        <v>113</v>
      </c>
      <c r="E76" s="140" t="s">
        <v>634</v>
      </c>
    </row>
    <row r="77" spans="1:6">
      <c r="B77" s="139">
        <v>169</v>
      </c>
      <c r="D77" s="127" t="s">
        <v>114</v>
      </c>
      <c r="E77" s="140" t="s">
        <v>635</v>
      </c>
    </row>
    <row r="78" spans="1:6">
      <c r="B78" s="139">
        <v>170</v>
      </c>
      <c r="D78" s="127" t="s">
        <v>115</v>
      </c>
      <c r="E78" s="140" t="s">
        <v>636</v>
      </c>
    </row>
    <row r="79" spans="1:6">
      <c r="B79" s="139">
        <v>171</v>
      </c>
      <c r="D79" s="127" t="s">
        <v>444</v>
      </c>
      <c r="E79" s="140" t="s">
        <v>637</v>
      </c>
    </row>
    <row r="80" spans="1:6">
      <c r="B80" s="139">
        <v>172</v>
      </c>
      <c r="D80" s="127" t="s">
        <v>116</v>
      </c>
      <c r="E80" s="140" t="s">
        <v>638</v>
      </c>
    </row>
    <row r="81" spans="2:5">
      <c r="B81" s="139">
        <v>173</v>
      </c>
      <c r="D81" s="127" t="s">
        <v>117</v>
      </c>
      <c r="E81" s="140" t="s">
        <v>639</v>
      </c>
    </row>
    <row r="82" spans="2:5">
      <c r="B82" s="139">
        <v>174</v>
      </c>
      <c r="D82" s="127" t="s">
        <v>118</v>
      </c>
      <c r="E82" s="140" t="s">
        <v>640</v>
      </c>
    </row>
    <row r="83" spans="2:5">
      <c r="B83" s="139">
        <v>175</v>
      </c>
      <c r="D83" s="127" t="s">
        <v>119</v>
      </c>
      <c r="E83" s="140" t="s">
        <v>641</v>
      </c>
    </row>
    <row r="84" spans="2:5">
      <c r="B84" s="139">
        <v>176</v>
      </c>
      <c r="D84" s="127" t="s">
        <v>120</v>
      </c>
      <c r="E84" s="140" t="s">
        <v>642</v>
      </c>
    </row>
    <row r="85" spans="2:5">
      <c r="B85" s="139">
        <v>177</v>
      </c>
      <c r="D85" s="127" t="s">
        <v>121</v>
      </c>
      <c r="E85" s="140" t="s">
        <v>526</v>
      </c>
    </row>
    <row r="86" spans="2:5">
      <c r="B86" s="139">
        <v>178</v>
      </c>
      <c r="D86" s="127" t="s">
        <v>122</v>
      </c>
      <c r="E86" s="140" t="s">
        <v>527</v>
      </c>
    </row>
    <row r="87" spans="2:5">
      <c r="B87" s="139">
        <v>179</v>
      </c>
      <c r="D87" s="127" t="s">
        <v>123</v>
      </c>
      <c r="E87" s="140" t="s">
        <v>643</v>
      </c>
    </row>
    <row r="88" spans="2:5">
      <c r="B88" s="139">
        <v>180</v>
      </c>
      <c r="D88" s="127" t="s">
        <v>445</v>
      </c>
      <c r="E88" s="140" t="s">
        <v>644</v>
      </c>
    </row>
    <row r="89" spans="2:5" ht="24">
      <c r="B89" s="139">
        <v>181</v>
      </c>
      <c r="D89" s="127" t="s">
        <v>446</v>
      </c>
      <c r="E89" s="140" t="s">
        <v>645</v>
      </c>
    </row>
    <row r="90" spans="2:5" ht="24">
      <c r="B90" s="139">
        <v>182</v>
      </c>
      <c r="D90" s="127" t="s">
        <v>124</v>
      </c>
      <c r="E90" s="140" t="s">
        <v>646</v>
      </c>
    </row>
    <row r="91" spans="2:5">
      <c r="B91" s="139">
        <v>183</v>
      </c>
      <c r="D91" s="127" t="s">
        <v>125</v>
      </c>
      <c r="E91" s="140" t="s">
        <v>126</v>
      </c>
    </row>
    <row r="92" spans="2:5">
      <c r="B92" s="139">
        <v>184</v>
      </c>
      <c r="D92" s="127" t="s">
        <v>447</v>
      </c>
      <c r="E92" s="140" t="s">
        <v>528</v>
      </c>
    </row>
    <row r="93" spans="2:5">
      <c r="B93" s="139">
        <v>185</v>
      </c>
      <c r="D93" s="127" t="s">
        <v>448</v>
      </c>
      <c r="E93" s="140" t="s">
        <v>529</v>
      </c>
    </row>
    <row r="94" spans="2:5">
      <c r="B94" s="139">
        <v>186</v>
      </c>
      <c r="D94" s="127" t="s">
        <v>449</v>
      </c>
      <c r="E94" s="140" t="s">
        <v>929</v>
      </c>
    </row>
    <row r="95" spans="2:5">
      <c r="B95" s="139">
        <v>187</v>
      </c>
      <c r="D95" s="127" t="s">
        <v>127</v>
      </c>
      <c r="E95" s="140" t="s">
        <v>647</v>
      </c>
    </row>
    <row r="96" spans="2:5" ht="24">
      <c r="B96" s="139">
        <v>188</v>
      </c>
      <c r="D96" s="127" t="s">
        <v>128</v>
      </c>
      <c r="E96" s="140" t="s">
        <v>648</v>
      </c>
    </row>
    <row r="97" spans="2:5" ht="24">
      <c r="B97" s="139">
        <v>189</v>
      </c>
      <c r="D97" s="127" t="s">
        <v>129</v>
      </c>
      <c r="E97" s="140" t="s">
        <v>649</v>
      </c>
    </row>
    <row r="98" spans="2:5">
      <c r="B98" s="139">
        <v>190</v>
      </c>
      <c r="D98" s="127" t="s">
        <v>130</v>
      </c>
      <c r="E98" s="140" t="s">
        <v>130</v>
      </c>
    </row>
    <row r="99" spans="2:5">
      <c r="B99" s="139">
        <v>191</v>
      </c>
      <c r="D99" s="127" t="s">
        <v>131</v>
      </c>
      <c r="E99" s="140" t="s">
        <v>530</v>
      </c>
    </row>
    <row r="100" spans="2:5">
      <c r="B100" s="139">
        <v>192</v>
      </c>
      <c r="D100" s="127" t="s">
        <v>132</v>
      </c>
      <c r="E100" s="140" t="s">
        <v>531</v>
      </c>
    </row>
    <row r="101" spans="2:5">
      <c r="B101" s="139">
        <v>193</v>
      </c>
      <c r="D101" s="127" t="s">
        <v>133</v>
      </c>
      <c r="E101" s="140" t="s">
        <v>532</v>
      </c>
    </row>
    <row r="102" spans="2:5">
      <c r="B102" s="139">
        <v>194</v>
      </c>
      <c r="D102" s="127" t="s">
        <v>450</v>
      </c>
      <c r="E102" s="140" t="s">
        <v>650</v>
      </c>
    </row>
    <row r="103" spans="2:5">
      <c r="B103" s="139">
        <v>195</v>
      </c>
      <c r="D103" s="127" t="s">
        <v>134</v>
      </c>
      <c r="E103" s="140" t="s">
        <v>651</v>
      </c>
    </row>
    <row r="104" spans="2:5">
      <c r="B104" s="139">
        <v>196</v>
      </c>
      <c r="D104" s="127" t="s">
        <v>451</v>
      </c>
      <c r="E104" s="140" t="s">
        <v>652</v>
      </c>
    </row>
    <row r="105" spans="2:5">
      <c r="B105" s="139">
        <v>197</v>
      </c>
      <c r="D105" s="127" t="s">
        <v>135</v>
      </c>
      <c r="E105" s="140" t="s">
        <v>653</v>
      </c>
    </row>
    <row r="106" spans="2:5">
      <c r="B106" s="139">
        <v>198</v>
      </c>
      <c r="D106" s="127" t="s">
        <v>136</v>
      </c>
      <c r="E106" s="140" t="s">
        <v>654</v>
      </c>
    </row>
    <row r="107" spans="2:5">
      <c r="B107" s="139">
        <v>199</v>
      </c>
      <c r="D107" s="127" t="s">
        <v>137</v>
      </c>
      <c r="E107" s="140" t="s">
        <v>655</v>
      </c>
    </row>
    <row r="108" spans="2:5">
      <c r="B108" s="139">
        <v>200</v>
      </c>
      <c r="D108" s="127" t="s">
        <v>452</v>
      </c>
      <c r="E108" s="140" t="s">
        <v>656</v>
      </c>
    </row>
    <row r="109" spans="2:5">
      <c r="B109" s="139">
        <v>201</v>
      </c>
      <c r="D109" s="127" t="s">
        <v>138</v>
      </c>
      <c r="E109" s="140" t="s">
        <v>657</v>
      </c>
    </row>
    <row r="110" spans="2:5">
      <c r="B110" s="139">
        <v>202</v>
      </c>
      <c r="D110" s="127" t="s">
        <v>139</v>
      </c>
      <c r="E110" s="140" t="s">
        <v>658</v>
      </c>
    </row>
    <row r="111" spans="2:5">
      <c r="B111" s="139">
        <v>203</v>
      </c>
      <c r="D111" s="127" t="s">
        <v>140</v>
      </c>
      <c r="E111" s="140" t="s">
        <v>533</v>
      </c>
    </row>
    <row r="112" spans="2:5">
      <c r="B112" s="139">
        <v>204</v>
      </c>
      <c r="D112" s="127" t="s">
        <v>453</v>
      </c>
      <c r="E112" s="140" t="s">
        <v>534</v>
      </c>
    </row>
    <row r="113" spans="2:5">
      <c r="B113" s="139">
        <v>205</v>
      </c>
      <c r="D113" s="127" t="s">
        <v>454</v>
      </c>
      <c r="E113" s="140" t="s">
        <v>535</v>
      </c>
    </row>
    <row r="114" spans="2:5">
      <c r="B114" s="139">
        <v>206</v>
      </c>
      <c r="D114" s="127" t="s">
        <v>455</v>
      </c>
      <c r="E114" s="140" t="s">
        <v>659</v>
      </c>
    </row>
    <row r="115" spans="2:5">
      <c r="B115" s="139">
        <v>207</v>
      </c>
      <c r="D115" s="127" t="s">
        <v>456</v>
      </c>
      <c r="E115" s="140" t="s">
        <v>536</v>
      </c>
    </row>
    <row r="116" spans="2:5">
      <c r="B116" s="139">
        <v>208</v>
      </c>
      <c r="D116" s="127" t="s">
        <v>457</v>
      </c>
      <c r="E116" s="140" t="s">
        <v>537</v>
      </c>
    </row>
    <row r="117" spans="2:5">
      <c r="B117" s="139">
        <v>209</v>
      </c>
      <c r="D117" s="127" t="s">
        <v>141</v>
      </c>
      <c r="E117" s="140" t="s">
        <v>660</v>
      </c>
    </row>
    <row r="118" spans="2:5">
      <c r="B118" s="139">
        <v>210</v>
      </c>
      <c r="D118" s="127" t="s">
        <v>458</v>
      </c>
      <c r="E118" s="140" t="s">
        <v>661</v>
      </c>
    </row>
    <row r="119" spans="2:5">
      <c r="B119" s="139">
        <v>211</v>
      </c>
      <c r="D119" s="127" t="s">
        <v>142</v>
      </c>
      <c r="E119" s="140" t="s">
        <v>538</v>
      </c>
    </row>
    <row r="120" spans="2:5">
      <c r="B120" s="139">
        <v>212</v>
      </c>
      <c r="D120" s="127" t="s">
        <v>143</v>
      </c>
      <c r="E120" s="140" t="s">
        <v>662</v>
      </c>
    </row>
    <row r="121" spans="2:5">
      <c r="B121" s="139">
        <v>213</v>
      </c>
      <c r="D121" s="127" t="s">
        <v>144</v>
      </c>
      <c r="E121" s="140" t="s">
        <v>663</v>
      </c>
    </row>
    <row r="122" spans="2:5">
      <c r="B122" s="139">
        <v>214</v>
      </c>
      <c r="D122" s="127" t="s">
        <v>459</v>
      </c>
      <c r="E122" s="140" t="s">
        <v>664</v>
      </c>
    </row>
    <row r="123" spans="2:5">
      <c r="B123" s="139">
        <v>215</v>
      </c>
      <c r="D123" s="127" t="s">
        <v>460</v>
      </c>
      <c r="E123" s="140" t="s">
        <v>665</v>
      </c>
    </row>
    <row r="124" spans="2:5">
      <c r="B124" s="139">
        <v>216</v>
      </c>
      <c r="D124" s="127" t="s">
        <v>984</v>
      </c>
      <c r="E124" s="140" t="s">
        <v>666</v>
      </c>
    </row>
    <row r="125" spans="2:5">
      <c r="B125" s="139">
        <v>217</v>
      </c>
      <c r="D125" s="127" t="s">
        <v>461</v>
      </c>
      <c r="E125" s="140" t="s">
        <v>667</v>
      </c>
    </row>
    <row r="126" spans="2:5">
      <c r="B126" s="139">
        <v>218</v>
      </c>
      <c r="D126" s="127" t="s">
        <v>462</v>
      </c>
      <c r="E126" s="140" t="s">
        <v>668</v>
      </c>
    </row>
    <row r="127" spans="2:5">
      <c r="B127" s="139">
        <v>219</v>
      </c>
      <c r="D127" s="127" t="s">
        <v>463</v>
      </c>
      <c r="E127" s="140" t="s">
        <v>669</v>
      </c>
    </row>
    <row r="128" spans="2:5">
      <c r="B128" s="139">
        <v>220</v>
      </c>
      <c r="D128" s="127" t="s">
        <v>464</v>
      </c>
      <c r="E128" s="140" t="s">
        <v>670</v>
      </c>
    </row>
    <row r="129" spans="2:5">
      <c r="B129" s="139">
        <v>221</v>
      </c>
      <c r="D129" s="127" t="s">
        <v>145</v>
      </c>
      <c r="E129" s="140" t="s">
        <v>671</v>
      </c>
    </row>
    <row r="130" spans="2:5">
      <c r="B130" s="139">
        <v>222</v>
      </c>
      <c r="D130" s="127" t="s">
        <v>146</v>
      </c>
      <c r="E130" s="140" t="s">
        <v>672</v>
      </c>
    </row>
    <row r="131" spans="2:5">
      <c r="B131" s="139">
        <v>223</v>
      </c>
      <c r="D131" s="127" t="s">
        <v>147</v>
      </c>
      <c r="E131" s="140" t="s">
        <v>673</v>
      </c>
    </row>
    <row r="132" spans="2:5">
      <c r="B132" s="139">
        <v>224</v>
      </c>
      <c r="D132" s="127" t="s">
        <v>148</v>
      </c>
      <c r="E132" s="140" t="s">
        <v>674</v>
      </c>
    </row>
    <row r="133" spans="2:5">
      <c r="B133" s="139">
        <v>225</v>
      </c>
      <c r="D133" s="127" t="s">
        <v>465</v>
      </c>
      <c r="E133" s="140" t="s">
        <v>675</v>
      </c>
    </row>
    <row r="134" spans="2:5">
      <c r="B134" s="139">
        <v>226</v>
      </c>
      <c r="D134" s="127" t="s">
        <v>466</v>
      </c>
      <c r="E134" s="140" t="s">
        <v>676</v>
      </c>
    </row>
    <row r="135" spans="2:5">
      <c r="B135" s="139">
        <v>227</v>
      </c>
      <c r="D135" s="127" t="s">
        <v>467</v>
      </c>
      <c r="E135" s="140" t="s">
        <v>677</v>
      </c>
    </row>
    <row r="136" spans="2:5">
      <c r="B136" s="139">
        <v>228</v>
      </c>
      <c r="D136" s="127" t="s">
        <v>149</v>
      </c>
      <c r="E136" s="140" t="s">
        <v>678</v>
      </c>
    </row>
    <row r="137" spans="2:5">
      <c r="B137" s="139">
        <v>229</v>
      </c>
      <c r="D137" s="127" t="s">
        <v>150</v>
      </c>
      <c r="E137" s="140" t="s">
        <v>679</v>
      </c>
    </row>
    <row r="138" spans="2:5">
      <c r="B138" s="139">
        <v>230</v>
      </c>
      <c r="D138" s="127" t="s">
        <v>468</v>
      </c>
      <c r="E138" s="140" t="s">
        <v>539</v>
      </c>
    </row>
    <row r="139" spans="2:5">
      <c r="B139" s="139">
        <v>231</v>
      </c>
      <c r="D139" s="127" t="s">
        <v>151</v>
      </c>
      <c r="E139" s="140" t="s">
        <v>680</v>
      </c>
    </row>
    <row r="140" spans="2:5" ht="36">
      <c r="B140" s="139">
        <v>232</v>
      </c>
      <c r="D140" s="127" t="s">
        <v>152</v>
      </c>
      <c r="E140" s="140" t="s">
        <v>681</v>
      </c>
    </row>
    <row r="141" spans="2:5">
      <c r="B141" s="139">
        <v>233</v>
      </c>
      <c r="D141" s="127" t="s">
        <v>153</v>
      </c>
      <c r="E141" s="140" t="s">
        <v>682</v>
      </c>
    </row>
    <row r="142" spans="2:5">
      <c r="B142" s="139">
        <v>234</v>
      </c>
      <c r="D142" s="127" t="s">
        <v>154</v>
      </c>
      <c r="E142" s="140" t="s">
        <v>930</v>
      </c>
    </row>
    <row r="143" spans="2:5">
      <c r="B143" s="139">
        <v>235</v>
      </c>
      <c r="D143" s="127" t="s">
        <v>155</v>
      </c>
      <c r="E143" s="140" t="s">
        <v>540</v>
      </c>
    </row>
    <row r="144" spans="2:5">
      <c r="B144" s="139">
        <v>236</v>
      </c>
      <c r="D144" s="127" t="s">
        <v>156</v>
      </c>
      <c r="E144" s="140" t="s">
        <v>683</v>
      </c>
    </row>
    <row r="145" spans="2:5">
      <c r="B145" s="139">
        <v>237</v>
      </c>
      <c r="D145" s="127" t="s">
        <v>157</v>
      </c>
      <c r="E145" s="140" t="s">
        <v>541</v>
      </c>
    </row>
    <row r="146" spans="2:5">
      <c r="B146" s="139">
        <v>238</v>
      </c>
      <c r="D146" s="127" t="s">
        <v>158</v>
      </c>
      <c r="E146" s="140" t="s">
        <v>684</v>
      </c>
    </row>
    <row r="147" spans="2:5">
      <c r="B147" s="139">
        <v>239</v>
      </c>
      <c r="D147" s="127" t="s">
        <v>159</v>
      </c>
      <c r="E147" s="140" t="s">
        <v>685</v>
      </c>
    </row>
    <row r="148" spans="2:5">
      <c r="B148" s="139">
        <v>240</v>
      </c>
      <c r="D148" s="127" t="s">
        <v>160</v>
      </c>
      <c r="E148" s="140" t="s">
        <v>542</v>
      </c>
    </row>
    <row r="149" spans="2:5">
      <c r="B149" s="139">
        <v>241</v>
      </c>
      <c r="D149" s="127" t="s">
        <v>161</v>
      </c>
      <c r="E149" s="140" t="s">
        <v>543</v>
      </c>
    </row>
    <row r="150" spans="2:5">
      <c r="B150" s="139">
        <v>242</v>
      </c>
      <c r="D150" s="127" t="s">
        <v>162</v>
      </c>
      <c r="E150" s="140" t="s">
        <v>686</v>
      </c>
    </row>
    <row r="151" spans="2:5">
      <c r="B151" s="139">
        <v>243</v>
      </c>
      <c r="D151" s="127" t="s">
        <v>163</v>
      </c>
      <c r="E151" s="140" t="s">
        <v>687</v>
      </c>
    </row>
    <row r="152" spans="2:5">
      <c r="B152" s="139">
        <v>244</v>
      </c>
      <c r="D152" s="127" t="s">
        <v>164</v>
      </c>
      <c r="E152" s="140" t="s">
        <v>688</v>
      </c>
    </row>
    <row r="153" spans="2:5">
      <c r="B153" s="139">
        <v>245</v>
      </c>
      <c r="D153" s="127" t="s">
        <v>469</v>
      </c>
      <c r="E153" s="140" t="s">
        <v>689</v>
      </c>
    </row>
    <row r="154" spans="2:5">
      <c r="B154" s="139">
        <v>246</v>
      </c>
      <c r="D154" s="127" t="s">
        <v>165</v>
      </c>
      <c r="E154" s="140" t="s">
        <v>690</v>
      </c>
    </row>
    <row r="155" spans="2:5">
      <c r="B155" s="139">
        <v>247</v>
      </c>
      <c r="D155" s="127" t="s">
        <v>166</v>
      </c>
      <c r="E155" s="140" t="s">
        <v>544</v>
      </c>
    </row>
    <row r="156" spans="2:5">
      <c r="B156" s="139">
        <v>248</v>
      </c>
      <c r="D156" s="127" t="s">
        <v>167</v>
      </c>
      <c r="E156" s="140" t="s">
        <v>691</v>
      </c>
    </row>
    <row r="157" spans="2:5">
      <c r="B157" s="139">
        <v>249</v>
      </c>
      <c r="D157" s="127" t="s">
        <v>470</v>
      </c>
      <c r="E157" s="140" t="s">
        <v>692</v>
      </c>
    </row>
    <row r="158" spans="2:5">
      <c r="B158" s="139">
        <v>250</v>
      </c>
      <c r="D158" s="127" t="s">
        <v>471</v>
      </c>
      <c r="E158" s="140" t="s">
        <v>693</v>
      </c>
    </row>
    <row r="159" spans="2:5">
      <c r="B159" s="139">
        <v>251</v>
      </c>
      <c r="D159" s="127" t="s">
        <v>472</v>
      </c>
      <c r="E159" s="140" t="s">
        <v>694</v>
      </c>
    </row>
    <row r="160" spans="2:5">
      <c r="B160" s="139">
        <v>252</v>
      </c>
      <c r="D160" s="127" t="s">
        <v>473</v>
      </c>
      <c r="E160" s="140" t="s">
        <v>695</v>
      </c>
    </row>
    <row r="161" spans="2:5">
      <c r="B161" s="139">
        <v>253</v>
      </c>
      <c r="D161" s="127" t="s">
        <v>168</v>
      </c>
      <c r="E161" s="140" t="s">
        <v>931</v>
      </c>
    </row>
    <row r="162" spans="2:5" ht="24">
      <c r="B162" s="139">
        <v>254</v>
      </c>
      <c r="D162" s="127" t="s">
        <v>169</v>
      </c>
      <c r="E162" s="140" t="s">
        <v>696</v>
      </c>
    </row>
    <row r="163" spans="2:5" ht="24">
      <c r="B163" s="139">
        <v>255</v>
      </c>
      <c r="D163" s="127" t="s">
        <v>170</v>
      </c>
      <c r="E163" s="140" t="s">
        <v>697</v>
      </c>
    </row>
    <row r="164" spans="2:5" ht="24">
      <c r="B164" s="139">
        <v>256</v>
      </c>
      <c r="D164" s="127" t="s">
        <v>171</v>
      </c>
      <c r="E164" s="140" t="s">
        <v>698</v>
      </c>
    </row>
    <row r="165" spans="2:5">
      <c r="B165" s="139">
        <v>257</v>
      </c>
      <c r="D165" s="127" t="s">
        <v>172</v>
      </c>
      <c r="E165" s="140" t="s">
        <v>545</v>
      </c>
    </row>
    <row r="166" spans="2:5">
      <c r="B166" s="139">
        <v>258</v>
      </c>
      <c r="D166" s="127" t="s">
        <v>173</v>
      </c>
      <c r="E166" s="140" t="s">
        <v>699</v>
      </c>
    </row>
    <row r="167" spans="2:5">
      <c r="B167" s="139">
        <v>259</v>
      </c>
      <c r="D167" s="127" t="s">
        <v>174</v>
      </c>
      <c r="E167" s="140" t="s">
        <v>700</v>
      </c>
    </row>
    <row r="168" spans="2:5">
      <c r="B168" s="139">
        <v>260</v>
      </c>
      <c r="D168" s="127" t="s">
        <v>175</v>
      </c>
      <c r="E168" s="140" t="s">
        <v>701</v>
      </c>
    </row>
    <row r="169" spans="2:5">
      <c r="B169" s="139">
        <v>261</v>
      </c>
      <c r="D169" s="127" t="s">
        <v>176</v>
      </c>
      <c r="E169" s="140" t="s">
        <v>702</v>
      </c>
    </row>
    <row r="170" spans="2:5" ht="24">
      <c r="B170" s="139">
        <v>262</v>
      </c>
      <c r="D170" s="127" t="s">
        <v>177</v>
      </c>
      <c r="E170" s="140" t="s">
        <v>703</v>
      </c>
    </row>
    <row r="171" spans="2:5">
      <c r="B171" s="139">
        <v>263</v>
      </c>
      <c r="D171" s="127" t="s">
        <v>178</v>
      </c>
      <c r="E171" s="140" t="s">
        <v>704</v>
      </c>
    </row>
    <row r="172" spans="2:5">
      <c r="B172" s="139">
        <v>264</v>
      </c>
      <c r="D172" s="127" t="s">
        <v>179</v>
      </c>
      <c r="E172" s="140" t="s">
        <v>705</v>
      </c>
    </row>
    <row r="173" spans="2:5">
      <c r="B173" s="139">
        <v>265</v>
      </c>
      <c r="D173" s="127" t="s">
        <v>180</v>
      </c>
      <c r="E173" s="140" t="s">
        <v>706</v>
      </c>
    </row>
    <row r="174" spans="2:5">
      <c r="B174" s="139">
        <v>266</v>
      </c>
      <c r="D174" s="127" t="s">
        <v>181</v>
      </c>
      <c r="E174" s="140" t="s">
        <v>707</v>
      </c>
    </row>
    <row r="175" spans="2:5">
      <c r="B175" s="139">
        <v>267</v>
      </c>
      <c r="D175" s="127" t="s">
        <v>182</v>
      </c>
      <c r="E175" s="140" t="s">
        <v>708</v>
      </c>
    </row>
    <row r="176" spans="2:5">
      <c r="B176" s="139">
        <v>268</v>
      </c>
      <c r="D176" s="127" t="s">
        <v>183</v>
      </c>
      <c r="E176" s="140" t="s">
        <v>709</v>
      </c>
    </row>
    <row r="177" spans="2:5">
      <c r="B177" s="139">
        <v>269</v>
      </c>
      <c r="D177" s="127" t="s">
        <v>474</v>
      </c>
      <c r="E177" s="140" t="s">
        <v>710</v>
      </c>
    </row>
    <row r="178" spans="2:5">
      <c r="B178" s="139">
        <v>270</v>
      </c>
      <c r="D178" s="127" t="s">
        <v>184</v>
      </c>
      <c r="E178" s="140" t="s">
        <v>711</v>
      </c>
    </row>
    <row r="179" spans="2:5">
      <c r="B179" s="139">
        <v>271</v>
      </c>
      <c r="D179" s="127" t="s">
        <v>475</v>
      </c>
      <c r="E179" s="140" t="s">
        <v>546</v>
      </c>
    </row>
    <row r="180" spans="2:5" ht="24">
      <c r="B180" s="139">
        <v>272</v>
      </c>
      <c r="D180" s="127" t="s">
        <v>185</v>
      </c>
    </row>
    <row r="181" spans="2:5">
      <c r="B181" s="139">
        <v>273</v>
      </c>
      <c r="D181" s="127" t="s">
        <v>186</v>
      </c>
      <c r="E181" s="140" t="s">
        <v>712</v>
      </c>
    </row>
    <row r="182" spans="2:5">
      <c r="B182" s="139">
        <v>274</v>
      </c>
      <c r="D182" s="127" t="s">
        <v>187</v>
      </c>
      <c r="E182" s="140" t="s">
        <v>547</v>
      </c>
    </row>
    <row r="183" spans="2:5">
      <c r="B183" s="139">
        <v>275</v>
      </c>
      <c r="D183" s="127" t="s">
        <v>188</v>
      </c>
      <c r="E183" s="140" t="s">
        <v>548</v>
      </c>
    </row>
    <row r="184" spans="2:5">
      <c r="B184" s="139">
        <v>276</v>
      </c>
      <c r="D184" s="127" t="s">
        <v>189</v>
      </c>
      <c r="E184" s="140" t="s">
        <v>932</v>
      </c>
    </row>
    <row r="185" spans="2:5">
      <c r="B185" s="139">
        <v>277</v>
      </c>
      <c r="D185" s="127" t="s">
        <v>476</v>
      </c>
      <c r="E185" s="140" t="s">
        <v>549</v>
      </c>
    </row>
    <row r="186" spans="2:5">
      <c r="B186" s="139">
        <v>278</v>
      </c>
      <c r="D186" s="127" t="s">
        <v>190</v>
      </c>
      <c r="E186" s="140" t="s">
        <v>550</v>
      </c>
    </row>
    <row r="187" spans="2:5">
      <c r="B187" s="139">
        <v>279</v>
      </c>
      <c r="D187" s="127" t="s">
        <v>191</v>
      </c>
      <c r="E187" s="140" t="s">
        <v>713</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933</v>
      </c>
    </row>
    <row r="192" spans="2:5">
      <c r="B192" s="139">
        <v>284</v>
      </c>
      <c r="D192" s="127" t="s">
        <v>195</v>
      </c>
      <c r="E192" s="140" t="s">
        <v>714</v>
      </c>
    </row>
    <row r="193" spans="2:5">
      <c r="B193" s="139">
        <v>285</v>
      </c>
      <c r="D193" s="127" t="s">
        <v>196</v>
      </c>
      <c r="E193" s="140" t="s">
        <v>551</v>
      </c>
    </row>
    <row r="194" spans="2:5">
      <c r="B194" s="139">
        <v>286</v>
      </c>
      <c r="D194" s="127" t="s">
        <v>477</v>
      </c>
      <c r="E194" s="140" t="s">
        <v>552</v>
      </c>
    </row>
    <row r="195" spans="2:5">
      <c r="B195" s="139">
        <v>287</v>
      </c>
      <c r="D195" s="127" t="s">
        <v>478</v>
      </c>
      <c r="E195" s="140" t="s">
        <v>553</v>
      </c>
    </row>
    <row r="196" spans="2:5">
      <c r="B196" s="139">
        <v>288</v>
      </c>
      <c r="D196" s="127" t="s">
        <v>479</v>
      </c>
      <c r="E196" s="140" t="s">
        <v>552</v>
      </c>
    </row>
    <row r="197" spans="2:5">
      <c r="B197" s="139">
        <v>289</v>
      </c>
      <c r="D197" s="127" t="s">
        <v>197</v>
      </c>
      <c r="E197" s="140" t="s">
        <v>554</v>
      </c>
    </row>
    <row r="198" spans="2:5">
      <c r="B198" s="139">
        <v>290</v>
      </c>
      <c r="D198" s="127" t="s">
        <v>480</v>
      </c>
      <c r="E198" s="140" t="s">
        <v>715</v>
      </c>
    </row>
    <row r="199" spans="2:5">
      <c r="B199" s="139">
        <v>291</v>
      </c>
      <c r="D199" s="127" t="s">
        <v>198</v>
      </c>
      <c r="E199" s="140" t="s">
        <v>716</v>
      </c>
    </row>
    <row r="200" spans="2:5">
      <c r="B200" s="139">
        <v>292</v>
      </c>
      <c r="D200" s="127" t="s">
        <v>511</v>
      </c>
      <c r="E200" s="140" t="s">
        <v>717</v>
      </c>
    </row>
    <row r="201" spans="2:5">
      <c r="B201" s="139">
        <v>293</v>
      </c>
      <c r="D201" s="127" t="s">
        <v>512</v>
      </c>
      <c r="E201" s="140" t="s">
        <v>934</v>
      </c>
    </row>
    <row r="202" spans="2:5">
      <c r="B202" s="139">
        <v>294</v>
      </c>
      <c r="D202" s="127" t="s">
        <v>199</v>
      </c>
      <c r="E202" s="140" t="s">
        <v>555</v>
      </c>
    </row>
    <row r="203" spans="2:5">
      <c r="B203" s="139">
        <v>295</v>
      </c>
      <c r="D203" s="127" t="s">
        <v>481</v>
      </c>
      <c r="E203" s="140" t="s">
        <v>556</v>
      </c>
    </row>
    <row r="204" spans="2:5">
      <c r="B204" s="139">
        <v>296</v>
      </c>
      <c r="D204" s="127" t="s">
        <v>200</v>
      </c>
      <c r="E204" s="140" t="s">
        <v>718</v>
      </c>
    </row>
    <row r="205" spans="2:5">
      <c r="B205" s="139">
        <v>297</v>
      </c>
      <c r="D205" s="127" t="s">
        <v>201</v>
      </c>
      <c r="E205" s="140" t="s">
        <v>719</v>
      </c>
    </row>
    <row r="206" spans="2:5">
      <c r="B206" s="139">
        <v>298</v>
      </c>
      <c r="D206" s="127" t="s">
        <v>202</v>
      </c>
      <c r="E206" s="140" t="s">
        <v>557</v>
      </c>
    </row>
    <row r="207" spans="2:5" ht="24">
      <c r="B207" s="139">
        <v>299</v>
      </c>
      <c r="D207" s="127" t="s">
        <v>203</v>
      </c>
      <c r="E207" s="140" t="s">
        <v>720</v>
      </c>
    </row>
    <row r="208" spans="2:5" ht="24">
      <c r="B208" s="139">
        <v>300</v>
      </c>
      <c r="D208" s="127" t="s">
        <v>513</v>
      </c>
      <c r="E208" s="140" t="s">
        <v>721</v>
      </c>
    </row>
    <row r="209" spans="2:5">
      <c r="B209" s="139">
        <v>301</v>
      </c>
      <c r="D209" s="127" t="s">
        <v>514</v>
      </c>
      <c r="E209" s="140" t="s">
        <v>935</v>
      </c>
    </row>
    <row r="210" spans="2:5">
      <c r="B210" s="139">
        <v>302</v>
      </c>
      <c r="D210" s="127" t="s">
        <v>482</v>
      </c>
      <c r="E210" s="140" t="s">
        <v>936</v>
      </c>
    </row>
    <row r="211" spans="2:5">
      <c r="B211" s="139">
        <v>303</v>
      </c>
      <c r="D211" s="127" t="s">
        <v>204</v>
      </c>
      <c r="E211" s="140" t="s">
        <v>722</v>
      </c>
    </row>
    <row r="212" spans="2:5">
      <c r="B212" s="139">
        <v>304</v>
      </c>
      <c r="D212" s="127" t="s">
        <v>483</v>
      </c>
      <c r="E212" s="140" t="s">
        <v>723</v>
      </c>
    </row>
    <row r="213" spans="2:5">
      <c r="B213" s="139">
        <v>305</v>
      </c>
      <c r="D213" s="127" t="s">
        <v>484</v>
      </c>
      <c r="E213" s="140" t="s">
        <v>558</v>
      </c>
    </row>
    <row r="214" spans="2:5">
      <c r="B214" s="139">
        <v>306</v>
      </c>
      <c r="D214" s="127" t="s">
        <v>205</v>
      </c>
      <c r="E214" s="140" t="s">
        <v>724</v>
      </c>
    </row>
    <row r="215" spans="2:5">
      <c r="B215" s="139">
        <v>307</v>
      </c>
      <c r="D215" s="127" t="s">
        <v>206</v>
      </c>
      <c r="E215" s="140" t="s">
        <v>559</v>
      </c>
    </row>
    <row r="216" spans="2:5">
      <c r="B216" s="139">
        <v>308</v>
      </c>
      <c r="D216" s="127" t="s">
        <v>485</v>
      </c>
      <c r="E216" s="140" t="s">
        <v>725</v>
      </c>
    </row>
    <row r="217" spans="2:5">
      <c r="B217" s="139">
        <v>309</v>
      </c>
      <c r="D217" s="127" t="s">
        <v>207</v>
      </c>
      <c r="E217" s="140" t="s">
        <v>726</v>
      </c>
    </row>
    <row r="218" spans="2:5">
      <c r="B218" s="139">
        <v>310</v>
      </c>
      <c r="D218" s="127" t="s">
        <v>208</v>
      </c>
      <c r="E218" s="140" t="s">
        <v>727</v>
      </c>
    </row>
    <row r="219" spans="2:5" ht="24">
      <c r="B219" s="139">
        <v>311</v>
      </c>
      <c r="D219" s="127" t="s">
        <v>209</v>
      </c>
      <c r="E219" s="140" t="s">
        <v>728</v>
      </c>
    </row>
    <row r="220" spans="2:5">
      <c r="B220" s="139">
        <v>312</v>
      </c>
      <c r="D220" s="127" t="s">
        <v>210</v>
      </c>
      <c r="E220" s="140" t="s">
        <v>729</v>
      </c>
    </row>
    <row r="221" spans="2:5">
      <c r="B221" s="139">
        <v>313</v>
      </c>
      <c r="C221" s="136" t="s">
        <v>911</v>
      </c>
      <c r="D221" s="127" t="s">
        <v>937</v>
      </c>
      <c r="E221" s="146" t="s">
        <v>938</v>
      </c>
    </row>
    <row r="222" spans="2:5">
      <c r="B222" s="139">
        <v>314</v>
      </c>
      <c r="D222" s="127" t="s">
        <v>211</v>
      </c>
      <c r="E222" s="140" t="s">
        <v>939</v>
      </c>
    </row>
    <row r="223" spans="2:5">
      <c r="B223" s="139">
        <v>315</v>
      </c>
      <c r="D223" s="127" t="s">
        <v>212</v>
      </c>
      <c r="E223" s="140" t="s">
        <v>730</v>
      </c>
    </row>
    <row r="224" spans="2:5">
      <c r="B224" s="139">
        <v>316</v>
      </c>
      <c r="D224" s="127" t="s">
        <v>213</v>
      </c>
      <c r="E224" s="140" t="s">
        <v>731</v>
      </c>
    </row>
    <row r="225" spans="1:6">
      <c r="B225" s="139">
        <v>317</v>
      </c>
      <c r="D225" s="127" t="s">
        <v>214</v>
      </c>
      <c r="E225" s="140" t="s">
        <v>732</v>
      </c>
    </row>
    <row r="226" spans="1:6">
      <c r="B226" s="139">
        <v>318</v>
      </c>
      <c r="D226" s="127" t="s">
        <v>215</v>
      </c>
      <c r="E226" s="140" t="s">
        <v>560</v>
      </c>
    </row>
    <row r="227" spans="1:6">
      <c r="B227" s="139">
        <v>319</v>
      </c>
      <c r="D227" s="127" t="s">
        <v>486</v>
      </c>
      <c r="E227" s="140" t="s">
        <v>733</v>
      </c>
    </row>
    <row r="228" spans="1:6">
      <c r="B228" s="139">
        <v>320</v>
      </c>
      <c r="D228" s="127" t="s">
        <v>216</v>
      </c>
      <c r="E228" s="140" t="s">
        <v>734</v>
      </c>
    </row>
    <row r="229" spans="1:6" ht="36">
      <c r="B229" s="139">
        <v>321</v>
      </c>
      <c r="D229" s="127" t="s">
        <v>217</v>
      </c>
      <c r="E229" s="140" t="s">
        <v>735</v>
      </c>
    </row>
    <row r="230" spans="1:6">
      <c r="B230" s="139">
        <v>322</v>
      </c>
      <c r="D230" s="127" t="s">
        <v>218</v>
      </c>
      <c r="E230" s="140" t="s">
        <v>736</v>
      </c>
    </row>
    <row r="231" spans="1:6" ht="24">
      <c r="B231" s="139">
        <v>323</v>
      </c>
      <c r="D231" s="127" t="s">
        <v>219</v>
      </c>
      <c r="E231" s="140" t="s">
        <v>737</v>
      </c>
    </row>
    <row r="232" spans="1:6">
      <c r="A232" s="129"/>
      <c r="B232" s="139">
        <v>324</v>
      </c>
      <c r="C232" s="138" t="s">
        <v>510</v>
      </c>
      <c r="D232" s="128" t="s">
        <v>940</v>
      </c>
      <c r="E232" s="128" t="s">
        <v>517</v>
      </c>
      <c r="F232" s="130"/>
    </row>
    <row r="233" spans="1:6">
      <c r="A233" s="129"/>
      <c r="B233" s="139">
        <v>325</v>
      </c>
      <c r="C233" s="138" t="s">
        <v>510</v>
      </c>
      <c r="D233" s="128" t="s">
        <v>941</v>
      </c>
      <c r="E233" s="128" t="s">
        <v>890</v>
      </c>
      <c r="F233" s="130"/>
    </row>
    <row r="234" spans="1:6">
      <c r="A234" s="129"/>
      <c r="B234" s="139">
        <v>326</v>
      </c>
      <c r="C234" s="138" t="s">
        <v>909</v>
      </c>
      <c r="D234" s="128" t="s">
        <v>942</v>
      </c>
      <c r="E234" s="128" t="s">
        <v>943</v>
      </c>
      <c r="F234" s="130"/>
    </row>
    <row r="235" spans="1:6">
      <c r="B235" s="139">
        <v>327</v>
      </c>
      <c r="D235" s="127" t="s">
        <v>220</v>
      </c>
      <c r="E235" s="140" t="s">
        <v>561</v>
      </c>
    </row>
    <row r="236" spans="1:6" ht="12.75">
      <c r="B236" s="139">
        <v>328</v>
      </c>
      <c r="D236" s="127" t="s">
        <v>221</v>
      </c>
      <c r="E236" s="148" t="s">
        <v>896</v>
      </c>
    </row>
    <row r="237" spans="1:6">
      <c r="B237" s="139">
        <v>329</v>
      </c>
      <c r="D237" s="127" t="s">
        <v>222</v>
      </c>
      <c r="E237" s="140" t="s">
        <v>738</v>
      </c>
    </row>
    <row r="238" spans="1:6">
      <c r="B238" s="139">
        <v>330</v>
      </c>
      <c r="D238" s="127" t="s">
        <v>223</v>
      </c>
      <c r="E238" s="140" t="s">
        <v>739</v>
      </c>
    </row>
    <row r="239" spans="1:6">
      <c r="B239" s="139">
        <v>331</v>
      </c>
      <c r="D239" s="127" t="s">
        <v>224</v>
      </c>
      <c r="E239" s="140" t="s">
        <v>740</v>
      </c>
    </row>
    <row r="240" spans="1:6">
      <c r="B240" s="139">
        <v>332</v>
      </c>
      <c r="D240" s="127" t="s">
        <v>225</v>
      </c>
      <c r="E240" s="140" t="s">
        <v>741</v>
      </c>
    </row>
    <row r="241" spans="2:5">
      <c r="B241" s="139">
        <v>333</v>
      </c>
      <c r="D241" s="127" t="s">
        <v>226</v>
      </c>
      <c r="E241" s="140" t="s">
        <v>742</v>
      </c>
    </row>
    <row r="242" spans="2:5">
      <c r="B242" s="139">
        <v>334</v>
      </c>
      <c r="D242" s="127" t="s">
        <v>227</v>
      </c>
      <c r="E242" s="140" t="s">
        <v>743</v>
      </c>
    </row>
    <row r="243" spans="2:5">
      <c r="B243" s="139">
        <v>335</v>
      </c>
      <c r="D243" s="127" t="s">
        <v>228</v>
      </c>
      <c r="E243" s="140" t="s">
        <v>744</v>
      </c>
    </row>
    <row r="244" spans="2:5">
      <c r="B244" s="139">
        <v>336</v>
      </c>
      <c r="D244" s="127" t="s">
        <v>229</v>
      </c>
      <c r="E244" s="140" t="s">
        <v>562</v>
      </c>
    </row>
    <row r="245" spans="2:5">
      <c r="B245" s="139">
        <v>337</v>
      </c>
      <c r="D245" s="127" t="s">
        <v>230</v>
      </c>
      <c r="E245" s="140" t="s">
        <v>745</v>
      </c>
    </row>
    <row r="246" spans="2:5">
      <c r="B246" s="139">
        <v>338</v>
      </c>
      <c r="D246" s="127" t="s">
        <v>231</v>
      </c>
      <c r="E246" s="140" t="s">
        <v>563</v>
      </c>
    </row>
    <row r="247" spans="2:5">
      <c r="B247" s="139">
        <v>339</v>
      </c>
      <c r="D247" s="127" t="s">
        <v>232</v>
      </c>
      <c r="E247" s="140" t="s">
        <v>746</v>
      </c>
    </row>
    <row r="248" spans="2:5">
      <c r="B248" s="139">
        <v>340</v>
      </c>
      <c r="D248" s="127" t="s">
        <v>233</v>
      </c>
      <c r="E248" s="140" t="s">
        <v>564</v>
      </c>
    </row>
    <row r="249" spans="2:5">
      <c r="B249" s="139">
        <v>341</v>
      </c>
      <c r="D249" s="127" t="s">
        <v>234</v>
      </c>
      <c r="E249" s="140" t="s">
        <v>747</v>
      </c>
    </row>
    <row r="250" spans="2:5">
      <c r="B250" s="139">
        <v>342</v>
      </c>
      <c r="D250" s="127" t="s">
        <v>235</v>
      </c>
      <c r="E250" s="140" t="s">
        <v>565</v>
      </c>
    </row>
    <row r="251" spans="2:5">
      <c r="B251" s="139">
        <v>343</v>
      </c>
      <c r="D251" s="127" t="s">
        <v>236</v>
      </c>
      <c r="E251" s="140" t="s">
        <v>748</v>
      </c>
    </row>
    <row r="252" spans="2:5">
      <c r="B252" s="139">
        <v>344</v>
      </c>
      <c r="D252" s="127" t="s">
        <v>237</v>
      </c>
      <c r="E252" s="140" t="s">
        <v>566</v>
      </c>
    </row>
    <row r="253" spans="2:5">
      <c r="B253" s="139">
        <v>345</v>
      </c>
      <c r="D253" s="127" t="s">
        <v>238</v>
      </c>
      <c r="E253" s="140" t="s">
        <v>749</v>
      </c>
    </row>
    <row r="254" spans="2:5">
      <c r="B254" s="139">
        <v>346</v>
      </c>
      <c r="D254" s="127" t="s">
        <v>239</v>
      </c>
      <c r="E254" s="140" t="s">
        <v>750</v>
      </c>
    </row>
    <row r="255" spans="2:5">
      <c r="B255" s="139">
        <v>347</v>
      </c>
      <c r="D255" s="127" t="s">
        <v>487</v>
      </c>
      <c r="E255" s="140" t="s">
        <v>487</v>
      </c>
    </row>
    <row r="256" spans="2:5">
      <c r="B256" s="139">
        <v>348</v>
      </c>
      <c r="D256" s="127" t="s">
        <v>240</v>
      </c>
      <c r="E256" s="140" t="s">
        <v>567</v>
      </c>
    </row>
    <row r="257" spans="2:5" ht="24">
      <c r="B257" s="139">
        <v>349</v>
      </c>
      <c r="D257" s="127" t="s">
        <v>241</v>
      </c>
      <c r="E257" s="140" t="s">
        <v>751</v>
      </c>
    </row>
    <row r="258" spans="2:5">
      <c r="B258" s="139">
        <v>350</v>
      </c>
      <c r="D258" s="127" t="s">
        <v>242</v>
      </c>
      <c r="E258" s="140" t="s">
        <v>752</v>
      </c>
    </row>
    <row r="259" spans="2:5" ht="24">
      <c r="B259" s="139">
        <v>351</v>
      </c>
      <c r="D259" s="127" t="s">
        <v>243</v>
      </c>
      <c r="E259" s="140" t="s">
        <v>753</v>
      </c>
    </row>
    <row r="260" spans="2:5" ht="12.75">
      <c r="B260" s="139">
        <v>352</v>
      </c>
      <c r="D260" s="134" t="s">
        <v>944</v>
      </c>
      <c r="E260" s="147" t="s">
        <v>945</v>
      </c>
    </row>
    <row r="261" spans="2:5">
      <c r="B261" s="139">
        <v>353</v>
      </c>
      <c r="D261" s="127" t="s">
        <v>488</v>
      </c>
      <c r="E261" s="140" t="s">
        <v>568</v>
      </c>
    </row>
    <row r="262" spans="2:5">
      <c r="B262" s="139">
        <v>354</v>
      </c>
      <c r="D262" s="127" t="s">
        <v>244</v>
      </c>
      <c r="E262" s="140" t="s">
        <v>754</v>
      </c>
    </row>
    <row r="263" spans="2:5">
      <c r="B263" s="139">
        <v>355</v>
      </c>
      <c r="D263" s="127" t="s">
        <v>489</v>
      </c>
      <c r="E263" s="140" t="s">
        <v>755</v>
      </c>
    </row>
    <row r="264" spans="2:5">
      <c r="B264" s="139">
        <v>356</v>
      </c>
      <c r="D264" s="127" t="s">
        <v>245</v>
      </c>
      <c r="E264" s="140" t="s">
        <v>569</v>
      </c>
    </row>
    <row r="265" spans="2:5">
      <c r="B265" s="139">
        <v>357</v>
      </c>
      <c r="D265" s="127" t="s">
        <v>246</v>
      </c>
      <c r="E265" s="140" t="s">
        <v>570</v>
      </c>
    </row>
    <row r="266" spans="2:5">
      <c r="B266" s="139">
        <v>358</v>
      </c>
      <c r="D266" s="127" t="s">
        <v>247</v>
      </c>
      <c r="E266" s="140" t="s">
        <v>756</v>
      </c>
    </row>
    <row r="267" spans="2:5">
      <c r="B267" s="139">
        <v>359</v>
      </c>
      <c r="D267" s="127" t="s">
        <v>248</v>
      </c>
      <c r="E267" s="140" t="s">
        <v>757</v>
      </c>
    </row>
    <row r="268" spans="2:5">
      <c r="B268" s="139">
        <v>360</v>
      </c>
      <c r="D268" s="127" t="s">
        <v>249</v>
      </c>
      <c r="E268" s="140" t="s">
        <v>758</v>
      </c>
    </row>
    <row r="269" spans="2:5">
      <c r="B269" s="139">
        <v>361</v>
      </c>
      <c r="D269" s="127" t="s">
        <v>250</v>
      </c>
    </row>
    <row r="270" spans="2:5">
      <c r="B270" s="139">
        <v>362</v>
      </c>
      <c r="D270" s="127" t="s">
        <v>490</v>
      </c>
      <c r="E270" s="140" t="s">
        <v>759</v>
      </c>
    </row>
    <row r="271" spans="2:5" ht="24">
      <c r="B271" s="139">
        <v>363</v>
      </c>
      <c r="D271" s="127" t="s">
        <v>491</v>
      </c>
      <c r="E271" s="140" t="s">
        <v>760</v>
      </c>
    </row>
    <row r="272" spans="2:5" ht="24">
      <c r="B272" s="139">
        <v>364</v>
      </c>
      <c r="D272" s="127" t="s">
        <v>251</v>
      </c>
      <c r="E272" s="140" t="s">
        <v>761</v>
      </c>
    </row>
    <row r="273" spans="2:5">
      <c r="B273" s="139">
        <v>365</v>
      </c>
      <c r="D273" s="127" t="s">
        <v>252</v>
      </c>
      <c r="E273" s="140" t="s">
        <v>762</v>
      </c>
    </row>
    <row r="274" spans="2:5">
      <c r="B274" s="139">
        <v>366</v>
      </c>
      <c r="D274" s="127" t="s">
        <v>253</v>
      </c>
      <c r="E274" s="140" t="s">
        <v>763</v>
      </c>
    </row>
    <row r="275" spans="2:5">
      <c r="B275" s="139">
        <v>367</v>
      </c>
      <c r="D275" s="127" t="s">
        <v>254</v>
      </c>
      <c r="E275" s="140" t="s">
        <v>571</v>
      </c>
    </row>
    <row r="276" spans="2:5">
      <c r="B276" s="139">
        <v>368</v>
      </c>
      <c r="D276" s="127" t="s">
        <v>255</v>
      </c>
      <c r="E276" s="140" t="s">
        <v>572</v>
      </c>
    </row>
    <row r="277" spans="2:5">
      <c r="B277" s="139">
        <v>369</v>
      </c>
      <c r="D277" s="127" t="s">
        <v>256</v>
      </c>
      <c r="E277" s="140" t="s">
        <v>764</v>
      </c>
    </row>
    <row r="278" spans="2:5">
      <c r="B278" s="139">
        <v>370</v>
      </c>
      <c r="D278" s="127" t="s">
        <v>257</v>
      </c>
      <c r="E278" s="140" t="s">
        <v>573</v>
      </c>
    </row>
    <row r="279" spans="2:5">
      <c r="B279" s="139">
        <v>371</v>
      </c>
      <c r="D279" s="127" t="s">
        <v>258</v>
      </c>
      <c r="E279" s="140" t="s">
        <v>765</v>
      </c>
    </row>
    <row r="280" spans="2:5">
      <c r="B280" s="139">
        <v>372</v>
      </c>
      <c r="D280" s="127" t="s">
        <v>259</v>
      </c>
      <c r="E280" s="140" t="s">
        <v>574</v>
      </c>
    </row>
    <row r="281" spans="2:5">
      <c r="B281" s="139">
        <v>373</v>
      </c>
      <c r="D281" s="127" t="s">
        <v>260</v>
      </c>
      <c r="E281" s="140" t="s">
        <v>575</v>
      </c>
    </row>
    <row r="282" spans="2:5">
      <c r="B282" s="139">
        <v>374</v>
      </c>
      <c r="D282" s="127" t="s">
        <v>261</v>
      </c>
      <c r="E282" s="140" t="s">
        <v>766</v>
      </c>
    </row>
    <row r="283" spans="2:5">
      <c r="B283" s="139">
        <v>375</v>
      </c>
      <c r="D283" s="127" t="s">
        <v>262</v>
      </c>
      <c r="E283" s="140" t="s">
        <v>767</v>
      </c>
    </row>
    <row r="284" spans="2:5">
      <c r="B284" s="139">
        <v>376</v>
      </c>
      <c r="D284" s="127" t="s">
        <v>263</v>
      </c>
      <c r="E284" s="140" t="s">
        <v>768</v>
      </c>
    </row>
    <row r="285" spans="2:5">
      <c r="B285" s="139">
        <v>377</v>
      </c>
      <c r="D285" s="127" t="s">
        <v>264</v>
      </c>
      <c r="E285" s="140" t="s">
        <v>769</v>
      </c>
    </row>
    <row r="286" spans="2:5">
      <c r="B286" s="139">
        <v>378</v>
      </c>
      <c r="D286" s="127" t="s">
        <v>265</v>
      </c>
      <c r="E286" s="140" t="s">
        <v>576</v>
      </c>
    </row>
    <row r="287" spans="2:5">
      <c r="B287" s="139">
        <v>379</v>
      </c>
      <c r="D287" s="127" t="s">
        <v>266</v>
      </c>
      <c r="E287" s="140" t="s">
        <v>946</v>
      </c>
    </row>
    <row r="288" spans="2:5">
      <c r="B288" s="139">
        <v>380</v>
      </c>
      <c r="D288" s="127" t="s">
        <v>267</v>
      </c>
      <c r="E288" s="140" t="s">
        <v>770</v>
      </c>
    </row>
    <row r="289" spans="2:5">
      <c r="B289" s="139">
        <v>381</v>
      </c>
      <c r="D289" s="127" t="s">
        <v>268</v>
      </c>
      <c r="E289" s="140" t="s">
        <v>577</v>
      </c>
    </row>
    <row r="290" spans="2:5" ht="36">
      <c r="B290" s="139">
        <v>382</v>
      </c>
      <c r="D290" s="127" t="s">
        <v>269</v>
      </c>
      <c r="E290" s="140" t="s">
        <v>771</v>
      </c>
    </row>
    <row r="291" spans="2:5">
      <c r="B291" s="139">
        <v>383</v>
      </c>
      <c r="D291" s="127" t="s">
        <v>270</v>
      </c>
      <c r="E291" s="140" t="s">
        <v>772</v>
      </c>
    </row>
    <row r="292" spans="2:5" ht="24">
      <c r="B292" s="139">
        <v>384</v>
      </c>
      <c r="D292" s="127" t="s">
        <v>271</v>
      </c>
      <c r="E292" s="140" t="s">
        <v>773</v>
      </c>
    </row>
    <row r="293" spans="2:5">
      <c r="B293" s="139">
        <v>385</v>
      </c>
      <c r="D293" s="127" t="s">
        <v>272</v>
      </c>
      <c r="E293" s="140" t="s">
        <v>774</v>
      </c>
    </row>
    <row r="294" spans="2:5" ht="24">
      <c r="B294" s="139">
        <v>386</v>
      </c>
      <c r="D294" s="127" t="s">
        <v>273</v>
      </c>
      <c r="E294" s="140" t="s">
        <v>775</v>
      </c>
    </row>
    <row r="295" spans="2:5" ht="24">
      <c r="B295" s="139">
        <v>387</v>
      </c>
      <c r="D295" s="127" t="s">
        <v>274</v>
      </c>
      <c r="E295" s="140" t="s">
        <v>776</v>
      </c>
    </row>
    <row r="296" spans="2:5" ht="24">
      <c r="B296" s="139">
        <v>388</v>
      </c>
      <c r="D296" s="127" t="s">
        <v>275</v>
      </c>
      <c r="E296" s="140" t="s">
        <v>777</v>
      </c>
    </row>
    <row r="297" spans="2:5" ht="24">
      <c r="B297" s="139">
        <v>389</v>
      </c>
      <c r="D297" s="127" t="s">
        <v>276</v>
      </c>
      <c r="E297" s="140" t="s">
        <v>778</v>
      </c>
    </row>
    <row r="298" spans="2:5" ht="24">
      <c r="B298" s="139">
        <v>390</v>
      </c>
      <c r="D298" s="127" t="s">
        <v>277</v>
      </c>
      <c r="E298" s="140" t="s">
        <v>779</v>
      </c>
    </row>
    <row r="299" spans="2:5" ht="24">
      <c r="B299" s="139">
        <v>391</v>
      </c>
      <c r="D299" s="127" t="s">
        <v>278</v>
      </c>
      <c r="E299" s="140" t="s">
        <v>780</v>
      </c>
    </row>
    <row r="300" spans="2:5" ht="24">
      <c r="B300" s="139">
        <v>392</v>
      </c>
      <c r="D300" s="127" t="s">
        <v>279</v>
      </c>
      <c r="E300" s="140" t="s">
        <v>781</v>
      </c>
    </row>
    <row r="301" spans="2:5" ht="24">
      <c r="B301" s="139">
        <v>393</v>
      </c>
      <c r="D301" s="127" t="s">
        <v>280</v>
      </c>
      <c r="E301" s="140" t="s">
        <v>782</v>
      </c>
    </row>
    <row r="302" spans="2:5" ht="24">
      <c r="B302" s="139">
        <v>394</v>
      </c>
      <c r="D302" s="127" t="s">
        <v>281</v>
      </c>
      <c r="E302" s="140" t="s">
        <v>783</v>
      </c>
    </row>
    <row r="303" spans="2:5" ht="24">
      <c r="B303" s="139">
        <v>395</v>
      </c>
      <c r="D303" s="127" t="s">
        <v>282</v>
      </c>
      <c r="E303" s="140" t="s">
        <v>784</v>
      </c>
    </row>
    <row r="304" spans="2:5" ht="24">
      <c r="B304" s="139">
        <v>396</v>
      </c>
      <c r="D304" s="127" t="s">
        <v>283</v>
      </c>
      <c r="E304" s="140" t="s">
        <v>785</v>
      </c>
    </row>
    <row r="305" spans="2:5" ht="24">
      <c r="B305" s="139">
        <v>397</v>
      </c>
      <c r="D305" s="127" t="s">
        <v>284</v>
      </c>
      <c r="E305" s="140" t="s">
        <v>786</v>
      </c>
    </row>
    <row r="306" spans="2:5" ht="24">
      <c r="B306" s="139">
        <v>398</v>
      </c>
      <c r="D306" s="127" t="s">
        <v>285</v>
      </c>
      <c r="E306" s="140" t="s">
        <v>787</v>
      </c>
    </row>
    <row r="307" spans="2:5" ht="24">
      <c r="B307" s="139">
        <v>399</v>
      </c>
      <c r="D307" s="127" t="s">
        <v>286</v>
      </c>
      <c r="E307" s="140" t="s">
        <v>788</v>
      </c>
    </row>
    <row r="308" spans="2:5" ht="24">
      <c r="B308" s="139">
        <v>400</v>
      </c>
      <c r="D308" s="127" t="s">
        <v>287</v>
      </c>
      <c r="E308" s="140" t="s">
        <v>789</v>
      </c>
    </row>
    <row r="309" spans="2:5" ht="24">
      <c r="B309" s="139">
        <v>401</v>
      </c>
      <c r="D309" s="127" t="s">
        <v>288</v>
      </c>
      <c r="E309" s="140" t="s">
        <v>790</v>
      </c>
    </row>
    <row r="310" spans="2:5" ht="24">
      <c r="B310" s="139">
        <v>402</v>
      </c>
      <c r="D310" s="127" t="s">
        <v>289</v>
      </c>
      <c r="E310" s="140" t="s">
        <v>791</v>
      </c>
    </row>
    <row r="311" spans="2:5" ht="24">
      <c r="B311" s="139">
        <v>403</v>
      </c>
      <c r="D311" s="127" t="s">
        <v>290</v>
      </c>
      <c r="E311" s="140" t="s">
        <v>792</v>
      </c>
    </row>
    <row r="312" spans="2:5" ht="24">
      <c r="B312" s="139">
        <v>404</v>
      </c>
      <c r="D312" s="127" t="s">
        <v>291</v>
      </c>
      <c r="E312" s="140" t="s">
        <v>793</v>
      </c>
    </row>
    <row r="313" spans="2:5">
      <c r="B313" s="139">
        <v>405</v>
      </c>
      <c r="D313" s="127" t="s">
        <v>492</v>
      </c>
      <c r="E313" s="140" t="s">
        <v>794</v>
      </c>
    </row>
    <row r="314" spans="2:5">
      <c r="B314" s="139">
        <v>406</v>
      </c>
      <c r="D314" s="127" t="s">
        <v>493</v>
      </c>
      <c r="E314" s="140" t="s">
        <v>794</v>
      </c>
    </row>
    <row r="315" spans="2:5">
      <c r="B315" s="139">
        <v>407</v>
      </c>
      <c r="D315" s="127" t="s">
        <v>292</v>
      </c>
      <c r="E315" s="140" t="s">
        <v>795</v>
      </c>
    </row>
    <row r="316" spans="2:5" ht="24">
      <c r="B316" s="139">
        <v>408</v>
      </c>
      <c r="D316" s="127" t="s">
        <v>293</v>
      </c>
      <c r="E316" s="140" t="s">
        <v>796</v>
      </c>
    </row>
    <row r="317" spans="2:5">
      <c r="B317" s="139">
        <v>409</v>
      </c>
      <c r="D317" s="127" t="s">
        <v>294</v>
      </c>
      <c r="E317" s="140" t="s">
        <v>797</v>
      </c>
    </row>
    <row r="318" spans="2:5" ht="24">
      <c r="B318" s="139">
        <v>410</v>
      </c>
      <c r="D318" s="127" t="s">
        <v>295</v>
      </c>
      <c r="E318" s="140" t="s">
        <v>798</v>
      </c>
    </row>
    <row r="319" spans="2:5">
      <c r="B319" s="139">
        <v>411</v>
      </c>
      <c r="D319" s="127" t="s">
        <v>494</v>
      </c>
      <c r="E319" s="140" t="s">
        <v>799</v>
      </c>
    </row>
    <row r="320" spans="2:5" ht="24">
      <c r="B320" s="139">
        <v>412</v>
      </c>
      <c r="D320" s="127" t="s">
        <v>495</v>
      </c>
      <c r="E320" s="140" t="s">
        <v>800</v>
      </c>
    </row>
    <row r="321" spans="1:6">
      <c r="B321" s="139">
        <v>413</v>
      </c>
      <c r="D321" s="127" t="s">
        <v>296</v>
      </c>
      <c r="E321" s="140" t="s">
        <v>801</v>
      </c>
    </row>
    <row r="322" spans="1:6" ht="24">
      <c r="B322" s="139">
        <v>414</v>
      </c>
      <c r="D322" s="127" t="s">
        <v>297</v>
      </c>
      <c r="E322" s="140" t="s">
        <v>802</v>
      </c>
    </row>
    <row r="323" spans="1:6">
      <c r="B323" s="139">
        <v>415</v>
      </c>
      <c r="D323" s="127" t="s">
        <v>298</v>
      </c>
      <c r="E323" s="140" t="s">
        <v>803</v>
      </c>
    </row>
    <row r="324" spans="1:6" ht="36">
      <c r="B324" s="139">
        <v>416</v>
      </c>
      <c r="D324" s="127" t="s">
        <v>299</v>
      </c>
      <c r="E324" s="140" t="s">
        <v>804</v>
      </c>
    </row>
    <row r="325" spans="1:6">
      <c r="B325" s="139">
        <v>417</v>
      </c>
      <c r="D325" s="127" t="s">
        <v>300</v>
      </c>
      <c r="E325" s="140" t="s">
        <v>805</v>
      </c>
    </row>
    <row r="326" spans="1:6" ht="24">
      <c r="B326" s="139">
        <v>418</v>
      </c>
      <c r="D326" s="127" t="s">
        <v>301</v>
      </c>
      <c r="E326" s="140" t="s">
        <v>806</v>
      </c>
    </row>
    <row r="327" spans="1:6" ht="24">
      <c r="B327" s="139">
        <v>419</v>
      </c>
      <c r="D327" s="127" t="s">
        <v>302</v>
      </c>
      <c r="E327" s="140" t="s">
        <v>807</v>
      </c>
    </row>
    <row r="328" spans="1:6" ht="24">
      <c r="B328" s="139">
        <v>420</v>
      </c>
      <c r="D328" s="127" t="s">
        <v>303</v>
      </c>
      <c r="E328" s="140" t="s">
        <v>808</v>
      </c>
    </row>
    <row r="329" spans="1:6">
      <c r="B329" s="139">
        <v>421</v>
      </c>
      <c r="D329" s="127" t="s">
        <v>304</v>
      </c>
      <c r="E329" s="140" t="s">
        <v>809</v>
      </c>
    </row>
    <row r="330" spans="1:6">
      <c r="B330" s="139">
        <v>422</v>
      </c>
      <c r="D330" s="127" t="s">
        <v>305</v>
      </c>
      <c r="E330" s="140" t="s">
        <v>810</v>
      </c>
    </row>
    <row r="331" spans="1:6">
      <c r="B331" s="139">
        <v>423</v>
      </c>
      <c r="D331" s="127" t="s">
        <v>306</v>
      </c>
      <c r="E331" s="140" t="s">
        <v>811</v>
      </c>
    </row>
    <row r="332" spans="1:6">
      <c r="B332" s="139">
        <v>424</v>
      </c>
      <c r="D332" s="127" t="s">
        <v>307</v>
      </c>
      <c r="E332" s="140" t="s">
        <v>812</v>
      </c>
    </row>
    <row r="333" spans="1:6">
      <c r="B333" s="139">
        <v>425</v>
      </c>
      <c r="D333" s="127" t="s">
        <v>308</v>
      </c>
      <c r="E333" s="140" t="s">
        <v>813</v>
      </c>
    </row>
    <row r="334" spans="1:6">
      <c r="B334" s="139">
        <v>426</v>
      </c>
      <c r="D334" s="127" t="s">
        <v>309</v>
      </c>
      <c r="E334" s="140" t="s">
        <v>814</v>
      </c>
    </row>
    <row r="335" spans="1:6">
      <c r="B335" s="139">
        <v>427</v>
      </c>
      <c r="D335" s="127" t="s">
        <v>496</v>
      </c>
      <c r="E335" s="140" t="s">
        <v>815</v>
      </c>
    </row>
    <row r="336" spans="1:6" ht="38.25">
      <c r="A336" s="134"/>
      <c r="B336" s="139">
        <v>428</v>
      </c>
      <c r="C336" s="137" t="s">
        <v>911</v>
      </c>
      <c r="D336" s="134" t="s">
        <v>947</v>
      </c>
      <c r="E336" s="134" t="s">
        <v>948</v>
      </c>
      <c r="F336" s="135"/>
    </row>
    <row r="337" spans="2:5" ht="36">
      <c r="B337" s="139">
        <v>429</v>
      </c>
      <c r="D337" s="127" t="s">
        <v>310</v>
      </c>
      <c r="E337" s="140" t="s">
        <v>816</v>
      </c>
    </row>
    <row r="338" spans="2:5">
      <c r="B338" s="139">
        <v>430</v>
      </c>
      <c r="D338" s="127" t="s">
        <v>311</v>
      </c>
      <c r="E338" s="140" t="s">
        <v>817</v>
      </c>
    </row>
    <row r="339" spans="2:5">
      <c r="B339" s="139">
        <v>431</v>
      </c>
      <c r="D339" s="127" t="s">
        <v>312</v>
      </c>
      <c r="E339" s="140" t="s">
        <v>818</v>
      </c>
    </row>
    <row r="340" spans="2:5">
      <c r="B340" s="139">
        <v>432</v>
      </c>
      <c r="D340" s="127" t="s">
        <v>313</v>
      </c>
      <c r="E340" s="140" t="s">
        <v>819</v>
      </c>
    </row>
    <row r="341" spans="2:5" ht="24">
      <c r="B341" s="139">
        <v>433</v>
      </c>
      <c r="D341" s="127" t="s">
        <v>314</v>
      </c>
      <c r="E341" s="140" t="s">
        <v>820</v>
      </c>
    </row>
    <row r="342" spans="2:5">
      <c r="B342" s="139">
        <v>434</v>
      </c>
      <c r="D342" s="127" t="s">
        <v>315</v>
      </c>
      <c r="E342" s="140" t="s">
        <v>821</v>
      </c>
    </row>
    <row r="343" spans="2:5">
      <c r="B343" s="139">
        <v>435</v>
      </c>
      <c r="D343" s="127" t="s">
        <v>316</v>
      </c>
      <c r="E343" s="140" t="s">
        <v>822</v>
      </c>
    </row>
    <row r="344" spans="2:5">
      <c r="B344" s="139">
        <v>436</v>
      </c>
      <c r="D344" s="127" t="s">
        <v>317</v>
      </c>
      <c r="E344" s="140" t="s">
        <v>823</v>
      </c>
    </row>
    <row r="345" spans="2:5">
      <c r="B345" s="139">
        <v>437</v>
      </c>
      <c r="D345" s="127" t="s">
        <v>318</v>
      </c>
      <c r="E345" s="140" t="s">
        <v>824</v>
      </c>
    </row>
    <row r="346" spans="2:5">
      <c r="B346" s="139">
        <v>438</v>
      </c>
      <c r="D346" s="127" t="s">
        <v>497</v>
      </c>
      <c r="E346" s="140" t="s">
        <v>825</v>
      </c>
    </row>
    <row r="347" spans="2:5">
      <c r="B347" s="139">
        <v>439</v>
      </c>
      <c r="D347" s="127" t="s">
        <v>319</v>
      </c>
      <c r="E347" s="140" t="s">
        <v>826</v>
      </c>
    </row>
    <row r="348" spans="2:5">
      <c r="B348" s="139">
        <v>440</v>
      </c>
      <c r="D348" s="127" t="s">
        <v>498</v>
      </c>
      <c r="E348" s="140" t="s">
        <v>827</v>
      </c>
    </row>
    <row r="349" spans="2:5" ht="24">
      <c r="B349" s="139">
        <v>441</v>
      </c>
      <c r="D349" s="127" t="s">
        <v>320</v>
      </c>
      <c r="E349" s="140" t="s">
        <v>828</v>
      </c>
    </row>
    <row r="350" spans="2:5">
      <c r="B350" s="139">
        <v>442</v>
      </c>
      <c r="D350" s="127" t="s">
        <v>321</v>
      </c>
      <c r="E350" s="140" t="s">
        <v>829</v>
      </c>
    </row>
    <row r="351" spans="2:5">
      <c r="B351" s="139">
        <v>443</v>
      </c>
      <c r="D351" s="127" t="s">
        <v>322</v>
      </c>
      <c r="E351" s="140" t="s">
        <v>830</v>
      </c>
    </row>
    <row r="352" spans="2:5">
      <c r="B352" s="139">
        <v>444</v>
      </c>
      <c r="D352" s="127" t="s">
        <v>323</v>
      </c>
      <c r="E352" s="140" t="s">
        <v>831</v>
      </c>
    </row>
    <row r="353" spans="2:5" ht="36">
      <c r="B353" s="139">
        <v>445</v>
      </c>
      <c r="D353" s="127" t="s">
        <v>390</v>
      </c>
      <c r="E353" s="140" t="s">
        <v>832</v>
      </c>
    </row>
    <row r="354" spans="2:5">
      <c r="B354" s="139">
        <v>446</v>
      </c>
      <c r="D354" s="127" t="s">
        <v>324</v>
      </c>
      <c r="E354" s="140" t="s">
        <v>833</v>
      </c>
    </row>
    <row r="355" spans="2:5">
      <c r="B355" s="139">
        <v>447</v>
      </c>
      <c r="D355" s="127" t="s">
        <v>325</v>
      </c>
      <c r="E355" s="140" t="s">
        <v>834</v>
      </c>
    </row>
    <row r="356" spans="2:5">
      <c r="B356" s="139">
        <v>448</v>
      </c>
      <c r="D356" s="127" t="s">
        <v>326</v>
      </c>
      <c r="E356" s="140" t="s">
        <v>835</v>
      </c>
    </row>
    <row r="357" spans="2:5">
      <c r="B357" s="139">
        <v>449</v>
      </c>
      <c r="D357" s="127" t="s">
        <v>327</v>
      </c>
      <c r="E357" s="140" t="s">
        <v>836</v>
      </c>
    </row>
    <row r="358" spans="2:5">
      <c r="B358" s="139">
        <v>450</v>
      </c>
      <c r="D358" s="127" t="s">
        <v>328</v>
      </c>
      <c r="E358" s="140" t="s">
        <v>837</v>
      </c>
    </row>
    <row r="359" spans="2:5" ht="24">
      <c r="B359" s="139">
        <v>451</v>
      </c>
      <c r="D359" s="127" t="s">
        <v>329</v>
      </c>
      <c r="E359" s="140" t="s">
        <v>838</v>
      </c>
    </row>
    <row r="360" spans="2:5">
      <c r="B360" s="139">
        <v>452</v>
      </c>
      <c r="D360" s="127" t="s">
        <v>330</v>
      </c>
      <c r="E360" s="140" t="s">
        <v>839</v>
      </c>
    </row>
    <row r="361" spans="2:5">
      <c r="B361" s="139">
        <v>453</v>
      </c>
      <c r="D361" s="127" t="s">
        <v>331</v>
      </c>
      <c r="E361" s="140" t="s">
        <v>840</v>
      </c>
    </row>
    <row r="362" spans="2:5">
      <c r="B362" s="139">
        <v>454</v>
      </c>
      <c r="D362" s="127" t="s">
        <v>332</v>
      </c>
      <c r="E362" s="140" t="s">
        <v>841</v>
      </c>
    </row>
    <row r="363" spans="2:5" ht="24">
      <c r="B363" s="139">
        <v>455</v>
      </c>
      <c r="D363" s="127" t="s">
        <v>499</v>
      </c>
      <c r="E363" s="140" t="s">
        <v>842</v>
      </c>
    </row>
    <row r="364" spans="2:5">
      <c r="B364" s="139">
        <v>456</v>
      </c>
      <c r="D364" s="127" t="s">
        <v>333</v>
      </c>
      <c r="E364" s="140" t="s">
        <v>578</v>
      </c>
    </row>
    <row r="365" spans="2:5">
      <c r="B365" s="139">
        <v>457</v>
      </c>
      <c r="D365" s="127" t="s">
        <v>334</v>
      </c>
      <c r="E365" s="140" t="s">
        <v>843</v>
      </c>
    </row>
    <row r="366" spans="2:5">
      <c r="B366" s="139">
        <v>458</v>
      </c>
      <c r="D366" s="127" t="s">
        <v>335</v>
      </c>
      <c r="E366" s="140" t="s">
        <v>844</v>
      </c>
    </row>
    <row r="367" spans="2:5">
      <c r="B367" s="139">
        <v>459</v>
      </c>
      <c r="D367" s="127" t="s">
        <v>500</v>
      </c>
      <c r="E367" s="140" t="s">
        <v>845</v>
      </c>
    </row>
    <row r="368" spans="2:5" ht="36">
      <c r="B368" s="139">
        <v>460</v>
      </c>
      <c r="D368" s="127" t="s">
        <v>501</v>
      </c>
      <c r="E368" s="140" t="s">
        <v>846</v>
      </c>
    </row>
    <row r="369" spans="1:6">
      <c r="B369" s="139">
        <v>461</v>
      </c>
      <c r="D369" s="127" t="s">
        <v>336</v>
      </c>
      <c r="E369" s="140" t="s">
        <v>579</v>
      </c>
    </row>
    <row r="370" spans="1:6">
      <c r="B370" s="139">
        <v>462</v>
      </c>
      <c r="D370" s="127" t="s">
        <v>337</v>
      </c>
      <c r="E370" s="140" t="s">
        <v>847</v>
      </c>
    </row>
    <row r="371" spans="1:6">
      <c r="B371" s="139">
        <v>463</v>
      </c>
      <c r="D371" s="127" t="s">
        <v>338</v>
      </c>
      <c r="E371" s="140" t="s">
        <v>848</v>
      </c>
    </row>
    <row r="372" spans="1:6" ht="36">
      <c r="B372" s="139">
        <v>464</v>
      </c>
      <c r="D372" s="127" t="s">
        <v>339</v>
      </c>
      <c r="E372" s="140" t="s">
        <v>849</v>
      </c>
    </row>
    <row r="373" spans="1:6">
      <c r="B373" s="139">
        <v>465</v>
      </c>
      <c r="D373" s="127" t="s">
        <v>340</v>
      </c>
      <c r="E373" s="140" t="s">
        <v>850</v>
      </c>
    </row>
    <row r="374" spans="1:6">
      <c r="A374" s="129"/>
      <c r="B374" s="139">
        <v>466</v>
      </c>
      <c r="C374" s="138" t="s">
        <v>510</v>
      </c>
      <c r="D374" s="128" t="s">
        <v>891</v>
      </c>
      <c r="E374" s="128" t="s">
        <v>949</v>
      </c>
      <c r="F374" s="130"/>
    </row>
    <row r="375" spans="1:6">
      <c r="A375" s="129"/>
      <c r="B375" s="139">
        <v>467</v>
      </c>
      <c r="C375" s="138" t="s">
        <v>510</v>
      </c>
      <c r="D375" s="128" t="s">
        <v>950</v>
      </c>
      <c r="E375" s="128" t="s">
        <v>892</v>
      </c>
      <c r="F375" s="130"/>
    </row>
    <row r="376" spans="1:6" ht="12.75">
      <c r="B376" s="139">
        <v>468</v>
      </c>
      <c r="D376" s="127" t="s">
        <v>341</v>
      </c>
      <c r="E376" s="148" t="s">
        <v>898</v>
      </c>
    </row>
    <row r="377" spans="1:6">
      <c r="B377" s="139">
        <v>469</v>
      </c>
      <c r="D377" s="127" t="s">
        <v>342</v>
      </c>
      <c r="E377" s="140" t="s">
        <v>851</v>
      </c>
    </row>
    <row r="378" spans="1:6">
      <c r="B378" s="139">
        <v>470</v>
      </c>
      <c r="D378" s="127" t="s">
        <v>343</v>
      </c>
      <c r="E378" s="140" t="s">
        <v>580</v>
      </c>
    </row>
    <row r="379" spans="1:6" ht="24">
      <c r="B379" s="139">
        <v>471</v>
      </c>
      <c r="D379" s="127" t="s">
        <v>344</v>
      </c>
      <c r="E379" s="140" t="s">
        <v>852</v>
      </c>
    </row>
    <row r="380" spans="1:6">
      <c r="B380" s="139">
        <v>472</v>
      </c>
      <c r="D380" s="127" t="s">
        <v>345</v>
      </c>
      <c r="E380" s="140" t="s">
        <v>581</v>
      </c>
    </row>
    <row r="381" spans="1:6" ht="24">
      <c r="B381" s="139">
        <v>473</v>
      </c>
      <c r="D381" s="127" t="s">
        <v>346</v>
      </c>
      <c r="E381" s="140" t="s">
        <v>853</v>
      </c>
    </row>
    <row r="382" spans="1:6">
      <c r="B382" s="139">
        <v>474</v>
      </c>
      <c r="D382" s="127" t="s">
        <v>347</v>
      </c>
      <c r="E382" s="140" t="s">
        <v>582</v>
      </c>
    </row>
    <row r="383" spans="1:6">
      <c r="B383" s="139">
        <v>475</v>
      </c>
      <c r="D383" s="127" t="s">
        <v>348</v>
      </c>
      <c r="E383" s="140" t="s">
        <v>854</v>
      </c>
    </row>
    <row r="384" spans="1:6">
      <c r="B384" s="139">
        <v>476</v>
      </c>
      <c r="D384" s="127" t="s">
        <v>349</v>
      </c>
      <c r="E384" s="140" t="s">
        <v>855</v>
      </c>
    </row>
    <row r="385" spans="2:5">
      <c r="B385" s="139">
        <v>477</v>
      </c>
      <c r="D385" s="127" t="s">
        <v>350</v>
      </c>
      <c r="E385" s="140" t="s">
        <v>856</v>
      </c>
    </row>
    <row r="386" spans="2:5">
      <c r="B386" s="139">
        <v>478</v>
      </c>
      <c r="D386" s="127" t="s">
        <v>351</v>
      </c>
      <c r="E386" s="140" t="s">
        <v>857</v>
      </c>
    </row>
    <row r="387" spans="2:5">
      <c r="B387" s="139">
        <v>479</v>
      </c>
      <c r="D387" s="127" t="s">
        <v>352</v>
      </c>
      <c r="E387" s="140" t="s">
        <v>858</v>
      </c>
    </row>
    <row r="388" spans="2:5">
      <c r="B388" s="139">
        <v>480</v>
      </c>
      <c r="D388" s="127" t="s">
        <v>353</v>
      </c>
      <c r="E388" s="140" t="s">
        <v>353</v>
      </c>
    </row>
    <row r="389" spans="2:5">
      <c r="B389" s="139">
        <v>481</v>
      </c>
      <c r="D389" s="127" t="s">
        <v>502</v>
      </c>
      <c r="E389" s="140" t="s">
        <v>859</v>
      </c>
    </row>
    <row r="390" spans="2:5" ht="24">
      <c r="B390" s="139">
        <v>482</v>
      </c>
      <c r="D390" s="127" t="s">
        <v>354</v>
      </c>
      <c r="E390" s="140" t="s">
        <v>860</v>
      </c>
    </row>
    <row r="391" spans="2:5">
      <c r="B391" s="139">
        <v>483</v>
      </c>
      <c r="D391" s="127" t="s">
        <v>355</v>
      </c>
      <c r="E391" s="140" t="s">
        <v>355</v>
      </c>
    </row>
    <row r="392" spans="2:5">
      <c r="B392" s="139">
        <v>484</v>
      </c>
      <c r="D392" s="127" t="s">
        <v>503</v>
      </c>
    </row>
    <row r="393" spans="2:5">
      <c r="B393" s="139">
        <v>485</v>
      </c>
      <c r="D393" s="127" t="s">
        <v>356</v>
      </c>
      <c r="E393" s="140" t="s">
        <v>583</v>
      </c>
    </row>
    <row r="394" spans="2:5">
      <c r="B394" s="139">
        <v>486</v>
      </c>
      <c r="D394" s="127" t="s">
        <v>504</v>
      </c>
      <c r="E394" s="140" t="s">
        <v>584</v>
      </c>
    </row>
    <row r="395" spans="2:5">
      <c r="B395" s="139">
        <v>487</v>
      </c>
      <c r="D395" s="127" t="s">
        <v>505</v>
      </c>
      <c r="E395" s="140" t="s">
        <v>585</v>
      </c>
    </row>
    <row r="396" spans="2:5">
      <c r="B396" s="139">
        <v>488</v>
      </c>
      <c r="D396" s="127" t="s">
        <v>506</v>
      </c>
      <c r="E396" s="140" t="s">
        <v>584</v>
      </c>
    </row>
    <row r="397" spans="2:5">
      <c r="B397" s="139">
        <v>489</v>
      </c>
      <c r="D397" s="127" t="s">
        <v>357</v>
      </c>
      <c r="E397" s="140" t="s">
        <v>586</v>
      </c>
    </row>
    <row r="398" spans="2:5">
      <c r="B398" s="139">
        <v>490</v>
      </c>
      <c r="D398" s="127" t="s">
        <v>358</v>
      </c>
      <c r="E398" s="140" t="s">
        <v>861</v>
      </c>
    </row>
    <row r="399" spans="2:5">
      <c r="B399" s="139">
        <v>491</v>
      </c>
      <c r="D399" s="127" t="s">
        <v>359</v>
      </c>
      <c r="E399" s="140" t="s">
        <v>862</v>
      </c>
    </row>
    <row r="400" spans="2:5">
      <c r="B400" s="139">
        <v>492</v>
      </c>
      <c r="D400" s="127" t="s">
        <v>360</v>
      </c>
      <c r="E400" s="140" t="s">
        <v>587</v>
      </c>
    </row>
    <row r="401" spans="1:6">
      <c r="B401" s="139">
        <v>493</v>
      </c>
      <c r="D401" s="127" t="s">
        <v>361</v>
      </c>
    </row>
    <row r="402" spans="1:6">
      <c r="B402" s="139">
        <v>494</v>
      </c>
      <c r="D402" s="127" t="s">
        <v>362</v>
      </c>
    </row>
    <row r="403" spans="1:6">
      <c r="B403" s="139">
        <v>495</v>
      </c>
      <c r="D403" s="127" t="s">
        <v>363</v>
      </c>
      <c r="E403" s="140" t="s">
        <v>863</v>
      </c>
    </row>
    <row r="404" spans="1:6">
      <c r="B404" s="139">
        <v>496</v>
      </c>
      <c r="D404" s="127" t="s">
        <v>507</v>
      </c>
      <c r="E404" s="140" t="s">
        <v>864</v>
      </c>
    </row>
    <row r="405" spans="1:6">
      <c r="B405" s="139">
        <v>497</v>
      </c>
      <c r="D405" s="127" t="s">
        <v>364</v>
      </c>
      <c r="E405" s="140" t="s">
        <v>865</v>
      </c>
    </row>
    <row r="406" spans="1:6">
      <c r="B406" s="139">
        <v>498</v>
      </c>
      <c r="D406" s="127" t="s">
        <v>430</v>
      </c>
      <c r="E406" s="140" t="s">
        <v>866</v>
      </c>
    </row>
    <row r="407" spans="1:6">
      <c r="B407" s="139">
        <v>499</v>
      </c>
      <c r="D407" s="127" t="s">
        <v>365</v>
      </c>
      <c r="E407" s="140" t="s">
        <v>865</v>
      </c>
    </row>
    <row r="408" spans="1:6" ht="25.5">
      <c r="A408" s="134"/>
      <c r="B408" s="139">
        <v>500</v>
      </c>
      <c r="C408" s="134"/>
      <c r="D408" s="134" t="s">
        <v>951</v>
      </c>
      <c r="E408" s="134" t="s">
        <v>952</v>
      </c>
      <c r="F408" s="135"/>
    </row>
    <row r="409" spans="1:6">
      <c r="B409" s="139">
        <v>501</v>
      </c>
      <c r="D409" s="127" t="s">
        <v>366</v>
      </c>
      <c r="E409" s="140" t="s">
        <v>366</v>
      </c>
    </row>
    <row r="410" spans="1:6">
      <c r="B410" s="139">
        <v>502</v>
      </c>
      <c r="D410" s="127" t="s">
        <v>367</v>
      </c>
      <c r="E410" s="140" t="s">
        <v>867</v>
      </c>
    </row>
    <row r="411" spans="1:6">
      <c r="B411" s="139">
        <v>503</v>
      </c>
      <c r="D411" s="127" t="s">
        <v>368</v>
      </c>
      <c r="E411" s="140" t="s">
        <v>868</v>
      </c>
    </row>
    <row r="412" spans="1:6">
      <c r="B412" s="139">
        <v>504</v>
      </c>
      <c r="D412" s="127" t="s">
        <v>508</v>
      </c>
      <c r="E412" s="140" t="s">
        <v>869</v>
      </c>
    </row>
    <row r="413" spans="1:6">
      <c r="B413" s="139">
        <v>505</v>
      </c>
      <c r="D413" s="127" t="s">
        <v>369</v>
      </c>
      <c r="E413" s="140" t="s">
        <v>870</v>
      </c>
    </row>
    <row r="414" spans="1:6">
      <c r="B414" s="139">
        <v>506</v>
      </c>
      <c r="D414" s="127" t="s">
        <v>370</v>
      </c>
      <c r="E414" s="140" t="s">
        <v>871</v>
      </c>
    </row>
    <row r="415" spans="1:6">
      <c r="B415" s="139">
        <v>507</v>
      </c>
      <c r="D415" s="127" t="s">
        <v>371</v>
      </c>
      <c r="E415" s="140" t="s">
        <v>872</v>
      </c>
    </row>
    <row r="416" spans="1:6">
      <c r="B416" s="139">
        <v>508</v>
      </c>
      <c r="D416" s="127" t="s">
        <v>509</v>
      </c>
      <c r="E416" s="140" t="s">
        <v>873</v>
      </c>
    </row>
    <row r="417" spans="1:6" ht="24">
      <c r="B417" s="139">
        <v>509</v>
      </c>
      <c r="D417" s="127" t="s">
        <v>372</v>
      </c>
      <c r="E417" s="140" t="s">
        <v>874</v>
      </c>
    </row>
    <row r="418" spans="1:6">
      <c r="B418" s="139">
        <v>510</v>
      </c>
      <c r="D418" s="127" t="s">
        <v>373</v>
      </c>
      <c r="E418" s="140" t="s">
        <v>872</v>
      </c>
    </row>
    <row r="419" spans="1:6">
      <c r="B419" s="139">
        <v>511</v>
      </c>
      <c r="D419" s="127" t="s">
        <v>374</v>
      </c>
      <c r="E419" s="140" t="s">
        <v>875</v>
      </c>
    </row>
    <row r="420" spans="1:6">
      <c r="B420" s="139">
        <v>512</v>
      </c>
      <c r="D420" s="127" t="s">
        <v>375</v>
      </c>
      <c r="E420" s="140" t="s">
        <v>876</v>
      </c>
    </row>
    <row r="421" spans="1:6">
      <c r="B421" s="139">
        <v>513</v>
      </c>
      <c r="D421" s="127" t="s">
        <v>376</v>
      </c>
      <c r="E421" s="140" t="s">
        <v>877</v>
      </c>
    </row>
    <row r="422" spans="1:6" s="134" customFormat="1" ht="12.75">
      <c r="A422" s="126"/>
      <c r="B422" s="139">
        <v>514</v>
      </c>
      <c r="C422" s="136"/>
      <c r="D422" s="127" t="s">
        <v>377</v>
      </c>
      <c r="E422" s="140" t="s">
        <v>878</v>
      </c>
      <c r="F422" s="126"/>
    </row>
    <row r="423" spans="1:6" s="134" customFormat="1" ht="12.75">
      <c r="A423" s="126"/>
      <c r="B423" s="139">
        <v>515</v>
      </c>
      <c r="C423" s="136"/>
      <c r="D423" s="127" t="s">
        <v>378</v>
      </c>
      <c r="E423" s="140" t="s">
        <v>879</v>
      </c>
      <c r="F423" s="126"/>
    </row>
    <row r="424" spans="1:6" s="129" customFormat="1">
      <c r="A424" s="126"/>
      <c r="B424" s="139">
        <v>516</v>
      </c>
      <c r="C424" s="136"/>
      <c r="D424" s="127" t="s">
        <v>379</v>
      </c>
      <c r="E424" s="140" t="s">
        <v>871</v>
      </c>
      <c r="F424" s="126"/>
    </row>
    <row r="425" spans="1:6" s="129" customFormat="1" ht="24">
      <c r="A425" s="126"/>
      <c r="B425" s="139">
        <v>517</v>
      </c>
      <c r="C425" s="136"/>
      <c r="D425" s="127" t="s">
        <v>380</v>
      </c>
      <c r="E425" s="140" t="s">
        <v>880</v>
      </c>
      <c r="F425" s="126"/>
    </row>
    <row r="426" spans="1:6" s="129" customFormat="1" ht="36">
      <c r="A426" s="126"/>
      <c r="B426" s="139">
        <v>518</v>
      </c>
      <c r="C426" s="136"/>
      <c r="D426" s="127" t="s">
        <v>381</v>
      </c>
      <c r="E426" s="140" t="s">
        <v>881</v>
      </c>
      <c r="F426" s="126"/>
    </row>
    <row r="427" spans="1:6" s="129" customFormat="1">
      <c r="A427" s="126"/>
      <c r="B427" s="139">
        <v>519</v>
      </c>
      <c r="C427" s="136"/>
      <c r="D427" s="127" t="s">
        <v>382</v>
      </c>
      <c r="E427" s="140" t="s">
        <v>882</v>
      </c>
      <c r="F427" s="126"/>
    </row>
    <row r="428" spans="1:6" s="129" customFormat="1" ht="36">
      <c r="A428" s="126"/>
      <c r="B428" s="139">
        <v>520</v>
      </c>
      <c r="C428" s="136"/>
      <c r="D428" s="127" t="s">
        <v>383</v>
      </c>
      <c r="E428" s="140" t="s">
        <v>883</v>
      </c>
      <c r="F428" s="126"/>
    </row>
    <row r="429" spans="1:6" s="129" customFormat="1">
      <c r="A429" s="126"/>
      <c r="B429" s="139">
        <v>521</v>
      </c>
      <c r="C429" s="136"/>
      <c r="D429" s="127" t="s">
        <v>384</v>
      </c>
      <c r="E429" s="140" t="s">
        <v>884</v>
      </c>
      <c r="F429" s="126"/>
    </row>
    <row r="430" spans="1:6" s="129" customFormat="1">
      <c r="A430" s="126"/>
      <c r="B430" s="139">
        <v>522</v>
      </c>
      <c r="C430" s="136"/>
      <c r="D430" s="127" t="s">
        <v>385</v>
      </c>
      <c r="E430" s="140" t="s">
        <v>885</v>
      </c>
      <c r="F430" s="126"/>
    </row>
    <row r="431" spans="1:6" s="129" customFormat="1">
      <c r="A431" s="126"/>
      <c r="B431" s="139">
        <v>523</v>
      </c>
      <c r="C431" s="136"/>
      <c r="D431" s="127" t="s">
        <v>386</v>
      </c>
      <c r="E431" s="140" t="s">
        <v>886</v>
      </c>
      <c r="F431" s="126"/>
    </row>
    <row r="432" spans="1:6" s="129" customFormat="1">
      <c r="A432" s="126"/>
      <c r="B432" s="139">
        <v>524</v>
      </c>
      <c r="C432" s="136"/>
      <c r="D432" s="127" t="s">
        <v>387</v>
      </c>
      <c r="E432" s="140" t="s">
        <v>887</v>
      </c>
      <c r="F432" s="126"/>
    </row>
    <row r="433" spans="1:6" s="129" customFormat="1">
      <c r="A433" s="126"/>
      <c r="B433" s="139">
        <v>525</v>
      </c>
      <c r="C433" s="136"/>
      <c r="D433" s="127" t="s">
        <v>388</v>
      </c>
      <c r="E433" s="140" t="s">
        <v>888</v>
      </c>
      <c r="F433" s="126"/>
    </row>
    <row r="434" spans="1:6" s="129" customFormat="1">
      <c r="A434" s="126"/>
      <c r="B434" s="139">
        <v>526</v>
      </c>
      <c r="C434" s="136"/>
      <c r="D434" s="127" t="s">
        <v>389</v>
      </c>
      <c r="E434" s="140" t="s">
        <v>889</v>
      </c>
      <c r="F434" s="126"/>
    </row>
    <row r="435" spans="1:6">
      <c r="B435" s="139">
        <v>527</v>
      </c>
      <c r="D435" s="127" t="s">
        <v>954</v>
      </c>
      <c r="E435" s="140" t="s">
        <v>959</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81"/>
  <sheetViews>
    <sheetView topLeftCell="A94" zoomScale="85" zoomScaleNormal="85" workbookViewId="0">
      <selection activeCell="H177" sqref="H177"/>
    </sheetView>
  </sheetViews>
  <sheetFormatPr defaultColWidth="9.75" defaultRowHeight="14.25"/>
  <cols>
    <col min="1" max="1" width="9.75" style="93"/>
    <col min="2" max="2" width="9.75" style="94"/>
    <col min="3" max="4" width="9.75" style="95"/>
    <col min="5" max="5" width="9.75" style="94"/>
    <col min="6" max="16384" width="9.75" style="92"/>
  </cols>
  <sheetData>
    <row r="1" spans="1:8">
      <c r="A1" s="89" t="s">
        <v>391</v>
      </c>
      <c r="B1" s="89" t="s">
        <v>392</v>
      </c>
      <c r="C1" s="90" t="s">
        <v>393</v>
      </c>
      <c r="D1" s="90" t="s">
        <v>394</v>
      </c>
      <c r="E1" s="89" t="s">
        <v>395</v>
      </c>
      <c r="F1" s="91" t="s">
        <v>396</v>
      </c>
      <c r="G1" s="91" t="s">
        <v>397</v>
      </c>
      <c r="H1" s="91" t="s">
        <v>398</v>
      </c>
    </row>
    <row r="2" spans="1:8">
      <c r="A2" s="93" t="s">
        <v>955</v>
      </c>
      <c r="B2" s="94" t="s">
        <v>1018</v>
      </c>
      <c r="C2" s="95" t="s">
        <v>1261</v>
      </c>
      <c r="D2" s="95">
        <v>43647</v>
      </c>
      <c r="E2" s="96">
        <v>43647</v>
      </c>
      <c r="F2" s="95">
        <v>43647</v>
      </c>
      <c r="G2" s="95">
        <v>43652</v>
      </c>
      <c r="H2" s="92">
        <v>1</v>
      </c>
    </row>
    <row r="3" spans="1:8">
      <c r="A3" s="93" t="s">
        <v>957</v>
      </c>
      <c r="B3" s="94" t="s">
        <v>1019</v>
      </c>
      <c r="C3" s="95" t="s">
        <v>1261</v>
      </c>
      <c r="D3" s="95">
        <v>43647</v>
      </c>
      <c r="E3" s="96">
        <v>43647</v>
      </c>
      <c r="F3" s="95">
        <v>43647</v>
      </c>
      <c r="G3" s="95">
        <v>43652</v>
      </c>
      <c r="H3" s="92">
        <v>1</v>
      </c>
    </row>
    <row r="4" spans="1:8">
      <c r="A4" s="93" t="s">
        <v>981</v>
      </c>
      <c r="B4" s="94" t="s">
        <v>1020</v>
      </c>
      <c r="C4" s="95" t="s">
        <v>1261</v>
      </c>
      <c r="D4" s="95">
        <v>43648</v>
      </c>
      <c r="E4" s="96">
        <v>43648</v>
      </c>
      <c r="F4" s="95">
        <v>43647</v>
      </c>
      <c r="G4" s="95">
        <v>43652</v>
      </c>
      <c r="H4" s="92">
        <v>1</v>
      </c>
    </row>
    <row r="5" spans="1:8">
      <c r="A5" s="93" t="s">
        <v>958</v>
      </c>
      <c r="B5" s="94" t="s">
        <v>1021</v>
      </c>
      <c r="C5" s="95" t="s">
        <v>1261</v>
      </c>
      <c r="D5" s="95">
        <v>43648</v>
      </c>
      <c r="E5" s="96">
        <v>43648</v>
      </c>
      <c r="F5" s="95">
        <v>43647</v>
      </c>
      <c r="G5" s="95">
        <v>43652</v>
      </c>
      <c r="H5" s="92">
        <v>1</v>
      </c>
    </row>
    <row r="6" spans="1:8">
      <c r="A6" s="93" t="s">
        <v>983</v>
      </c>
      <c r="B6" s="94" t="s">
        <v>1022</v>
      </c>
      <c r="C6" s="95" t="s">
        <v>1261</v>
      </c>
      <c r="D6" s="95">
        <v>43648</v>
      </c>
      <c r="E6" s="96">
        <v>43648</v>
      </c>
      <c r="F6" s="95">
        <v>43647</v>
      </c>
      <c r="G6" s="95">
        <v>43652</v>
      </c>
      <c r="H6" s="92">
        <v>1</v>
      </c>
    </row>
    <row r="7" spans="1:8">
      <c r="A7" s="93" t="s">
        <v>1037</v>
      </c>
      <c r="B7" s="94" t="s">
        <v>1029</v>
      </c>
      <c r="C7" s="95" t="s">
        <v>1261</v>
      </c>
      <c r="D7" s="95">
        <v>43649</v>
      </c>
      <c r="E7" s="96">
        <v>43649</v>
      </c>
      <c r="F7" s="95">
        <v>43647</v>
      </c>
      <c r="G7" s="95">
        <v>43652</v>
      </c>
      <c r="H7" s="92">
        <v>1</v>
      </c>
    </row>
    <row r="8" spans="1:8">
      <c r="A8" s="93" t="s">
        <v>1038</v>
      </c>
      <c r="B8" s="94" t="s">
        <v>1027</v>
      </c>
      <c r="C8" s="95" t="s">
        <v>1261</v>
      </c>
      <c r="D8" s="95">
        <v>43650</v>
      </c>
      <c r="E8" s="96">
        <v>43650</v>
      </c>
      <c r="F8" s="95">
        <v>43647</v>
      </c>
      <c r="G8" s="95">
        <v>43652</v>
      </c>
      <c r="H8" s="92">
        <v>1</v>
      </c>
    </row>
    <row r="9" spans="1:8">
      <c r="A9" s="93" t="s">
        <v>1039</v>
      </c>
      <c r="B9" s="94" t="s">
        <v>1030</v>
      </c>
      <c r="C9" s="95" t="s">
        <v>1261</v>
      </c>
      <c r="D9" s="95">
        <v>43650</v>
      </c>
      <c r="E9" s="96">
        <v>43650</v>
      </c>
      <c r="F9" s="95">
        <v>43647</v>
      </c>
      <c r="G9" s="95">
        <v>43652</v>
      </c>
      <c r="H9" s="92">
        <v>1</v>
      </c>
    </row>
    <row r="10" spans="1:8">
      <c r="A10" s="93" t="s">
        <v>1040</v>
      </c>
      <c r="B10" s="94" t="s">
        <v>1031</v>
      </c>
      <c r="C10" s="95" t="s">
        <v>1261</v>
      </c>
      <c r="D10" s="95">
        <v>43650</v>
      </c>
      <c r="E10" s="96">
        <v>43651</v>
      </c>
      <c r="F10" s="95">
        <v>43647</v>
      </c>
      <c r="G10" s="95">
        <v>43652</v>
      </c>
      <c r="H10" s="92">
        <v>2</v>
      </c>
    </row>
    <row r="11" spans="1:8">
      <c r="A11" s="93" t="s">
        <v>1041</v>
      </c>
      <c r="B11" s="94" t="s">
        <v>1032</v>
      </c>
      <c r="C11" s="95" t="s">
        <v>1261</v>
      </c>
      <c r="D11" s="95">
        <v>43651</v>
      </c>
      <c r="E11" s="96">
        <v>43651</v>
      </c>
      <c r="F11" s="95">
        <v>43647</v>
      </c>
      <c r="G11" s="95">
        <v>43652</v>
      </c>
      <c r="H11" s="92">
        <v>1</v>
      </c>
    </row>
    <row r="12" spans="1:8">
      <c r="A12" s="93" t="s">
        <v>1042</v>
      </c>
      <c r="B12" s="94" t="s">
        <v>1033</v>
      </c>
      <c r="C12" s="95" t="s">
        <v>1261</v>
      </c>
      <c r="D12" s="95">
        <v>43654</v>
      </c>
      <c r="E12" s="96">
        <v>43654</v>
      </c>
      <c r="F12" s="95">
        <v>43653</v>
      </c>
      <c r="G12" s="95">
        <v>43659</v>
      </c>
      <c r="H12" s="92">
        <v>1</v>
      </c>
    </row>
    <row r="13" spans="1:8">
      <c r="A13" s="93" t="s">
        <v>1043</v>
      </c>
      <c r="B13" s="94" t="s">
        <v>1034</v>
      </c>
      <c r="C13" s="95" t="s">
        <v>1261</v>
      </c>
      <c r="D13" s="95">
        <v>43654</v>
      </c>
      <c r="E13" s="96">
        <v>43654</v>
      </c>
      <c r="F13" s="95">
        <v>43653</v>
      </c>
      <c r="G13" s="95">
        <v>43659</v>
      </c>
      <c r="H13" s="92">
        <v>1</v>
      </c>
    </row>
    <row r="14" spans="1:8">
      <c r="A14" s="93" t="s">
        <v>1044</v>
      </c>
      <c r="B14" s="94" t="s">
        <v>1035</v>
      </c>
      <c r="C14" s="95" t="s">
        <v>1261</v>
      </c>
      <c r="D14" s="95">
        <v>43654</v>
      </c>
      <c r="E14" s="96">
        <v>43654</v>
      </c>
      <c r="F14" s="95">
        <v>43653</v>
      </c>
      <c r="G14" s="95">
        <v>43659</v>
      </c>
      <c r="H14" s="92">
        <v>1</v>
      </c>
    </row>
    <row r="15" spans="1:8">
      <c r="A15" s="93" t="s">
        <v>1052</v>
      </c>
      <c r="B15" s="94" t="s">
        <v>1046</v>
      </c>
      <c r="C15" s="95" t="s">
        <v>1130</v>
      </c>
      <c r="D15" s="95">
        <v>43654</v>
      </c>
      <c r="E15" s="96">
        <v>43654</v>
      </c>
      <c r="F15" s="95">
        <v>43653</v>
      </c>
      <c r="G15" s="95">
        <v>43659</v>
      </c>
      <c r="H15" s="92">
        <v>1</v>
      </c>
    </row>
    <row r="16" spans="1:8">
      <c r="A16" s="93" t="s">
        <v>1053</v>
      </c>
      <c r="B16" s="94" t="s">
        <v>1047</v>
      </c>
      <c r="C16" s="95" t="s">
        <v>1130</v>
      </c>
      <c r="D16" s="95">
        <v>43655</v>
      </c>
      <c r="E16" s="96">
        <v>43655</v>
      </c>
      <c r="F16" s="95">
        <v>43653</v>
      </c>
      <c r="G16" s="95">
        <v>43659</v>
      </c>
      <c r="H16" s="92">
        <v>1</v>
      </c>
    </row>
    <row r="17" spans="1:8">
      <c r="A17" s="93" t="s">
        <v>1054</v>
      </c>
      <c r="B17" s="94" t="s">
        <v>1048</v>
      </c>
      <c r="C17" s="95" t="s">
        <v>1130</v>
      </c>
      <c r="D17" s="95">
        <v>43655</v>
      </c>
      <c r="E17" s="96">
        <v>43655</v>
      </c>
      <c r="F17" s="95">
        <v>43653</v>
      </c>
      <c r="G17" s="95">
        <v>43659</v>
      </c>
      <c r="H17" s="92">
        <v>1</v>
      </c>
    </row>
    <row r="18" spans="1:8">
      <c r="A18" s="93" t="s">
        <v>1055</v>
      </c>
      <c r="B18" s="94" t="s">
        <v>1049</v>
      </c>
      <c r="C18" s="95" t="s">
        <v>1130</v>
      </c>
      <c r="D18" s="95">
        <v>43655</v>
      </c>
      <c r="E18" s="96">
        <v>43655</v>
      </c>
      <c r="F18" s="95">
        <v>43653</v>
      </c>
      <c r="G18" s="95">
        <v>43659</v>
      </c>
      <c r="H18" s="92">
        <v>1</v>
      </c>
    </row>
    <row r="19" spans="1:8">
      <c r="A19" s="93" t="s">
        <v>1061</v>
      </c>
      <c r="B19" s="94" t="s">
        <v>1046</v>
      </c>
      <c r="C19" s="95" t="s">
        <v>1130</v>
      </c>
      <c r="D19" s="95">
        <v>43656</v>
      </c>
      <c r="E19" s="96">
        <v>43656</v>
      </c>
      <c r="F19" s="95">
        <v>43653</v>
      </c>
      <c r="G19" s="95">
        <v>43659</v>
      </c>
      <c r="H19" s="92">
        <v>1</v>
      </c>
    </row>
    <row r="20" spans="1:8">
      <c r="A20" s="93" t="s">
        <v>1062</v>
      </c>
      <c r="B20" s="94" t="s">
        <v>1048</v>
      </c>
      <c r="C20" s="95" t="s">
        <v>1130</v>
      </c>
      <c r="D20" s="95">
        <v>43656</v>
      </c>
      <c r="E20" s="96">
        <v>43656</v>
      </c>
      <c r="F20" s="95">
        <v>43653</v>
      </c>
      <c r="G20" s="95">
        <v>43659</v>
      </c>
      <c r="H20" s="92">
        <v>1</v>
      </c>
    </row>
    <row r="21" spans="1:8">
      <c r="A21" s="93" t="s">
        <v>1063</v>
      </c>
      <c r="B21" s="94" t="s">
        <v>1049</v>
      </c>
      <c r="C21" s="95" t="s">
        <v>1130</v>
      </c>
      <c r="D21" s="95">
        <v>43656</v>
      </c>
      <c r="E21" s="96">
        <v>43656</v>
      </c>
      <c r="F21" s="95">
        <v>43653</v>
      </c>
      <c r="G21" s="95">
        <v>43659</v>
      </c>
      <c r="H21" s="92">
        <v>1</v>
      </c>
    </row>
    <row r="22" spans="1:8">
      <c r="A22" s="93" t="s">
        <v>1065</v>
      </c>
      <c r="B22" s="94" t="s">
        <v>1059</v>
      </c>
      <c r="C22" s="95" t="s">
        <v>1128</v>
      </c>
      <c r="D22" s="95">
        <v>43656</v>
      </c>
      <c r="E22" s="96">
        <v>43658</v>
      </c>
      <c r="F22" s="95">
        <v>43653</v>
      </c>
      <c r="G22" s="95">
        <v>43659</v>
      </c>
      <c r="H22" s="92">
        <v>3</v>
      </c>
    </row>
    <row r="23" spans="1:8">
      <c r="A23" s="93" t="s">
        <v>1066</v>
      </c>
      <c r="B23" s="94" t="s">
        <v>1057</v>
      </c>
      <c r="C23" s="95" t="s">
        <v>1130</v>
      </c>
      <c r="D23" s="95">
        <v>43656</v>
      </c>
      <c r="E23" s="96">
        <v>43658</v>
      </c>
      <c r="F23" s="95">
        <v>43653</v>
      </c>
      <c r="G23" s="95">
        <v>43659</v>
      </c>
      <c r="H23" s="92">
        <v>3</v>
      </c>
    </row>
    <row r="24" spans="1:8">
      <c r="A24" s="93" t="s">
        <v>1067</v>
      </c>
      <c r="B24" s="94" t="s">
        <v>1058</v>
      </c>
      <c r="C24" s="95" t="s">
        <v>1132</v>
      </c>
      <c r="D24" s="95">
        <v>43656</v>
      </c>
      <c r="E24" s="96">
        <v>43658</v>
      </c>
      <c r="F24" s="95">
        <v>43653</v>
      </c>
      <c r="G24" s="95">
        <v>43659</v>
      </c>
      <c r="H24" s="92">
        <v>3</v>
      </c>
    </row>
    <row r="25" spans="1:8">
      <c r="A25" s="93" t="s">
        <v>1074</v>
      </c>
      <c r="B25" s="94" t="s">
        <v>1176</v>
      </c>
      <c r="C25" s="95" t="s">
        <v>1175</v>
      </c>
      <c r="D25" s="95">
        <v>43657</v>
      </c>
      <c r="E25" s="96">
        <v>43658</v>
      </c>
      <c r="F25" s="95">
        <v>43653</v>
      </c>
      <c r="G25" s="95">
        <v>43659</v>
      </c>
      <c r="H25" s="92">
        <v>2</v>
      </c>
    </row>
    <row r="26" spans="1:8">
      <c r="A26" s="93" t="s">
        <v>1075</v>
      </c>
      <c r="B26" s="94" t="s">
        <v>1177</v>
      </c>
      <c r="C26" s="95" t="s">
        <v>1175</v>
      </c>
      <c r="D26" s="95">
        <v>43661</v>
      </c>
      <c r="E26" s="96">
        <v>43661</v>
      </c>
      <c r="F26" s="95">
        <v>43660</v>
      </c>
      <c r="G26" s="95">
        <v>43666</v>
      </c>
      <c r="H26" s="92">
        <v>1</v>
      </c>
    </row>
    <row r="27" spans="1:8">
      <c r="A27" s="93" t="s">
        <v>1076</v>
      </c>
      <c r="B27" s="94" t="s">
        <v>1178</v>
      </c>
      <c r="C27" s="95" t="s">
        <v>1132</v>
      </c>
      <c r="D27" s="95">
        <v>43658</v>
      </c>
      <c r="E27" s="96">
        <v>43658</v>
      </c>
      <c r="F27" s="95">
        <v>43653</v>
      </c>
      <c r="G27" s="95">
        <v>43659</v>
      </c>
      <c r="H27" s="92">
        <v>1</v>
      </c>
    </row>
    <row r="28" spans="1:8">
      <c r="A28" s="93" t="s">
        <v>1254</v>
      </c>
      <c r="B28" s="94" t="s">
        <v>1256</v>
      </c>
      <c r="C28" s="95" t="s">
        <v>1128</v>
      </c>
      <c r="D28" s="95">
        <v>43661</v>
      </c>
      <c r="E28" s="96">
        <v>43661</v>
      </c>
      <c r="F28" s="95">
        <v>43660</v>
      </c>
      <c r="G28" s="95">
        <v>43666</v>
      </c>
      <c r="H28" s="92">
        <v>1</v>
      </c>
    </row>
    <row r="29" spans="1:8">
      <c r="A29" s="93" t="s">
        <v>1257</v>
      </c>
      <c r="B29" s="94" t="s">
        <v>1255</v>
      </c>
      <c r="C29" s="95" t="s">
        <v>1132</v>
      </c>
      <c r="D29" s="95">
        <v>43661</v>
      </c>
      <c r="E29" s="96">
        <v>43661</v>
      </c>
      <c r="F29" s="95">
        <v>43660</v>
      </c>
      <c r="G29" s="95">
        <v>43666</v>
      </c>
      <c r="H29" s="92">
        <v>1</v>
      </c>
    </row>
    <row r="30" spans="1:8">
      <c r="A30" s="93" t="s">
        <v>1090</v>
      </c>
      <c r="B30" s="94" t="s">
        <v>1272</v>
      </c>
      <c r="C30" s="95" t="s">
        <v>1132</v>
      </c>
      <c r="D30" s="95">
        <v>43669</v>
      </c>
      <c r="E30" s="96">
        <v>43669</v>
      </c>
      <c r="F30" s="95">
        <v>43667</v>
      </c>
      <c r="G30" s="95">
        <v>43673</v>
      </c>
      <c r="H30" s="92">
        <v>1</v>
      </c>
    </row>
    <row r="31" spans="1:8">
      <c r="A31" s="93" t="s">
        <v>1091</v>
      </c>
      <c r="B31" s="94" t="s">
        <v>1078</v>
      </c>
      <c r="C31" s="95" t="s">
        <v>1128</v>
      </c>
      <c r="D31" s="95">
        <v>43662</v>
      </c>
      <c r="E31" s="96">
        <v>43662</v>
      </c>
      <c r="F31" s="95">
        <v>43660</v>
      </c>
      <c r="G31" s="95">
        <v>43666</v>
      </c>
      <c r="H31" s="92">
        <v>1</v>
      </c>
    </row>
    <row r="32" spans="1:8">
      <c r="A32" s="93" t="s">
        <v>1093</v>
      </c>
      <c r="B32" s="94" t="s">
        <v>1069</v>
      </c>
      <c r="C32" s="95" t="s">
        <v>1208</v>
      </c>
      <c r="D32" s="95">
        <v>43657</v>
      </c>
      <c r="E32" s="96">
        <v>43657</v>
      </c>
      <c r="F32" s="95">
        <v>43653</v>
      </c>
      <c r="G32" s="95">
        <v>43659</v>
      </c>
      <c r="H32" s="92">
        <v>1</v>
      </c>
    </row>
    <row r="33" spans="1:8">
      <c r="A33" s="93" t="s">
        <v>1094</v>
      </c>
      <c r="B33" s="94" t="s">
        <v>1070</v>
      </c>
      <c r="C33" s="95" t="s">
        <v>1132</v>
      </c>
      <c r="D33" s="95">
        <v>43661</v>
      </c>
      <c r="E33" s="96">
        <v>43661</v>
      </c>
      <c r="F33" s="95">
        <v>43660</v>
      </c>
      <c r="G33" s="95">
        <v>43666</v>
      </c>
      <c r="H33" s="92">
        <v>1</v>
      </c>
    </row>
    <row r="34" spans="1:8">
      <c r="A34" s="93" t="s">
        <v>1095</v>
      </c>
      <c r="B34" s="94" t="s">
        <v>1071</v>
      </c>
      <c r="C34" s="95" t="s">
        <v>1130</v>
      </c>
      <c r="D34" s="95">
        <v>43661</v>
      </c>
      <c r="E34" s="96">
        <v>43661</v>
      </c>
      <c r="F34" s="95">
        <v>43660</v>
      </c>
      <c r="G34" s="95">
        <v>43666</v>
      </c>
      <c r="H34" s="92">
        <v>1</v>
      </c>
    </row>
    <row r="35" spans="1:8">
      <c r="A35" s="93" t="s">
        <v>1269</v>
      </c>
      <c r="B35" s="94" t="s">
        <v>1072</v>
      </c>
      <c r="C35" s="95" t="s">
        <v>1128</v>
      </c>
      <c r="D35" s="95">
        <v>43662</v>
      </c>
      <c r="E35" s="96">
        <v>43662</v>
      </c>
      <c r="F35" s="95">
        <v>43660</v>
      </c>
      <c r="G35" s="95">
        <v>43666</v>
      </c>
      <c r="H35" s="92">
        <v>1</v>
      </c>
    </row>
    <row r="36" spans="1:8">
      <c r="A36" s="93" t="s">
        <v>1273</v>
      </c>
      <c r="B36" s="94" t="s">
        <v>1274</v>
      </c>
      <c r="C36" s="95" t="s">
        <v>1175</v>
      </c>
      <c r="D36" s="95">
        <v>43662</v>
      </c>
      <c r="E36" s="96">
        <v>43662</v>
      </c>
      <c r="F36" s="95">
        <v>43660</v>
      </c>
      <c r="G36" s="95">
        <v>43666</v>
      </c>
      <c r="H36" s="92">
        <v>1</v>
      </c>
    </row>
    <row r="37" spans="1:8">
      <c r="A37" s="93" t="s">
        <v>1159</v>
      </c>
      <c r="B37" s="94" t="s">
        <v>1185</v>
      </c>
      <c r="C37" s="95" t="s">
        <v>1199</v>
      </c>
      <c r="D37" s="95">
        <v>43661</v>
      </c>
      <c r="E37" s="96">
        <v>43663</v>
      </c>
      <c r="F37" s="95">
        <v>43660</v>
      </c>
      <c r="G37" s="95">
        <v>43666</v>
      </c>
      <c r="H37" s="92">
        <v>3</v>
      </c>
    </row>
    <row r="38" spans="1:8">
      <c r="A38" s="93" t="s">
        <v>1160</v>
      </c>
      <c r="B38" s="94" t="s">
        <v>1224</v>
      </c>
      <c r="C38" s="95" t="s">
        <v>1199</v>
      </c>
      <c r="D38" s="95">
        <v>43663</v>
      </c>
      <c r="E38" s="96">
        <v>43664</v>
      </c>
      <c r="F38" s="95">
        <v>43660</v>
      </c>
      <c r="G38" s="95">
        <v>43666</v>
      </c>
      <c r="H38" s="92">
        <v>2</v>
      </c>
    </row>
    <row r="39" spans="1:8">
      <c r="A39" s="93" t="s">
        <v>1215</v>
      </c>
      <c r="B39" s="94" t="s">
        <v>1225</v>
      </c>
      <c r="C39" s="95" t="s">
        <v>1199</v>
      </c>
      <c r="D39" s="95">
        <v>43664</v>
      </c>
      <c r="E39" s="96">
        <v>43664</v>
      </c>
      <c r="F39" s="95">
        <v>43660</v>
      </c>
      <c r="G39" s="95">
        <v>43666</v>
      </c>
      <c r="H39" s="92">
        <v>1</v>
      </c>
    </row>
    <row r="40" spans="1:8">
      <c r="A40" s="93" t="s">
        <v>1162</v>
      </c>
      <c r="B40" s="94" t="s">
        <v>1151</v>
      </c>
      <c r="C40" s="95" t="s">
        <v>1128</v>
      </c>
      <c r="D40" s="95">
        <v>43662</v>
      </c>
      <c r="E40" s="96">
        <v>43662</v>
      </c>
      <c r="F40" s="95">
        <v>43660</v>
      </c>
      <c r="G40" s="95">
        <v>43666</v>
      </c>
      <c r="H40" s="92">
        <v>1</v>
      </c>
    </row>
    <row r="41" spans="1:8">
      <c r="A41" s="93" t="s">
        <v>1163</v>
      </c>
      <c r="B41" s="94" t="s">
        <v>1209</v>
      </c>
      <c r="C41" s="95" t="s">
        <v>1128</v>
      </c>
      <c r="D41" s="95">
        <v>43664</v>
      </c>
      <c r="E41" s="96">
        <v>43664</v>
      </c>
      <c r="F41" s="95">
        <v>43660</v>
      </c>
      <c r="G41" s="95">
        <v>43666</v>
      </c>
      <c r="H41" s="92">
        <v>1</v>
      </c>
    </row>
    <row r="42" spans="1:8">
      <c r="A42" s="93" t="s">
        <v>1216</v>
      </c>
      <c r="B42" s="94" t="s">
        <v>1147</v>
      </c>
      <c r="C42" s="95" t="s">
        <v>1128</v>
      </c>
      <c r="D42" s="95">
        <v>43663</v>
      </c>
      <c r="E42" s="96">
        <v>43663</v>
      </c>
      <c r="F42" s="95">
        <v>43660</v>
      </c>
      <c r="G42" s="95">
        <v>43666</v>
      </c>
      <c r="H42" s="92">
        <v>1</v>
      </c>
    </row>
    <row r="43" spans="1:8">
      <c r="A43" s="93" t="s">
        <v>1226</v>
      </c>
      <c r="B43" s="94" t="s">
        <v>1219</v>
      </c>
      <c r="C43" s="95" t="s">
        <v>1128</v>
      </c>
      <c r="D43" s="95">
        <v>43663</v>
      </c>
      <c r="E43" s="96">
        <v>43663</v>
      </c>
      <c r="F43" s="95">
        <v>43660</v>
      </c>
      <c r="G43" s="95">
        <v>43666</v>
      </c>
      <c r="H43" s="92">
        <v>1</v>
      </c>
    </row>
    <row r="44" spans="1:8">
      <c r="A44" s="93" t="s">
        <v>1227</v>
      </c>
      <c r="B44" s="94" t="s">
        <v>1221</v>
      </c>
      <c r="C44" s="95" t="s">
        <v>1175</v>
      </c>
      <c r="D44" s="95">
        <v>43663</v>
      </c>
      <c r="E44" s="96">
        <v>43664</v>
      </c>
      <c r="F44" s="95">
        <v>43660</v>
      </c>
      <c r="G44" s="95">
        <v>43666</v>
      </c>
      <c r="H44" s="92">
        <v>2</v>
      </c>
    </row>
    <row r="45" spans="1:8">
      <c r="A45" s="93" t="s">
        <v>1228</v>
      </c>
      <c r="B45" s="94" t="s">
        <v>1220</v>
      </c>
      <c r="C45" s="95" t="s">
        <v>1175</v>
      </c>
      <c r="D45" s="95">
        <v>43663</v>
      </c>
      <c r="E45" s="96">
        <v>43664</v>
      </c>
      <c r="F45" s="95">
        <v>43660</v>
      </c>
      <c r="G45" s="95">
        <v>43666</v>
      </c>
      <c r="H45" s="92">
        <v>2</v>
      </c>
    </row>
    <row r="46" spans="1:8">
      <c r="A46" s="93" t="s">
        <v>1165</v>
      </c>
      <c r="B46" s="94" t="s">
        <v>1148</v>
      </c>
      <c r="C46" s="95" t="s">
        <v>1208</v>
      </c>
      <c r="D46" s="95">
        <v>43658</v>
      </c>
      <c r="E46" s="96">
        <v>43661</v>
      </c>
      <c r="F46" s="95">
        <v>43653</v>
      </c>
      <c r="G46" s="95">
        <v>43659</v>
      </c>
      <c r="H46" s="92">
        <v>1</v>
      </c>
    </row>
    <row r="47" spans="1:8">
      <c r="A47" s="93" t="s">
        <v>1165</v>
      </c>
      <c r="B47" s="94" t="s">
        <v>1148</v>
      </c>
      <c r="C47" s="95" t="s">
        <v>1208</v>
      </c>
      <c r="D47" s="95">
        <v>43658</v>
      </c>
      <c r="E47" s="96">
        <v>43661</v>
      </c>
      <c r="F47" s="95">
        <v>43660</v>
      </c>
      <c r="G47" s="95">
        <v>43666</v>
      </c>
      <c r="H47" s="92">
        <v>1</v>
      </c>
    </row>
    <row r="48" spans="1:8">
      <c r="A48" s="93" t="s">
        <v>1217</v>
      </c>
      <c r="B48" s="94" t="s">
        <v>1154</v>
      </c>
      <c r="C48" s="95" t="s">
        <v>1208</v>
      </c>
      <c r="D48" s="95">
        <v>43662</v>
      </c>
      <c r="E48" s="96">
        <v>43663</v>
      </c>
      <c r="F48" s="95">
        <v>43660</v>
      </c>
      <c r="G48" s="95">
        <v>43666</v>
      </c>
      <c r="H48" s="92">
        <v>2</v>
      </c>
    </row>
    <row r="49" spans="1:8">
      <c r="A49" s="93" t="s">
        <v>1223</v>
      </c>
      <c r="B49" s="94" t="s">
        <v>1210</v>
      </c>
      <c r="C49" s="95" t="s">
        <v>1132</v>
      </c>
      <c r="D49" s="95">
        <v>43663</v>
      </c>
      <c r="E49" s="96">
        <v>43665</v>
      </c>
      <c r="F49" s="95">
        <v>43660</v>
      </c>
      <c r="G49" s="95">
        <v>43666</v>
      </c>
      <c r="H49" s="92">
        <v>3</v>
      </c>
    </row>
    <row r="50" spans="1:8">
      <c r="A50" s="93" t="s">
        <v>1167</v>
      </c>
      <c r="B50" s="94" t="s">
        <v>1149</v>
      </c>
      <c r="C50" s="95" t="s">
        <v>1128</v>
      </c>
      <c r="D50" s="95">
        <v>43664</v>
      </c>
      <c r="E50" s="96">
        <v>43664</v>
      </c>
      <c r="F50" s="95">
        <v>43660</v>
      </c>
      <c r="G50" s="95">
        <v>43666</v>
      </c>
      <c r="H50" s="92">
        <v>1</v>
      </c>
    </row>
    <row r="51" spans="1:8">
      <c r="A51" s="93" t="s">
        <v>1168</v>
      </c>
      <c r="B51" s="94" t="s">
        <v>1222</v>
      </c>
      <c r="C51" s="95" t="s">
        <v>1128</v>
      </c>
      <c r="D51" s="95">
        <v>43664</v>
      </c>
      <c r="E51" s="96">
        <v>43668</v>
      </c>
      <c r="F51" s="95">
        <v>43660</v>
      </c>
      <c r="G51" s="95">
        <v>43666</v>
      </c>
      <c r="H51" s="92">
        <v>2</v>
      </c>
    </row>
    <row r="52" spans="1:8">
      <c r="A52" s="93" t="s">
        <v>1168</v>
      </c>
      <c r="B52" s="94" t="s">
        <v>1222</v>
      </c>
      <c r="C52" s="95" t="s">
        <v>1128</v>
      </c>
      <c r="D52" s="95">
        <v>43664</v>
      </c>
      <c r="E52" s="96">
        <v>43668</v>
      </c>
      <c r="F52" s="95">
        <v>43667</v>
      </c>
      <c r="G52" s="95">
        <v>43673</v>
      </c>
      <c r="H52" s="92">
        <v>1</v>
      </c>
    </row>
    <row r="53" spans="1:8">
      <c r="A53" s="93" t="s">
        <v>1218</v>
      </c>
      <c r="B53" s="94" t="s">
        <v>1211</v>
      </c>
      <c r="C53" s="95" t="s">
        <v>1132</v>
      </c>
      <c r="D53" s="95">
        <v>43663</v>
      </c>
      <c r="E53" s="96">
        <v>43665</v>
      </c>
      <c r="F53" s="95">
        <v>43660</v>
      </c>
      <c r="G53" s="95">
        <v>43666</v>
      </c>
      <c r="H53" s="92">
        <v>3</v>
      </c>
    </row>
    <row r="54" spans="1:8">
      <c r="A54" s="93" t="s">
        <v>1170</v>
      </c>
      <c r="B54" s="94" t="s">
        <v>1152</v>
      </c>
      <c r="C54" s="95" t="s">
        <v>1132</v>
      </c>
      <c r="D54" s="95">
        <v>43662</v>
      </c>
      <c r="E54" s="96">
        <v>43662</v>
      </c>
      <c r="F54" s="95">
        <v>43660</v>
      </c>
      <c r="G54" s="95">
        <v>43666</v>
      </c>
      <c r="H54" s="92">
        <v>1</v>
      </c>
    </row>
    <row r="55" spans="1:8">
      <c r="A55" s="93" t="s">
        <v>1171</v>
      </c>
      <c r="B55" s="94" t="s">
        <v>1153</v>
      </c>
      <c r="C55" s="95" t="s">
        <v>1132</v>
      </c>
      <c r="D55" s="95">
        <v>43662</v>
      </c>
      <c r="E55" s="96">
        <v>43662</v>
      </c>
      <c r="F55" s="95">
        <v>43660</v>
      </c>
      <c r="G55" s="95">
        <v>43666</v>
      </c>
      <c r="H55" s="92">
        <v>1</v>
      </c>
    </row>
    <row r="56" spans="1:8">
      <c r="A56" s="93" t="s">
        <v>1190</v>
      </c>
      <c r="B56" s="94" t="s">
        <v>1212</v>
      </c>
      <c r="C56" s="95" t="s">
        <v>1132</v>
      </c>
      <c r="D56" s="95">
        <v>43663</v>
      </c>
      <c r="E56" s="96">
        <v>43665</v>
      </c>
      <c r="F56" s="95">
        <v>43660</v>
      </c>
      <c r="G56" s="95">
        <v>43666</v>
      </c>
      <c r="H56" s="92">
        <v>3</v>
      </c>
    </row>
    <row r="57" spans="1:8">
      <c r="A57" s="93" t="s">
        <v>1173</v>
      </c>
      <c r="B57" s="94" t="s">
        <v>1150</v>
      </c>
      <c r="C57" s="95" t="s">
        <v>1130</v>
      </c>
      <c r="D57" s="95">
        <v>43657</v>
      </c>
      <c r="E57" s="96">
        <v>43658</v>
      </c>
      <c r="F57" s="95">
        <v>43653</v>
      </c>
      <c r="G57" s="95">
        <v>43659</v>
      </c>
      <c r="H57" s="92">
        <v>2</v>
      </c>
    </row>
    <row r="58" spans="1:8">
      <c r="A58" s="93" t="s">
        <v>1179</v>
      </c>
      <c r="B58" s="94" t="s">
        <v>1213</v>
      </c>
      <c r="C58" s="95" t="s">
        <v>1130</v>
      </c>
      <c r="D58" s="95">
        <v>43658</v>
      </c>
      <c r="E58" s="96">
        <v>43661</v>
      </c>
      <c r="F58" s="95">
        <v>43653</v>
      </c>
      <c r="G58" s="95">
        <v>43659</v>
      </c>
      <c r="H58" s="92">
        <v>1</v>
      </c>
    </row>
    <row r="59" spans="1:8">
      <c r="A59" s="93" t="s">
        <v>1179</v>
      </c>
      <c r="B59" s="94" t="s">
        <v>1213</v>
      </c>
      <c r="C59" s="95" t="s">
        <v>1130</v>
      </c>
      <c r="D59" s="95">
        <v>43658</v>
      </c>
      <c r="E59" s="96">
        <v>43661</v>
      </c>
      <c r="F59" s="95">
        <v>43660</v>
      </c>
      <c r="G59" s="95">
        <v>43666</v>
      </c>
      <c r="H59" s="92">
        <v>1</v>
      </c>
    </row>
    <row r="60" spans="1:8">
      <c r="A60" s="93" t="s">
        <v>1229</v>
      </c>
      <c r="B60" s="94" t="s">
        <v>1188</v>
      </c>
      <c r="C60" s="95" t="s">
        <v>1130</v>
      </c>
      <c r="D60" s="95">
        <v>43661</v>
      </c>
      <c r="E60" s="96">
        <v>43662</v>
      </c>
      <c r="F60" s="95">
        <v>43660</v>
      </c>
      <c r="G60" s="95">
        <v>43666</v>
      </c>
      <c r="H60" s="92">
        <v>2</v>
      </c>
    </row>
    <row r="61" spans="1:8">
      <c r="A61" s="93" t="s">
        <v>1230</v>
      </c>
      <c r="B61" s="94" t="s">
        <v>1182</v>
      </c>
      <c r="C61" s="95" t="s">
        <v>1130</v>
      </c>
      <c r="D61" s="95">
        <v>43662</v>
      </c>
      <c r="E61" s="96">
        <v>43662</v>
      </c>
      <c r="F61" s="95">
        <v>43660</v>
      </c>
      <c r="G61" s="95">
        <v>43666</v>
      </c>
      <c r="H61" s="92">
        <v>1</v>
      </c>
    </row>
    <row r="62" spans="1:8">
      <c r="A62" s="93" t="s">
        <v>1231</v>
      </c>
      <c r="B62" s="94" t="s">
        <v>1189</v>
      </c>
      <c r="C62" s="95" t="s">
        <v>1130</v>
      </c>
      <c r="D62" s="95">
        <v>43663</v>
      </c>
      <c r="E62" s="96">
        <v>43664</v>
      </c>
      <c r="F62" s="95">
        <v>43660</v>
      </c>
      <c r="G62" s="95">
        <v>43666</v>
      </c>
      <c r="H62" s="92">
        <v>2</v>
      </c>
    </row>
    <row r="63" spans="1:8">
      <c r="A63" s="93" t="s">
        <v>1232</v>
      </c>
      <c r="B63" s="94" t="s">
        <v>1214</v>
      </c>
      <c r="C63" s="95" t="s">
        <v>1132</v>
      </c>
      <c r="D63" s="95">
        <v>43663</v>
      </c>
      <c r="E63" s="96">
        <v>43665</v>
      </c>
      <c r="F63" s="95">
        <v>43660</v>
      </c>
      <c r="G63" s="95">
        <v>43666</v>
      </c>
      <c r="H63" s="92">
        <v>3</v>
      </c>
    </row>
    <row r="64" spans="1:8">
      <c r="A64" s="93" t="s">
        <v>1180</v>
      </c>
      <c r="B64" s="94" t="s">
        <v>1185</v>
      </c>
      <c r="C64" s="95" t="s">
        <v>1199</v>
      </c>
      <c r="D64" s="95">
        <v>43665</v>
      </c>
      <c r="E64" s="96">
        <v>43668</v>
      </c>
      <c r="F64" s="95">
        <v>43660</v>
      </c>
      <c r="G64" s="95">
        <v>43666</v>
      </c>
      <c r="H64" s="92">
        <v>1</v>
      </c>
    </row>
    <row r="65" spans="1:8">
      <c r="A65" s="93" t="s">
        <v>1180</v>
      </c>
      <c r="B65" s="94" t="s">
        <v>1185</v>
      </c>
      <c r="C65" s="95" t="s">
        <v>1199</v>
      </c>
      <c r="D65" s="95">
        <v>43665</v>
      </c>
      <c r="E65" s="96">
        <v>43668</v>
      </c>
      <c r="F65" s="95">
        <v>43667</v>
      </c>
      <c r="G65" s="95">
        <v>43673</v>
      </c>
      <c r="H65" s="92">
        <v>1</v>
      </c>
    </row>
    <row r="66" spans="1:8">
      <c r="A66" s="93" t="s">
        <v>1191</v>
      </c>
      <c r="B66" s="94" t="s">
        <v>1233</v>
      </c>
      <c r="C66" s="95" t="s">
        <v>1199</v>
      </c>
      <c r="D66" s="95">
        <v>43668</v>
      </c>
      <c r="E66" s="96">
        <v>43668</v>
      </c>
      <c r="F66" s="95">
        <v>43667</v>
      </c>
      <c r="G66" s="95">
        <v>43673</v>
      </c>
      <c r="H66" s="92">
        <v>1</v>
      </c>
    </row>
    <row r="67" spans="1:8">
      <c r="A67" s="93" t="s">
        <v>1245</v>
      </c>
      <c r="B67" s="94" t="s">
        <v>1241</v>
      </c>
      <c r="C67" s="95" t="s">
        <v>1208</v>
      </c>
      <c r="D67" s="95">
        <v>43664</v>
      </c>
      <c r="E67" s="96">
        <v>43664</v>
      </c>
      <c r="F67" s="95">
        <v>43660</v>
      </c>
      <c r="G67" s="95">
        <v>43666</v>
      </c>
      <c r="H67" s="92">
        <v>1</v>
      </c>
    </row>
    <row r="68" spans="1:8">
      <c r="A68" s="93" t="s">
        <v>1246</v>
      </c>
      <c r="B68" s="94" t="s">
        <v>1242</v>
      </c>
      <c r="C68" s="95" t="s">
        <v>1130</v>
      </c>
      <c r="D68" s="95">
        <v>43664</v>
      </c>
      <c r="E68" s="96">
        <v>43665</v>
      </c>
      <c r="F68" s="95">
        <v>43660</v>
      </c>
      <c r="G68" s="95">
        <v>43666</v>
      </c>
      <c r="H68" s="92">
        <v>2</v>
      </c>
    </row>
    <row r="69" spans="1:8">
      <c r="A69" s="93" t="s">
        <v>1192</v>
      </c>
      <c r="B69" s="94" t="s">
        <v>1186</v>
      </c>
      <c r="C69" s="95" t="s">
        <v>1208</v>
      </c>
      <c r="D69" s="95">
        <v>43665</v>
      </c>
      <c r="E69" s="96">
        <v>43665</v>
      </c>
      <c r="F69" s="95">
        <v>43660</v>
      </c>
      <c r="G69" s="95">
        <v>43666</v>
      </c>
      <c r="H69" s="92">
        <v>1</v>
      </c>
    </row>
    <row r="70" spans="1:8">
      <c r="A70" s="93" t="s">
        <v>1247</v>
      </c>
      <c r="B70" s="94" t="s">
        <v>1243</v>
      </c>
      <c r="C70" s="95" t="s">
        <v>1132</v>
      </c>
      <c r="D70" s="95">
        <v>43668</v>
      </c>
      <c r="E70" s="96">
        <v>43668</v>
      </c>
      <c r="F70" s="95">
        <v>43667</v>
      </c>
      <c r="G70" s="95">
        <v>43673</v>
      </c>
      <c r="H70" s="92">
        <v>1</v>
      </c>
    </row>
    <row r="71" spans="1:8">
      <c r="A71" s="93" t="s">
        <v>1248</v>
      </c>
      <c r="B71" s="94" t="s">
        <v>1244</v>
      </c>
      <c r="C71" s="95" t="s">
        <v>1132</v>
      </c>
      <c r="D71" s="95">
        <v>43669</v>
      </c>
      <c r="E71" s="96">
        <v>43669</v>
      </c>
      <c r="F71" s="95">
        <v>43667</v>
      </c>
      <c r="G71" s="95">
        <v>43673</v>
      </c>
      <c r="H71" s="92">
        <v>1</v>
      </c>
    </row>
    <row r="72" spans="1:8">
      <c r="A72" s="93" t="s">
        <v>1249</v>
      </c>
      <c r="B72" s="94" t="s">
        <v>1236</v>
      </c>
      <c r="C72" s="95" t="s">
        <v>1208</v>
      </c>
      <c r="D72" s="95">
        <v>43665</v>
      </c>
      <c r="E72" s="96">
        <v>43668</v>
      </c>
      <c r="F72" s="95">
        <v>43660</v>
      </c>
      <c r="G72" s="95">
        <v>43666</v>
      </c>
      <c r="H72" s="92">
        <v>1</v>
      </c>
    </row>
    <row r="73" spans="1:8">
      <c r="A73" s="93" t="s">
        <v>1249</v>
      </c>
      <c r="B73" s="94" t="s">
        <v>1236</v>
      </c>
      <c r="C73" s="95" t="s">
        <v>1208</v>
      </c>
      <c r="D73" s="95">
        <v>43665</v>
      </c>
      <c r="E73" s="96">
        <v>43668</v>
      </c>
      <c r="F73" s="95">
        <v>43667</v>
      </c>
      <c r="G73" s="95">
        <v>43673</v>
      </c>
      <c r="H73" s="92">
        <v>1</v>
      </c>
    </row>
    <row r="74" spans="1:8">
      <c r="A74" s="93" t="s">
        <v>1250</v>
      </c>
      <c r="B74" s="94" t="s">
        <v>1235</v>
      </c>
      <c r="C74" s="95" t="s">
        <v>1208</v>
      </c>
      <c r="D74" s="95">
        <v>43665</v>
      </c>
      <c r="E74" s="96">
        <v>43668</v>
      </c>
      <c r="F74" s="95">
        <v>43660</v>
      </c>
      <c r="G74" s="95">
        <v>43666</v>
      </c>
      <c r="H74" s="92">
        <v>1</v>
      </c>
    </row>
    <row r="75" spans="1:8">
      <c r="A75" s="93" t="s">
        <v>1250</v>
      </c>
      <c r="B75" s="94" t="s">
        <v>1235</v>
      </c>
      <c r="C75" s="95" t="s">
        <v>1208</v>
      </c>
      <c r="D75" s="95">
        <v>43665</v>
      </c>
      <c r="E75" s="96">
        <v>43668</v>
      </c>
      <c r="F75" s="95">
        <v>43667</v>
      </c>
      <c r="G75" s="95">
        <v>43673</v>
      </c>
      <c r="H75" s="92">
        <v>1</v>
      </c>
    </row>
    <row r="76" spans="1:8">
      <c r="A76" s="93" t="s">
        <v>1251</v>
      </c>
      <c r="B76" s="94" t="s">
        <v>1237</v>
      </c>
      <c r="C76" s="95" t="s">
        <v>1208</v>
      </c>
      <c r="D76" s="95">
        <v>43665</v>
      </c>
      <c r="E76" s="96">
        <v>43668</v>
      </c>
      <c r="F76" s="95">
        <v>43660</v>
      </c>
      <c r="G76" s="95">
        <v>43666</v>
      </c>
      <c r="H76" s="92">
        <v>1</v>
      </c>
    </row>
    <row r="77" spans="1:8">
      <c r="A77" s="93" t="s">
        <v>1251</v>
      </c>
      <c r="B77" s="94" t="s">
        <v>1237</v>
      </c>
      <c r="C77" s="95" t="s">
        <v>1208</v>
      </c>
      <c r="D77" s="95">
        <v>43665</v>
      </c>
      <c r="E77" s="96">
        <v>43668</v>
      </c>
      <c r="F77" s="95">
        <v>43667</v>
      </c>
      <c r="G77" s="95">
        <v>43673</v>
      </c>
      <c r="H77" s="92">
        <v>1</v>
      </c>
    </row>
    <row r="78" spans="1:8">
      <c r="A78" s="93" t="s">
        <v>1252</v>
      </c>
      <c r="B78" s="94" t="s">
        <v>1238</v>
      </c>
      <c r="C78" s="95" t="s">
        <v>1208</v>
      </c>
      <c r="D78" s="95">
        <v>43665</v>
      </c>
      <c r="E78" s="96">
        <v>43668</v>
      </c>
      <c r="F78" s="95">
        <v>43660</v>
      </c>
      <c r="G78" s="95">
        <v>43666</v>
      </c>
      <c r="H78" s="92">
        <v>1</v>
      </c>
    </row>
    <row r="79" spans="1:8">
      <c r="A79" s="93" t="s">
        <v>1252</v>
      </c>
      <c r="B79" s="94" t="s">
        <v>1238</v>
      </c>
      <c r="C79" s="95" t="s">
        <v>1208</v>
      </c>
      <c r="D79" s="95">
        <v>43665</v>
      </c>
      <c r="E79" s="96">
        <v>43668</v>
      </c>
      <c r="F79" s="95">
        <v>43667</v>
      </c>
      <c r="G79" s="95">
        <v>43673</v>
      </c>
      <c r="H79" s="92">
        <v>1</v>
      </c>
    </row>
    <row r="80" spans="1:8">
      <c r="A80" s="93" t="s">
        <v>1253</v>
      </c>
      <c r="B80" s="94" t="s">
        <v>1234</v>
      </c>
      <c r="C80" s="95" t="s">
        <v>1175</v>
      </c>
      <c r="D80" s="95">
        <v>43665</v>
      </c>
      <c r="E80" s="96">
        <v>43665</v>
      </c>
      <c r="F80" s="95">
        <v>43660</v>
      </c>
      <c r="G80" s="95">
        <v>43666</v>
      </c>
      <c r="H80" s="92">
        <v>1</v>
      </c>
    </row>
    <row r="81" spans="7:8">
      <c r="G81" s="92" t="s">
        <v>4</v>
      </c>
      <c r="H81" s="92">
        <f>SUM(H2:H80)</f>
        <v>106</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A239"/>
  <sheetViews>
    <sheetView tabSelected="1" zoomScale="115" zoomScaleNormal="115" zoomScalePageLayoutView="55" workbookViewId="0">
      <pane ySplit="4" topLeftCell="A93" activePane="bottomLeft" state="frozen"/>
      <selection activeCell="E5" sqref="E5"/>
      <selection pane="bottomLeft" activeCell="D5" sqref="D5"/>
    </sheetView>
  </sheetViews>
  <sheetFormatPr defaultColWidth="10" defaultRowHeight="12" outlineLevelRow="3"/>
  <cols>
    <col min="1" max="1" width="19.875" style="117" hidden="1" customWidth="1"/>
    <col min="2" max="2" width="8.375" style="117" hidden="1" customWidth="1"/>
    <col min="3" max="3" width="9.375" style="117" hidden="1" customWidth="1"/>
    <col min="4" max="4" width="10.125" style="5" customWidth="1"/>
    <col min="5" max="10" width="2.375" style="6" customWidth="1"/>
    <col min="11" max="11" width="10.25" style="6" customWidth="1"/>
    <col min="12" max="12" width="9.75" style="6" customWidth="1"/>
    <col min="13" max="14" width="12.5" style="7" bestFit="1" customWidth="1"/>
    <col min="15" max="15" width="7.625" style="8" hidden="1" customWidth="1"/>
    <col min="16" max="16" width="6" style="9" bestFit="1" customWidth="1"/>
    <col min="17" max="17" width="5.375" style="9" bestFit="1" customWidth="1"/>
    <col min="18" max="18" width="8.375" style="10" hidden="1" customWidth="1"/>
    <col min="19" max="19" width="4.25" style="10" hidden="1" customWidth="1"/>
    <col min="20" max="20" width="13.125" style="7" hidden="1" customWidth="1"/>
    <col min="21" max="21" width="13.625" style="7" hidden="1" customWidth="1"/>
    <col min="22" max="22" width="8.375" style="11" hidden="1" customWidth="1"/>
    <col min="23" max="23" width="6.625" style="12" hidden="1" customWidth="1"/>
    <col min="24" max="24" width="4.75" style="13" customWidth="1"/>
    <col min="25" max="25" width="9.25" style="8" customWidth="1"/>
    <col min="26" max="26" width="11.5" style="14" customWidth="1"/>
    <col min="27" max="27" width="7" style="15" customWidth="1"/>
    <col min="28" max="28" width="7.125" style="16" customWidth="1"/>
    <col min="29" max="56" width="1.875" style="114" customWidth="1"/>
    <col min="57" max="16384" width="10" style="114"/>
  </cols>
  <sheetData>
    <row r="1" spans="1:79" s="193" customFormat="1" ht="20.100000000000001" customHeight="1">
      <c r="A1" s="199"/>
      <c r="B1" s="200"/>
      <c r="C1" s="199"/>
      <c r="D1" s="200" t="str">
        <f ca="1">xlgantt.ProjectName()</f>
        <v>건강 관리 앱 제작 프로젝트</v>
      </c>
      <c r="E1" s="201"/>
      <c r="F1" s="201"/>
      <c r="G1" s="201"/>
      <c r="H1" s="201"/>
      <c r="I1" s="201"/>
      <c r="J1" s="201"/>
      <c r="K1" s="201"/>
      <c r="L1" s="201"/>
      <c r="M1" s="201"/>
      <c r="N1" s="202"/>
      <c r="O1" s="203"/>
      <c r="P1" s="204"/>
      <c r="Q1" s="204"/>
      <c r="R1" s="205"/>
      <c r="S1" s="205"/>
      <c r="T1" s="206"/>
      <c r="U1" s="206"/>
      <c r="V1" s="200"/>
      <c r="W1" s="207"/>
      <c r="X1" s="208"/>
      <c r="Y1" s="209"/>
      <c r="Z1" s="210"/>
      <c r="AA1" s="211"/>
      <c r="AB1" s="212" t="str">
        <f ca="1">xlgantt.ProjectProgressString()</f>
        <v>2019-07-01~2019-07-23 [계획:100.00% 실적:99.07%]</v>
      </c>
      <c r="AC1" s="235" t="s">
        <v>985</v>
      </c>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A1" s="235"/>
      <c r="BB1" s="235"/>
      <c r="BC1" s="235"/>
      <c r="BD1" s="235"/>
      <c r="BE1" s="235"/>
      <c r="BF1" s="235"/>
      <c r="BG1" s="235"/>
      <c r="BH1" s="235"/>
      <c r="BI1" s="235"/>
      <c r="BJ1" s="235"/>
      <c r="BK1" s="235"/>
      <c r="BL1" s="235"/>
      <c r="BM1" s="235"/>
      <c r="BN1" s="235"/>
      <c r="BO1" s="235"/>
      <c r="BP1" s="235"/>
      <c r="BQ1" s="235"/>
      <c r="BR1" s="235"/>
      <c r="BS1" s="235"/>
      <c r="BT1" s="235"/>
      <c r="BU1" s="235"/>
      <c r="BV1" s="235"/>
      <c r="BW1" s="235"/>
      <c r="BX1" s="235"/>
      <c r="BY1" s="235"/>
      <c r="BZ1" s="235"/>
      <c r="CA1" s="235"/>
    </row>
    <row r="2" spans="1:79" s="193" customFormat="1" ht="15" customHeight="1">
      <c r="A2" s="213"/>
      <c r="B2" s="213"/>
      <c r="C2" s="213"/>
      <c r="D2" s="246"/>
      <c r="E2" s="246"/>
      <c r="F2" s="246"/>
      <c r="G2" s="141"/>
      <c r="H2" s="142"/>
      <c r="I2" s="141"/>
      <c r="J2" s="141"/>
      <c r="K2" s="141"/>
      <c r="L2" s="141"/>
      <c r="M2" s="141"/>
      <c r="N2" s="141"/>
      <c r="O2" s="141"/>
      <c r="P2" s="141"/>
      <c r="Q2" s="141"/>
      <c r="R2" s="141"/>
      <c r="S2" s="141"/>
      <c r="T2" s="141"/>
      <c r="U2" s="141"/>
      <c r="V2" s="141"/>
      <c r="W2" s="141"/>
      <c r="X2" s="141"/>
      <c r="Y2" s="141"/>
      <c r="Z2" s="143"/>
      <c r="AA2" s="144"/>
      <c r="AB2" s="141" t="str">
        <f ca="1">xlgantt.CommentOnHeadArea()</f>
        <v>별(*)표시는 필수입력, 주황색열은 자동계산</v>
      </c>
      <c r="AC2" s="145" t="s">
        <v>1000</v>
      </c>
    </row>
    <row r="3" spans="1:79" s="1" customFormat="1" ht="20.100000000000001" customHeight="1">
      <c r="A3" s="237" t="s">
        <v>1280</v>
      </c>
      <c r="B3" s="239" t="s">
        <v>1281</v>
      </c>
      <c r="C3" s="241" t="s">
        <v>1309</v>
      </c>
      <c r="D3" s="242" t="s">
        <v>1310</v>
      </c>
      <c r="E3" s="243" t="s">
        <v>1311</v>
      </c>
      <c r="F3" s="244"/>
      <c r="G3" s="244"/>
      <c r="H3" s="244"/>
      <c r="I3" s="244"/>
      <c r="J3" s="244"/>
      <c r="K3" s="245"/>
      <c r="L3" s="226" t="s">
        <v>1312</v>
      </c>
      <c r="M3" s="226" t="s">
        <v>1277</v>
      </c>
      <c r="N3" s="226" t="s">
        <v>1313</v>
      </c>
      <c r="O3" s="247" t="s">
        <v>1314</v>
      </c>
      <c r="P3" s="225" t="s">
        <v>1315</v>
      </c>
      <c r="Q3" s="225" t="s">
        <v>1316</v>
      </c>
      <c r="R3" s="225" t="s">
        <v>1317</v>
      </c>
      <c r="S3" s="225" t="s">
        <v>1300</v>
      </c>
      <c r="T3" s="228" t="s">
        <v>1318</v>
      </c>
      <c r="U3" s="228" t="s">
        <v>1319</v>
      </c>
      <c r="V3" s="229" t="s">
        <v>1320</v>
      </c>
      <c r="W3" s="230" t="s">
        <v>1321</v>
      </c>
      <c r="X3" s="231" t="s">
        <v>1322</v>
      </c>
      <c r="Y3" s="226" t="s">
        <v>1323</v>
      </c>
      <c r="Z3" s="239" t="s">
        <v>1324</v>
      </c>
      <c r="AA3" s="232" t="s">
        <v>1325</v>
      </c>
      <c r="AB3" s="227" t="s">
        <v>1326</v>
      </c>
      <c r="AC3" s="233">
        <v>43646</v>
      </c>
      <c r="AD3" s="234"/>
      <c r="AE3" s="234"/>
      <c r="AF3" s="236"/>
    </row>
    <row r="4" spans="1:79" s="2" customFormat="1" ht="5.0999999999999996" customHeight="1">
      <c r="A4" s="238"/>
      <c r="B4" s="240"/>
      <c r="C4" s="237"/>
      <c r="D4" s="242"/>
      <c r="E4" s="243"/>
      <c r="F4" s="244"/>
      <c r="G4" s="244"/>
      <c r="H4" s="244"/>
      <c r="I4" s="244"/>
      <c r="J4" s="244"/>
      <c r="K4" s="245"/>
      <c r="L4" s="226"/>
      <c r="M4" s="226"/>
      <c r="N4" s="226"/>
      <c r="O4" s="247"/>
      <c r="P4" s="225"/>
      <c r="Q4" s="225"/>
      <c r="R4" s="225"/>
      <c r="S4" s="225"/>
      <c r="T4" s="226"/>
      <c r="U4" s="226"/>
      <c r="V4" s="229"/>
      <c r="W4" s="230"/>
      <c r="X4" s="231"/>
      <c r="Y4" s="226"/>
      <c r="Z4" s="239"/>
      <c r="AA4" s="232"/>
      <c r="AB4" s="227"/>
      <c r="AC4" s="112">
        <v>43646</v>
      </c>
      <c r="AD4" s="113">
        <v>43653</v>
      </c>
      <c r="AE4" s="113">
        <v>43660</v>
      </c>
      <c r="AF4" s="115">
        <v>43667</v>
      </c>
      <c r="AG4" s="121"/>
      <c r="AH4" s="122"/>
      <c r="AI4" s="122"/>
      <c r="AJ4" s="122"/>
      <c r="AK4" s="122"/>
      <c r="AL4" s="122"/>
      <c r="AM4" s="122"/>
      <c r="AN4" s="122"/>
      <c r="AO4" s="122"/>
      <c r="AP4" s="122"/>
      <c r="AQ4" s="122"/>
      <c r="AR4" s="122"/>
      <c r="AS4" s="122"/>
      <c r="AT4" s="122"/>
      <c r="AU4" s="122"/>
      <c r="AV4" s="122"/>
      <c r="AW4" s="122"/>
      <c r="AX4" s="122"/>
      <c r="AY4" s="122"/>
      <c r="AZ4" s="122"/>
      <c r="BA4" s="122"/>
      <c r="BB4" s="122"/>
      <c r="BC4" s="122"/>
      <c r="BD4" s="122"/>
    </row>
    <row r="5" spans="1:79">
      <c r="A5" s="116"/>
      <c r="B5" s="116" t="s">
        <v>976</v>
      </c>
      <c r="C5" s="116">
        <v>1</v>
      </c>
      <c r="D5" s="214" t="s">
        <v>977</v>
      </c>
      <c r="E5" s="163" t="s">
        <v>1015</v>
      </c>
      <c r="F5" s="163"/>
      <c r="G5" s="163"/>
      <c r="H5" s="163"/>
      <c r="I5" s="163"/>
      <c r="J5" s="163"/>
      <c r="K5" s="163"/>
      <c r="L5" s="163"/>
      <c r="M5" s="164">
        <v>43647</v>
      </c>
      <c r="N5" s="164">
        <v>43647</v>
      </c>
      <c r="O5" s="165"/>
      <c r="P5" s="166">
        <v>1</v>
      </c>
      <c r="Q5" s="166">
        <v>1</v>
      </c>
      <c r="R5" s="167">
        <v>1</v>
      </c>
      <c r="S5" s="167">
        <v>1</v>
      </c>
      <c r="T5" s="164"/>
      <c r="U5" s="164"/>
      <c r="V5" s="168">
        <v>0</v>
      </c>
      <c r="W5" s="169">
        <v>0</v>
      </c>
      <c r="X5" s="170"/>
      <c r="Y5" s="165"/>
      <c r="Z5" s="171"/>
      <c r="AA5" s="97">
        <v>1</v>
      </c>
      <c r="AB5" s="172">
        <v>1</v>
      </c>
      <c r="AC5" s="123" t="str">
        <f>"  " &amp; TEXT(AB5,"#0.00%") &amp; " " &amp; "착수" &amp; " " &amp; IF(M5="","",TEXT(M5,"M/D-")) &amp; IF(N5="","",TEXT(N5,"M/D")) &amp; " "</f>
        <v xml:space="preserve">  100.00% 착수 7/1-7/1 </v>
      </c>
      <c r="AD5" s="4"/>
      <c r="AE5" s="4"/>
      <c r="AF5" s="4"/>
      <c r="AG5" s="4"/>
      <c r="AH5" s="4"/>
      <c r="AI5" s="4"/>
      <c r="AJ5" s="4"/>
      <c r="AK5" s="4"/>
      <c r="AL5" s="4"/>
      <c r="AM5" s="4"/>
      <c r="AN5" s="4"/>
      <c r="AO5" s="4"/>
      <c r="AP5" s="4"/>
      <c r="AQ5" s="4"/>
      <c r="AR5" s="4"/>
      <c r="AS5" s="4"/>
      <c r="AT5" s="4"/>
      <c r="AU5" s="4"/>
      <c r="AV5" s="4"/>
      <c r="AW5" s="4"/>
      <c r="AX5" s="4"/>
      <c r="AY5" s="4"/>
      <c r="AZ5" s="4"/>
      <c r="BA5" s="4"/>
      <c r="BB5" s="4"/>
      <c r="BC5" s="4"/>
      <c r="BD5" s="4"/>
    </row>
    <row r="6" spans="1:79" outlineLevel="1">
      <c r="A6" s="116"/>
      <c r="B6" s="116" t="s">
        <v>976</v>
      </c>
      <c r="C6" s="116">
        <v>2</v>
      </c>
      <c r="D6" s="214" t="s">
        <v>978</v>
      </c>
      <c r="E6" s="163"/>
      <c r="F6" s="163" t="s">
        <v>0</v>
      </c>
      <c r="G6" s="163"/>
      <c r="H6" s="163"/>
      <c r="I6" s="163"/>
      <c r="J6" s="163"/>
      <c r="K6" s="163"/>
      <c r="L6" s="163"/>
      <c r="M6" s="164">
        <v>43647</v>
      </c>
      <c r="N6" s="164">
        <v>43647</v>
      </c>
      <c r="O6" s="165"/>
      <c r="P6" s="166">
        <v>1</v>
      </c>
      <c r="Q6" s="166">
        <v>1</v>
      </c>
      <c r="R6" s="167">
        <v>1</v>
      </c>
      <c r="S6" s="167">
        <v>1</v>
      </c>
      <c r="T6" s="164"/>
      <c r="U6" s="164"/>
      <c r="V6" s="168">
        <v>0</v>
      </c>
      <c r="W6" s="169">
        <v>0</v>
      </c>
      <c r="X6" s="170"/>
      <c r="Y6" s="165"/>
      <c r="Z6" s="171"/>
      <c r="AA6" s="97">
        <v>1</v>
      </c>
      <c r="AB6" s="172">
        <v>1</v>
      </c>
      <c r="AC6" s="123" t="str">
        <f>"  " &amp; TEXT(AB6,"#0.00%") &amp; " " &amp; "프로젝트 착수" &amp; " " &amp; IF(M6="","",TEXT(M6,"M/D-")) &amp; IF(N6="","",TEXT(N6,"M/D")) &amp; " "</f>
        <v xml:space="preserve">  100.00% 프로젝트 착수 7/1-7/1 </v>
      </c>
      <c r="AD6" s="4"/>
      <c r="AE6" s="4"/>
      <c r="AF6" s="4"/>
      <c r="AG6" s="4"/>
      <c r="AH6" s="4"/>
      <c r="AI6" s="4"/>
      <c r="AJ6" s="4"/>
      <c r="AK6" s="4"/>
      <c r="AL6" s="4"/>
      <c r="AM6" s="4"/>
      <c r="AN6" s="4"/>
      <c r="AO6" s="4"/>
      <c r="AP6" s="4"/>
      <c r="AQ6" s="4"/>
      <c r="AR6" s="4"/>
      <c r="AS6" s="4"/>
      <c r="AT6" s="4"/>
      <c r="AU6" s="4"/>
      <c r="AV6" s="4"/>
      <c r="AW6" s="4"/>
      <c r="AX6" s="4"/>
      <c r="AY6" s="4"/>
      <c r="AZ6" s="4"/>
      <c r="BA6" s="4"/>
      <c r="BB6" s="4"/>
      <c r="BC6" s="4"/>
      <c r="BD6" s="4"/>
    </row>
    <row r="7" spans="1:79" ht="16.5" outlineLevel="2">
      <c r="A7" s="116"/>
      <c r="B7" s="116"/>
      <c r="C7" s="116">
        <v>3</v>
      </c>
      <c r="D7" s="214" t="s">
        <v>955</v>
      </c>
      <c r="E7" s="163"/>
      <c r="F7" s="163"/>
      <c r="G7" s="163" t="s">
        <v>1018</v>
      </c>
      <c r="H7" s="163"/>
      <c r="I7" s="163"/>
      <c r="J7" s="163"/>
      <c r="K7" s="163"/>
      <c r="L7" s="163"/>
      <c r="M7" s="256">
        <v>43647</v>
      </c>
      <c r="N7" s="256">
        <v>43647</v>
      </c>
      <c r="O7" s="165"/>
      <c r="P7" s="166">
        <v>1</v>
      </c>
      <c r="Q7" s="166">
        <v>1</v>
      </c>
      <c r="R7" s="167">
        <v>1</v>
      </c>
      <c r="S7" s="167">
        <v>1</v>
      </c>
      <c r="T7" s="164"/>
      <c r="U7" s="164"/>
      <c r="V7" s="168"/>
      <c r="W7" s="169">
        <v>0</v>
      </c>
      <c r="X7" s="170">
        <v>1</v>
      </c>
      <c r="Y7" s="219" t="s">
        <v>1261</v>
      </c>
      <c r="Z7" s="171"/>
      <c r="AA7" s="97">
        <v>1</v>
      </c>
      <c r="AB7" s="172">
        <v>1</v>
      </c>
      <c r="AC7" s="123" t="str">
        <f>"  " &amp; TEXT(AB7,"#0.00%") &amp; " " &amp; "킥오프 / 일정 협의" &amp; "(칼로그(공통))" &amp; " " &amp; IF(M7="","",TEXT(M7,"M/D-")) &amp; IF(N7="","",TEXT(N7,"M/D")) &amp; " "</f>
        <v xml:space="preserve">  100.00% 킥오프 / 일정 협의(칼로그(공통)) 7/1-7/1 </v>
      </c>
      <c r="AD7" s="4"/>
      <c r="AE7" s="4"/>
      <c r="AF7" s="4"/>
      <c r="AG7" s="4"/>
      <c r="AH7" s="4"/>
      <c r="AI7" s="4"/>
      <c r="AJ7" s="4"/>
      <c r="AK7" s="4"/>
      <c r="AL7" s="4"/>
      <c r="AM7" s="4"/>
      <c r="AN7" s="4"/>
      <c r="AO7" s="4"/>
      <c r="AP7" s="4"/>
      <c r="AQ7" s="4"/>
      <c r="AR7" s="4"/>
      <c r="AS7" s="4"/>
      <c r="AT7" s="4"/>
      <c r="AU7" s="4"/>
      <c r="AV7" s="4"/>
      <c r="AW7" s="4"/>
      <c r="AX7" s="4"/>
      <c r="AY7" s="4"/>
      <c r="AZ7" s="4"/>
      <c r="BA7" s="4"/>
      <c r="BB7" s="4"/>
      <c r="BC7" s="4"/>
      <c r="BD7" s="4"/>
    </row>
    <row r="8" spans="1:79" ht="16.5">
      <c r="A8" s="116"/>
      <c r="B8" s="116" t="s">
        <v>976</v>
      </c>
      <c r="C8" s="116">
        <v>1</v>
      </c>
      <c r="D8" s="214" t="s">
        <v>979</v>
      </c>
      <c r="E8" s="223" t="s">
        <v>960</v>
      </c>
      <c r="F8" s="163"/>
      <c r="G8" s="163"/>
      <c r="H8" s="163"/>
      <c r="I8" s="163"/>
      <c r="J8" s="163"/>
      <c r="K8" s="163"/>
      <c r="L8" s="163"/>
      <c r="M8" s="264">
        <v>43647</v>
      </c>
      <c r="N8" s="264">
        <v>43648</v>
      </c>
      <c r="O8" s="165"/>
      <c r="P8" s="166">
        <v>4</v>
      </c>
      <c r="Q8" s="166">
        <v>4</v>
      </c>
      <c r="R8" s="167">
        <v>2</v>
      </c>
      <c r="S8" s="167">
        <v>2</v>
      </c>
      <c r="T8" s="164"/>
      <c r="U8" s="164"/>
      <c r="V8" s="168">
        <v>0</v>
      </c>
      <c r="W8" s="169">
        <v>0</v>
      </c>
      <c r="X8" s="170"/>
      <c r="Y8" s="165"/>
      <c r="Z8" s="171"/>
      <c r="AA8" s="97">
        <v>1</v>
      </c>
      <c r="AB8" s="172">
        <v>1</v>
      </c>
      <c r="AC8" s="123" t="str">
        <f>"   " &amp; TEXT(AB8,"#0.00%") &amp; " " &amp; "분석" &amp; " " &amp; IF(M8="","",TEXT(M8,"M/D-")) &amp; IF(N8="","",TEXT(N8,"M/D")) &amp; " "</f>
        <v xml:space="preserve">   100.00% 분석 7/1-7/2 </v>
      </c>
      <c r="AD8" s="4"/>
      <c r="AE8" s="4"/>
      <c r="AF8" s="4"/>
      <c r="AG8" s="4"/>
      <c r="AH8" s="4"/>
      <c r="AI8" s="4"/>
      <c r="AJ8" s="4"/>
      <c r="AK8" s="4"/>
      <c r="AL8" s="4"/>
      <c r="AM8" s="4"/>
      <c r="AN8" s="4"/>
      <c r="AO8" s="4"/>
      <c r="AP8" s="4"/>
      <c r="AQ8" s="4"/>
      <c r="AR8" s="4"/>
      <c r="AS8" s="4"/>
      <c r="AT8" s="4"/>
      <c r="AU8" s="4"/>
      <c r="AV8" s="4"/>
      <c r="AW8" s="4"/>
      <c r="AX8" s="4"/>
      <c r="AY8" s="4"/>
      <c r="AZ8" s="4"/>
      <c r="BA8" s="4"/>
      <c r="BB8" s="4"/>
      <c r="BC8" s="4"/>
      <c r="BD8" s="4"/>
    </row>
    <row r="9" spans="1:79" ht="16.5" outlineLevel="1">
      <c r="A9" s="116"/>
      <c r="B9" s="116" t="s">
        <v>976</v>
      </c>
      <c r="C9" s="116">
        <v>2</v>
      </c>
      <c r="D9" s="214" t="s">
        <v>980</v>
      </c>
      <c r="E9" s="163"/>
      <c r="F9" s="223" t="s">
        <v>1019</v>
      </c>
      <c r="G9" s="163"/>
      <c r="H9" s="163"/>
      <c r="I9" s="163"/>
      <c r="J9" s="163"/>
      <c r="K9" s="163"/>
      <c r="L9" s="163"/>
      <c r="M9" s="264">
        <v>43647</v>
      </c>
      <c r="N9" s="264">
        <v>43648</v>
      </c>
      <c r="O9" s="165"/>
      <c r="P9" s="166">
        <v>2</v>
      </c>
      <c r="Q9" s="166">
        <v>2</v>
      </c>
      <c r="R9" s="167">
        <v>2</v>
      </c>
      <c r="S9" s="167">
        <v>2</v>
      </c>
      <c r="T9" s="164"/>
      <c r="U9" s="164"/>
      <c r="V9" s="168">
        <v>0</v>
      </c>
      <c r="W9" s="169">
        <v>0</v>
      </c>
      <c r="X9" s="170"/>
      <c r="Y9" s="165"/>
      <c r="Z9" s="171"/>
      <c r="AA9" s="97">
        <v>1</v>
      </c>
      <c r="AB9" s="172">
        <v>1</v>
      </c>
      <c r="AC9" s="123" t="str">
        <f>"   " &amp; TEXT(AB9,"#0.00%") &amp; " " &amp; "요구 분석" &amp; " " &amp; IF(M9="","",TEXT(M9,"M/D-")) &amp; IF(N9="","",TEXT(N9,"M/D")) &amp; " "</f>
        <v xml:space="preserve">   100.00% 요구 분석 7/1-7/2 </v>
      </c>
      <c r="AD9" s="4"/>
      <c r="AE9" s="4"/>
      <c r="AF9" s="4"/>
      <c r="AG9" s="4"/>
      <c r="AH9" s="4"/>
      <c r="AI9" s="4"/>
      <c r="AJ9" s="4"/>
      <c r="AK9" s="4"/>
      <c r="AL9" s="4"/>
      <c r="AM9" s="4"/>
      <c r="AN9" s="4"/>
      <c r="AO9" s="4"/>
      <c r="AP9" s="4"/>
      <c r="AQ9" s="4"/>
      <c r="AR9" s="4"/>
      <c r="AS9" s="4"/>
      <c r="AT9" s="4"/>
      <c r="AU9" s="4"/>
      <c r="AV9" s="4"/>
      <c r="AW9" s="4"/>
      <c r="AX9" s="4"/>
      <c r="AY9" s="4"/>
      <c r="AZ9" s="4"/>
      <c r="BA9" s="4"/>
      <c r="BB9" s="4"/>
      <c r="BC9" s="4"/>
      <c r="BD9" s="4"/>
    </row>
    <row r="10" spans="1:79" ht="16.5" outlineLevel="2">
      <c r="A10" s="116"/>
      <c r="B10" s="116"/>
      <c r="C10" s="116">
        <v>3</v>
      </c>
      <c r="D10" s="214" t="s">
        <v>957</v>
      </c>
      <c r="E10" s="163"/>
      <c r="F10" s="163"/>
      <c r="G10" s="163" t="s">
        <v>1019</v>
      </c>
      <c r="H10" s="163"/>
      <c r="I10" s="163"/>
      <c r="J10" s="163"/>
      <c r="K10" s="163"/>
      <c r="L10" s="163"/>
      <c r="M10" s="256">
        <v>43647</v>
      </c>
      <c r="N10" s="256">
        <v>43647</v>
      </c>
      <c r="O10" s="165"/>
      <c r="P10" s="166">
        <v>1</v>
      </c>
      <c r="Q10" s="166">
        <v>1</v>
      </c>
      <c r="R10" s="167">
        <v>1</v>
      </c>
      <c r="S10" s="167">
        <v>1</v>
      </c>
      <c r="T10" s="164"/>
      <c r="U10" s="164"/>
      <c r="V10" s="168"/>
      <c r="W10" s="169">
        <v>0</v>
      </c>
      <c r="X10" s="170">
        <v>1</v>
      </c>
      <c r="Y10" s="219" t="s">
        <v>1261</v>
      </c>
      <c r="Z10" s="171"/>
      <c r="AA10" s="97">
        <v>1</v>
      </c>
      <c r="AB10" s="172">
        <v>1</v>
      </c>
      <c r="AC10" s="123" t="str">
        <f>"  " &amp; TEXT(AB10,"#0.00%") &amp; " " &amp; "요구 분석" &amp; "(칼로그(공통))" &amp; " " &amp; IF(M10="","",TEXT(M10,"M/D-")) &amp; IF(N10="","",TEXT(N10,"M/D")) &amp; " "</f>
        <v xml:space="preserve">  100.00% 요구 분석(칼로그(공통)) 7/1-7/1 </v>
      </c>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row>
    <row r="11" spans="1:79" ht="16.5" outlineLevel="2">
      <c r="A11" s="116"/>
      <c r="B11" s="116"/>
      <c r="C11" s="116">
        <v>3</v>
      </c>
      <c r="D11" s="214" t="s">
        <v>981</v>
      </c>
      <c r="E11" s="163"/>
      <c r="F11" s="163"/>
      <c r="G11" s="163" t="s">
        <v>1020</v>
      </c>
      <c r="H11" s="163"/>
      <c r="I11" s="163"/>
      <c r="J11" s="163"/>
      <c r="K11" s="163"/>
      <c r="L11" s="163"/>
      <c r="M11" s="256">
        <v>43648</v>
      </c>
      <c r="N11" s="256">
        <v>43648</v>
      </c>
      <c r="O11" s="165"/>
      <c r="P11" s="166">
        <v>1</v>
      </c>
      <c r="Q11" s="166">
        <v>1</v>
      </c>
      <c r="R11" s="167">
        <v>1</v>
      </c>
      <c r="S11" s="167">
        <v>1</v>
      </c>
      <c r="T11" s="164"/>
      <c r="U11" s="164"/>
      <c r="V11" s="168"/>
      <c r="W11" s="169">
        <v>0</v>
      </c>
      <c r="X11" s="170">
        <v>1</v>
      </c>
      <c r="Y11" s="219" t="s">
        <v>1261</v>
      </c>
      <c r="Z11" s="171"/>
      <c r="AA11" s="97">
        <v>1</v>
      </c>
      <c r="AB11" s="172">
        <v>1</v>
      </c>
      <c r="AC11" s="123" t="str">
        <f>"   " &amp; TEXT(AB11,"#0.00%") &amp; " " &amp; "실행 방법 수립" &amp; "(칼로그(공통))" &amp; " " &amp; IF(M11="","",TEXT(M11,"M/D-")) &amp; IF(N11="","",TEXT(N11,"M/D")) &amp; " "</f>
        <v xml:space="preserve">   100.00% 실행 방법 수립(칼로그(공통)) 7/2-7/2 </v>
      </c>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row>
    <row r="12" spans="1:79" ht="16.5" outlineLevel="1">
      <c r="A12" s="116"/>
      <c r="B12" s="116" t="s">
        <v>976</v>
      </c>
      <c r="C12" s="116">
        <v>2</v>
      </c>
      <c r="D12" s="214" t="s">
        <v>982</v>
      </c>
      <c r="E12" s="163"/>
      <c r="F12" s="163" t="s">
        <v>1020</v>
      </c>
      <c r="G12" s="163"/>
      <c r="H12" s="163"/>
      <c r="I12" s="163"/>
      <c r="J12" s="163"/>
      <c r="K12" s="163"/>
      <c r="L12" s="163"/>
      <c r="M12" s="264">
        <v>43648</v>
      </c>
      <c r="N12" s="264">
        <v>43648</v>
      </c>
      <c r="O12" s="165"/>
      <c r="P12" s="166">
        <v>2</v>
      </c>
      <c r="Q12" s="166">
        <v>2</v>
      </c>
      <c r="R12" s="167">
        <v>1</v>
      </c>
      <c r="S12" s="167">
        <v>1</v>
      </c>
      <c r="T12" s="164"/>
      <c r="U12" s="164"/>
      <c r="V12" s="168">
        <v>0</v>
      </c>
      <c r="W12" s="169">
        <v>0</v>
      </c>
      <c r="X12" s="170"/>
      <c r="Y12" s="165"/>
      <c r="Z12" s="171"/>
      <c r="AA12" s="97">
        <v>1</v>
      </c>
      <c r="AB12" s="172">
        <v>1</v>
      </c>
      <c r="AC12" s="123" t="str">
        <f>"   " &amp; TEXT(AB12,"#0.00%") &amp; " " &amp; "실행 방법 수립" &amp; " " &amp; IF(M12="","",TEXT(M12,"M/D-")) &amp; IF(N12="","",TEXT(N12,"M/D")) &amp; " "</f>
        <v xml:space="preserve">   100.00% 실행 방법 수립 7/2-7/2 </v>
      </c>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row>
    <row r="13" spans="1:79" ht="16.5" outlineLevel="2">
      <c r="A13" s="116"/>
      <c r="B13" s="116"/>
      <c r="C13" s="116">
        <v>3</v>
      </c>
      <c r="D13" s="214" t="s">
        <v>958</v>
      </c>
      <c r="E13" s="163"/>
      <c r="F13" s="163"/>
      <c r="G13" s="163" t="s">
        <v>1021</v>
      </c>
      <c r="H13" s="163"/>
      <c r="I13" s="163"/>
      <c r="J13" s="163"/>
      <c r="K13" s="163"/>
      <c r="L13" s="163"/>
      <c r="M13" s="256">
        <v>43648</v>
      </c>
      <c r="N13" s="256">
        <v>43648</v>
      </c>
      <c r="O13" s="165"/>
      <c r="P13" s="166">
        <v>1</v>
      </c>
      <c r="Q13" s="166">
        <v>1</v>
      </c>
      <c r="R13" s="167">
        <v>1</v>
      </c>
      <c r="S13" s="167">
        <v>1</v>
      </c>
      <c r="T13" s="164"/>
      <c r="U13" s="164"/>
      <c r="V13" s="168"/>
      <c r="W13" s="169">
        <v>0</v>
      </c>
      <c r="X13" s="170">
        <v>1</v>
      </c>
      <c r="Y13" s="219" t="s">
        <v>1261</v>
      </c>
      <c r="Z13" s="171"/>
      <c r="AA13" s="97">
        <v>1</v>
      </c>
      <c r="AB13" s="172">
        <v>1</v>
      </c>
      <c r="AC13" s="123" t="str">
        <f>"   " &amp; TEXT(AB13,"#0.00%") &amp; " " &amp; "서비스 전략 수립" &amp; "(칼로그(공통))" &amp; " " &amp; IF(M13="","",TEXT(M13,"M/D-")) &amp; IF(N13="","",TEXT(N13,"M/D")) &amp; " "</f>
        <v xml:space="preserve">   100.00% 서비스 전략 수립(칼로그(공통)) 7/2-7/2 </v>
      </c>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row>
    <row r="14" spans="1:79" ht="16.5" outlineLevel="2">
      <c r="A14" s="116"/>
      <c r="B14" s="116"/>
      <c r="C14" s="116">
        <v>3</v>
      </c>
      <c r="D14" s="214" t="s">
        <v>983</v>
      </c>
      <c r="E14" s="163"/>
      <c r="F14" s="163"/>
      <c r="G14" s="163" t="s">
        <v>1022</v>
      </c>
      <c r="H14" s="163"/>
      <c r="I14" s="163"/>
      <c r="J14" s="163"/>
      <c r="K14" s="163"/>
      <c r="L14" s="163"/>
      <c r="M14" s="256">
        <v>43648</v>
      </c>
      <c r="N14" s="256">
        <v>43648</v>
      </c>
      <c r="O14" s="165"/>
      <c r="P14" s="166">
        <v>1</v>
      </c>
      <c r="Q14" s="166">
        <v>1</v>
      </c>
      <c r="R14" s="167">
        <v>1</v>
      </c>
      <c r="S14" s="167">
        <v>1</v>
      </c>
      <c r="T14" s="164"/>
      <c r="U14" s="164"/>
      <c r="V14" s="168"/>
      <c r="W14" s="169">
        <v>0</v>
      </c>
      <c r="X14" s="170">
        <v>1</v>
      </c>
      <c r="Y14" s="219" t="s">
        <v>1261</v>
      </c>
      <c r="Z14" s="171"/>
      <c r="AA14" s="97">
        <v>1</v>
      </c>
      <c r="AB14" s="172">
        <v>1</v>
      </c>
      <c r="AC14" s="123" t="str">
        <f>"   " &amp; TEXT(AB14,"#0.00%") &amp; " " &amp; "커텐츠 수용 협의 계획" &amp; "(칼로그(공통))" &amp; " " &amp; IF(M14="","",TEXT(M14,"M/D-")) &amp; IF(N14="","",TEXT(N14,"M/D")) &amp; " "</f>
        <v xml:space="preserve">   100.00% 커텐츠 수용 협의 계획(칼로그(공통)) 7/2-7/2 </v>
      </c>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row>
    <row r="15" spans="1:79" ht="16.5">
      <c r="A15" s="116"/>
      <c r="B15" s="116" t="s">
        <v>976</v>
      </c>
      <c r="C15" s="116">
        <v>1</v>
      </c>
      <c r="D15" s="214" t="s">
        <v>1023</v>
      </c>
      <c r="E15" s="163" t="s">
        <v>961</v>
      </c>
      <c r="F15" s="163"/>
      <c r="G15" s="163"/>
      <c r="H15" s="163"/>
      <c r="I15" s="163"/>
      <c r="J15" s="163"/>
      <c r="K15" s="163"/>
      <c r="L15" s="163"/>
      <c r="M15" s="264">
        <v>43649</v>
      </c>
      <c r="N15" s="264">
        <v>43658</v>
      </c>
      <c r="O15" s="165"/>
      <c r="P15" s="166">
        <v>25</v>
      </c>
      <c r="Q15" s="166">
        <v>25</v>
      </c>
      <c r="R15" s="167">
        <v>8</v>
      </c>
      <c r="S15" s="167">
        <v>8</v>
      </c>
      <c r="T15" s="164"/>
      <c r="U15" s="164"/>
      <c r="V15" s="168">
        <v>0</v>
      </c>
      <c r="W15" s="169">
        <v>0</v>
      </c>
      <c r="X15" s="170"/>
      <c r="Y15" s="165"/>
      <c r="Z15" s="171"/>
      <c r="AA15" s="97">
        <v>1</v>
      </c>
      <c r="AB15" s="172">
        <v>1</v>
      </c>
      <c r="AC15" s="123"/>
      <c r="AD15" s="4" t="str">
        <f>"      " &amp; TEXT(AB15,"#0.00%") &amp; " " &amp; "설계" &amp; " " &amp; IF(M15="","",TEXT(M15,"M/D-")) &amp; IF(N15="","",TEXT(N15,"M/D")) &amp; " "</f>
        <v xml:space="preserve">      100.00% 설계 7/3-7/12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row>
    <row r="16" spans="1:79" ht="16.5" outlineLevel="1">
      <c r="A16" s="116"/>
      <c r="B16" s="116" t="s">
        <v>976</v>
      </c>
      <c r="C16" s="116">
        <v>2</v>
      </c>
      <c r="D16" s="214" t="s">
        <v>1036</v>
      </c>
      <c r="E16" s="163"/>
      <c r="F16" s="163" t="s">
        <v>1028</v>
      </c>
      <c r="G16" s="163"/>
      <c r="H16" s="163"/>
      <c r="I16" s="163"/>
      <c r="J16" s="163"/>
      <c r="K16" s="163"/>
      <c r="L16" s="163"/>
      <c r="M16" s="264">
        <v>43649</v>
      </c>
      <c r="N16" s="264">
        <v>43654</v>
      </c>
      <c r="O16" s="165"/>
      <c r="P16" s="166">
        <v>9</v>
      </c>
      <c r="Q16" s="166">
        <v>9</v>
      </c>
      <c r="R16" s="167">
        <v>4</v>
      </c>
      <c r="S16" s="167">
        <v>4</v>
      </c>
      <c r="T16" s="164"/>
      <c r="U16" s="164"/>
      <c r="V16" s="168">
        <v>0</v>
      </c>
      <c r="W16" s="169">
        <v>0</v>
      </c>
      <c r="X16" s="170"/>
      <c r="Y16" s="165"/>
      <c r="Z16" s="171"/>
      <c r="AA16" s="97">
        <v>1</v>
      </c>
      <c r="AB16" s="172">
        <v>1</v>
      </c>
      <c r="AC16" s="123"/>
      <c r="AD16" s="4" t="str">
        <f>"  " &amp; TEXT(AB16,"#0.00%") &amp; " " &amp; "기초 설계" &amp; " " &amp; IF(M16="","",TEXT(M16,"M/D-")) &amp; IF(N16="","",TEXT(N16,"M/D")) &amp; " "</f>
        <v xml:space="preserve">  100.00% 기초 설계 7/3-7/8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row>
    <row r="17" spans="1:56" ht="16.5" outlineLevel="2">
      <c r="A17" s="116"/>
      <c r="B17" s="116"/>
      <c r="C17" s="116">
        <v>3</v>
      </c>
      <c r="D17" s="214" t="s">
        <v>1037</v>
      </c>
      <c r="E17" s="163"/>
      <c r="F17" s="163"/>
      <c r="G17" s="163" t="s">
        <v>1029</v>
      </c>
      <c r="H17" s="163"/>
      <c r="I17" s="163"/>
      <c r="J17" s="163"/>
      <c r="K17" s="163"/>
      <c r="L17" s="163"/>
      <c r="M17" s="256">
        <v>43649</v>
      </c>
      <c r="N17" s="256">
        <v>43649</v>
      </c>
      <c r="O17" s="165"/>
      <c r="P17" s="166">
        <v>1</v>
      </c>
      <c r="Q17" s="166">
        <v>1</v>
      </c>
      <c r="R17" s="167">
        <v>1</v>
      </c>
      <c r="S17" s="167">
        <v>1</v>
      </c>
      <c r="T17" s="164"/>
      <c r="U17" s="164"/>
      <c r="V17" s="168"/>
      <c r="W17" s="169">
        <v>0</v>
      </c>
      <c r="X17" s="170">
        <v>1</v>
      </c>
      <c r="Y17" s="219" t="s">
        <v>1261</v>
      </c>
      <c r="Z17" s="171"/>
      <c r="AA17" s="97">
        <v>1</v>
      </c>
      <c r="AB17" s="172">
        <v>1</v>
      </c>
      <c r="AC17" s="123" t="str">
        <f>"    " &amp; TEXT(AB17,"#0.00%") &amp; " " &amp; "앱 메뉴/구조도 설계" &amp; "(칼로그(공통))" &amp; " " &amp; IF(M17="","",TEXT(M17,"M/D-")) &amp; IF(N17="","",TEXT(N17,"M/D")) &amp; " "</f>
        <v xml:space="preserve">    100.00% 앱 메뉴/구조도 설계(칼로그(공통)) 7/3-7/3 </v>
      </c>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row>
    <row r="18" spans="1:56" ht="16.5" outlineLevel="2">
      <c r="A18" s="116"/>
      <c r="B18" s="116"/>
      <c r="C18" s="116">
        <v>3</v>
      </c>
      <c r="D18" s="214" t="s">
        <v>1038</v>
      </c>
      <c r="E18" s="163"/>
      <c r="F18" s="163"/>
      <c r="G18" s="163" t="s">
        <v>1027</v>
      </c>
      <c r="H18" s="163"/>
      <c r="I18" s="163"/>
      <c r="J18" s="163"/>
      <c r="K18" s="163"/>
      <c r="L18" s="163"/>
      <c r="M18" s="256">
        <v>43650</v>
      </c>
      <c r="N18" s="256">
        <v>43650</v>
      </c>
      <c r="O18" s="165"/>
      <c r="P18" s="166">
        <v>1</v>
      </c>
      <c r="Q18" s="166">
        <v>1</v>
      </c>
      <c r="R18" s="167">
        <v>1</v>
      </c>
      <c r="S18" s="167">
        <v>1</v>
      </c>
      <c r="T18" s="164"/>
      <c r="U18" s="164"/>
      <c r="V18" s="168"/>
      <c r="W18" s="169">
        <v>0</v>
      </c>
      <c r="X18" s="170">
        <v>1</v>
      </c>
      <c r="Y18" s="219" t="s">
        <v>1261</v>
      </c>
      <c r="Z18" s="171"/>
      <c r="AA18" s="97">
        <v>1</v>
      </c>
      <c r="AB18" s="172">
        <v>1</v>
      </c>
      <c r="AC18" s="123" t="str">
        <f>"     " &amp; TEXT(AB18,"#0.00%") &amp; " " &amp; "맵 메뉴 구조도 fix" &amp; "(칼로그(공통))" &amp; " " &amp; IF(M18="","",TEXT(M18,"M/D-")) &amp; IF(N18="","",TEXT(N18,"M/D")) &amp; " "</f>
        <v xml:space="preserve">     100.00% 맵 메뉴 구조도 fix(칼로그(공통)) 7/4-7/4 </v>
      </c>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row>
    <row r="19" spans="1:56" ht="16.5" outlineLevel="2">
      <c r="A19" s="116"/>
      <c r="B19" s="116"/>
      <c r="C19" s="116">
        <v>3</v>
      </c>
      <c r="D19" s="214" t="s">
        <v>1039</v>
      </c>
      <c r="E19" s="163"/>
      <c r="F19" s="163"/>
      <c r="G19" s="216" t="s">
        <v>1030</v>
      </c>
      <c r="H19" s="163"/>
      <c r="I19" s="163"/>
      <c r="J19" s="163"/>
      <c r="K19" s="163"/>
      <c r="L19" s="163"/>
      <c r="M19" s="256">
        <v>43650</v>
      </c>
      <c r="N19" s="256">
        <v>43650</v>
      </c>
      <c r="O19" s="165"/>
      <c r="P19" s="166">
        <v>1</v>
      </c>
      <c r="Q19" s="166">
        <v>1</v>
      </c>
      <c r="R19" s="167">
        <v>1</v>
      </c>
      <c r="S19" s="167">
        <v>1</v>
      </c>
      <c r="T19" s="164"/>
      <c r="U19" s="164"/>
      <c r="V19" s="168"/>
      <c r="W19" s="169">
        <v>0</v>
      </c>
      <c r="X19" s="170">
        <v>1</v>
      </c>
      <c r="Y19" s="219" t="s">
        <v>1261</v>
      </c>
      <c r="Z19" s="171"/>
      <c r="AA19" s="97">
        <v>1</v>
      </c>
      <c r="AB19" s="172">
        <v>1</v>
      </c>
      <c r="AC19" s="123" t="str">
        <f>"     " &amp; TEXT(AB19,"#0.00%") &amp; " " &amp; "컨텐츠 수정/보완" &amp; "(칼로그(공통))" &amp; " " &amp; IF(M19="","",TEXT(M19,"M/D-")) &amp; IF(N19="","",TEXT(N19,"M/D")) &amp; " "</f>
        <v xml:space="preserve">     100.00% 컨텐츠 수정/보완(칼로그(공통)) 7/4-7/4 </v>
      </c>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row>
    <row r="20" spans="1:56" ht="16.5" outlineLevel="2">
      <c r="A20" s="116"/>
      <c r="B20" s="116"/>
      <c r="C20" s="116">
        <v>3</v>
      </c>
      <c r="D20" s="214" t="s">
        <v>1040</v>
      </c>
      <c r="E20" s="163"/>
      <c r="F20" s="163"/>
      <c r="G20" s="216" t="s">
        <v>1031</v>
      </c>
      <c r="H20" s="163"/>
      <c r="I20" s="163"/>
      <c r="J20" s="163"/>
      <c r="K20" s="163"/>
      <c r="L20" s="163"/>
      <c r="M20" s="256">
        <v>43650</v>
      </c>
      <c r="N20" s="256">
        <v>43651</v>
      </c>
      <c r="O20" s="165"/>
      <c r="P20" s="166">
        <v>2</v>
      </c>
      <c r="Q20" s="166">
        <v>2</v>
      </c>
      <c r="R20" s="167">
        <v>2</v>
      </c>
      <c r="S20" s="167">
        <v>2</v>
      </c>
      <c r="T20" s="164"/>
      <c r="U20" s="164"/>
      <c r="V20" s="168"/>
      <c r="W20" s="169">
        <v>0</v>
      </c>
      <c r="X20" s="170">
        <v>1</v>
      </c>
      <c r="Y20" s="219" t="s">
        <v>1261</v>
      </c>
      <c r="Z20" s="171"/>
      <c r="AA20" s="97">
        <v>1</v>
      </c>
      <c r="AB20" s="172">
        <v>1</v>
      </c>
      <c r="AC20" s="123" t="str">
        <f>"      " &amp; TEXT(AB20,"#0.00%") &amp; " " &amp; "메인 시안 화면 설계서 작업" &amp; "(칼로그(공통))" &amp; " " &amp; IF(M20="","",TEXT(M20,"M/D-")) &amp; IF(N20="","",TEXT(N20,"M/D")) &amp; " "</f>
        <v xml:space="preserve">      100.00% 메인 시안 화면 설계서 작업(칼로그(공통)) 7/4-7/5 </v>
      </c>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row>
    <row r="21" spans="1:56" ht="16.5" outlineLevel="2">
      <c r="A21" s="116"/>
      <c r="B21" s="116"/>
      <c r="C21" s="116">
        <v>3</v>
      </c>
      <c r="D21" s="214" t="s">
        <v>1041</v>
      </c>
      <c r="E21" s="163"/>
      <c r="F21" s="163"/>
      <c r="G21" s="216" t="s">
        <v>1032</v>
      </c>
      <c r="H21" s="163"/>
      <c r="I21" s="163"/>
      <c r="J21" s="163"/>
      <c r="K21" s="163"/>
      <c r="L21" s="163"/>
      <c r="M21" s="256">
        <v>43651</v>
      </c>
      <c r="N21" s="256">
        <v>43651</v>
      </c>
      <c r="O21" s="165"/>
      <c r="P21" s="166">
        <v>1</v>
      </c>
      <c r="Q21" s="166">
        <v>1</v>
      </c>
      <c r="R21" s="167">
        <v>1</v>
      </c>
      <c r="S21" s="167">
        <v>1</v>
      </c>
      <c r="T21" s="164"/>
      <c r="U21" s="164"/>
      <c r="V21" s="168"/>
      <c r="W21" s="169">
        <v>0</v>
      </c>
      <c r="X21" s="170">
        <v>1</v>
      </c>
      <c r="Y21" s="219" t="s">
        <v>1261</v>
      </c>
      <c r="Z21" s="171"/>
      <c r="AA21" s="97">
        <v>1</v>
      </c>
      <c r="AB21" s="172">
        <v>1</v>
      </c>
      <c r="AC21" s="123" t="str">
        <f>"      " &amp; TEXT(AB21,"#0.00%") &amp; " " &amp; "메인 디자인 시안 작업" &amp; "(칼로그(공통))" &amp; " " &amp; IF(M21="","",TEXT(M21,"M/D-")) &amp; IF(N21="","",TEXT(N21,"M/D")) &amp; " "</f>
        <v xml:space="preserve">      100.00% 메인 디자인 시안 작업(칼로그(공통)) 7/5-7/5 </v>
      </c>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row>
    <row r="22" spans="1:56" ht="16.5" outlineLevel="2">
      <c r="A22" s="116"/>
      <c r="B22" s="116"/>
      <c r="C22" s="116">
        <v>3</v>
      </c>
      <c r="D22" s="214" t="s">
        <v>1042</v>
      </c>
      <c r="E22" s="163"/>
      <c r="F22" s="163"/>
      <c r="G22" s="216" t="s">
        <v>1033</v>
      </c>
      <c r="H22" s="163"/>
      <c r="I22" s="163"/>
      <c r="J22" s="163"/>
      <c r="K22" s="163"/>
      <c r="L22" s="163"/>
      <c r="M22" s="256">
        <v>43654</v>
      </c>
      <c r="N22" s="256">
        <v>43654</v>
      </c>
      <c r="O22" s="165"/>
      <c r="P22" s="166">
        <v>1</v>
      </c>
      <c r="Q22" s="166">
        <v>1</v>
      </c>
      <c r="R22" s="167">
        <v>1</v>
      </c>
      <c r="S22" s="167">
        <v>1</v>
      </c>
      <c r="T22" s="164"/>
      <c r="U22" s="164"/>
      <c r="V22" s="168"/>
      <c r="W22" s="169">
        <v>0</v>
      </c>
      <c r="X22" s="170">
        <v>1</v>
      </c>
      <c r="Y22" s="219" t="s">
        <v>1261</v>
      </c>
      <c r="Z22" s="171"/>
      <c r="AA22" s="97">
        <v>1</v>
      </c>
      <c r="AB22" s="172">
        <v>1</v>
      </c>
      <c r="AC22" s="123"/>
      <c r="AD22" s="4" t="str">
        <f>"  " &amp; TEXT(AB22,"#0.00%") &amp; " " &amp; "메인 시안 검토" &amp; "(칼로그(공통))" &amp; " " &amp; IF(M22="","",TEXT(M22,"M/D-")) &amp; IF(N22="","",TEXT(N22,"M/D")) &amp; " "</f>
        <v xml:space="preserve">  100.00% 메인 시안 검토(칼로그(공통)) 7/8-7/8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row>
    <row r="23" spans="1:56" ht="16.5" outlineLevel="2">
      <c r="A23" s="116"/>
      <c r="B23" s="116"/>
      <c r="C23" s="116">
        <v>3</v>
      </c>
      <c r="D23" s="214" t="s">
        <v>1043</v>
      </c>
      <c r="E23" s="163"/>
      <c r="F23" s="163"/>
      <c r="G23" s="216" t="s">
        <v>1034</v>
      </c>
      <c r="H23" s="163"/>
      <c r="I23" s="163"/>
      <c r="J23" s="163"/>
      <c r="K23" s="163"/>
      <c r="L23" s="163"/>
      <c r="M23" s="256">
        <v>43654</v>
      </c>
      <c r="N23" s="256">
        <v>43654</v>
      </c>
      <c r="O23" s="165"/>
      <c r="P23" s="166">
        <v>1</v>
      </c>
      <c r="Q23" s="166">
        <v>1</v>
      </c>
      <c r="R23" s="167">
        <v>1</v>
      </c>
      <c r="S23" s="167">
        <v>1</v>
      </c>
      <c r="T23" s="164"/>
      <c r="U23" s="164"/>
      <c r="V23" s="168"/>
      <c r="W23" s="169">
        <v>0</v>
      </c>
      <c r="X23" s="170">
        <v>1</v>
      </c>
      <c r="Y23" s="219" t="s">
        <v>1261</v>
      </c>
      <c r="Z23" s="171"/>
      <c r="AA23" s="97">
        <v>1</v>
      </c>
      <c r="AB23" s="172">
        <v>1</v>
      </c>
      <c r="AC23" s="123"/>
      <c r="AD23" s="4" t="str">
        <f>"  " &amp; TEXT(AB23,"#0.00%") &amp; " " &amp; "메인 시안 검토 및 수정" &amp; "(칼로그(공통))" &amp; " " &amp; IF(M23="","",TEXT(M23,"M/D-")) &amp; IF(N23="","",TEXT(N23,"M/D")) &amp; " "</f>
        <v xml:space="preserve">  100.00% 메인 시안 검토 및 수정(칼로그(공통)) 7/8-7/8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row>
    <row r="24" spans="1:56" ht="16.5" outlineLevel="2">
      <c r="A24" s="116"/>
      <c r="B24" s="116"/>
      <c r="C24" s="116">
        <v>3</v>
      </c>
      <c r="D24" s="195" t="s">
        <v>1044</v>
      </c>
      <c r="E24" s="194"/>
      <c r="F24" s="163"/>
      <c r="G24" s="216" t="s">
        <v>1035</v>
      </c>
      <c r="H24" s="163"/>
      <c r="I24" s="163"/>
      <c r="J24" s="163"/>
      <c r="K24" s="163"/>
      <c r="L24" s="163"/>
      <c r="M24" s="256">
        <v>43654</v>
      </c>
      <c r="N24" s="256">
        <v>43654</v>
      </c>
      <c r="O24" s="165"/>
      <c r="P24" s="166">
        <v>1</v>
      </c>
      <c r="Q24" s="166">
        <v>1</v>
      </c>
      <c r="R24" s="167">
        <v>1</v>
      </c>
      <c r="S24" s="167">
        <v>1</v>
      </c>
      <c r="T24" s="164"/>
      <c r="U24" s="164"/>
      <c r="V24" s="168"/>
      <c r="W24" s="169">
        <v>0</v>
      </c>
      <c r="X24" s="170">
        <v>1</v>
      </c>
      <c r="Y24" s="219" t="s">
        <v>1261</v>
      </c>
      <c r="Z24" s="171"/>
      <c r="AA24" s="97">
        <v>1</v>
      </c>
      <c r="AB24" s="172">
        <v>1</v>
      </c>
      <c r="AC24" s="123"/>
      <c r="AD24" s="4" t="str">
        <f>"  " &amp; TEXT(AB24,"#0.00%") &amp; " " &amp; "메인 시안 fix" &amp; "(칼로그(공통))" &amp; " " &amp; IF(M24="","",TEXT(M24,"M/D-")) &amp; IF(N24="","",TEXT(N24,"M/D")) &amp; " "</f>
        <v xml:space="preserve">  100.00% 메인 시안 fix(칼로그(공통)) 7/8-7/8 </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row>
    <row r="25" spans="1:56" ht="16.5" outlineLevel="1">
      <c r="A25" s="116"/>
      <c r="B25" s="116" t="s">
        <v>976</v>
      </c>
      <c r="C25" s="116">
        <v>2</v>
      </c>
      <c r="D25" s="195" t="s">
        <v>1050</v>
      </c>
      <c r="E25" s="194"/>
      <c r="F25" s="163" t="s">
        <v>1045</v>
      </c>
      <c r="G25" s="216"/>
      <c r="H25" s="163"/>
      <c r="I25" s="163"/>
      <c r="J25" s="163"/>
      <c r="K25" s="163"/>
      <c r="L25" s="163"/>
      <c r="M25" s="264">
        <v>43654</v>
      </c>
      <c r="N25" s="264">
        <v>43658</v>
      </c>
      <c r="O25" s="165"/>
      <c r="P25" s="166">
        <v>16</v>
      </c>
      <c r="Q25" s="166">
        <v>16</v>
      </c>
      <c r="R25" s="167">
        <v>5</v>
      </c>
      <c r="S25" s="167">
        <v>5</v>
      </c>
      <c r="T25" s="164"/>
      <c r="U25" s="164"/>
      <c r="V25" s="168">
        <v>0</v>
      </c>
      <c r="W25" s="169">
        <v>0</v>
      </c>
      <c r="X25" s="170"/>
      <c r="Y25" s="165"/>
      <c r="Z25" s="171"/>
      <c r="AA25" s="97">
        <v>1</v>
      </c>
      <c r="AB25" s="172">
        <v>1</v>
      </c>
      <c r="AC25" s="123"/>
      <c r="AD25" s="4" t="str">
        <f>"      " &amp; TEXT(AB25,"#0.00%") &amp; " " &amp; "상세 설계" &amp; " " &amp; IF(M25="","",TEXT(M25,"M/D-")) &amp; IF(N25="","",TEXT(N25,"M/D")) &amp; " "</f>
        <v xml:space="preserve">      100.00% 상세 설계 7/8-7/12 </v>
      </c>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row>
    <row r="26" spans="1:56" ht="16.5" outlineLevel="2">
      <c r="A26" s="116"/>
      <c r="B26" s="116" t="s">
        <v>976</v>
      </c>
      <c r="C26" s="116">
        <v>3</v>
      </c>
      <c r="D26" s="195" t="s">
        <v>1051</v>
      </c>
      <c r="E26" s="194"/>
      <c r="F26" s="163"/>
      <c r="G26" s="216" t="s">
        <v>1270</v>
      </c>
      <c r="H26" s="163"/>
      <c r="I26" s="163"/>
      <c r="J26" s="163"/>
      <c r="K26" s="163"/>
      <c r="L26" s="163"/>
      <c r="M26" s="264">
        <v>43654</v>
      </c>
      <c r="N26" s="264">
        <v>43655</v>
      </c>
      <c r="O26" s="165"/>
      <c r="P26" s="166">
        <v>4</v>
      </c>
      <c r="Q26" s="166">
        <v>4</v>
      </c>
      <c r="R26" s="167">
        <v>2</v>
      </c>
      <c r="S26" s="167">
        <v>2</v>
      </c>
      <c r="T26" s="164"/>
      <c r="U26" s="164"/>
      <c r="V26" s="168">
        <v>0</v>
      </c>
      <c r="W26" s="169">
        <v>0</v>
      </c>
      <c r="X26" s="170"/>
      <c r="Y26" s="165"/>
      <c r="Z26" s="171"/>
      <c r="AA26" s="97">
        <v>1</v>
      </c>
      <c r="AB26" s="172">
        <v>1</v>
      </c>
      <c r="AC26" s="123"/>
      <c r="AD26" s="4" t="str">
        <f>"   " &amp; TEXT(AB26,"#0.00%") &amp; " " &amp; "안드로이드 화면 (운동,수면,음주,식단,메인 외)" &amp; " " &amp; IF(M26="","",TEXT(M26,"M/D-")) &amp; IF(N26="","",TEXT(N26,"M/D")) &amp; " "</f>
        <v xml:space="preserve">   100.00% 안드로이드 화면 (운동,수면,음주,식단,메인 외) 7/8-7/9 </v>
      </c>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row>
    <row r="27" spans="1:56" ht="16.5" outlineLevel="3">
      <c r="A27" s="116"/>
      <c r="B27" s="116"/>
      <c r="C27" s="116">
        <v>4</v>
      </c>
      <c r="D27" s="195" t="s">
        <v>1052</v>
      </c>
      <c r="E27" s="194"/>
      <c r="F27" s="163"/>
      <c r="G27" s="216"/>
      <c r="H27" s="216" t="s">
        <v>1046</v>
      </c>
      <c r="I27" s="163"/>
      <c r="J27" s="163"/>
      <c r="K27" s="163"/>
      <c r="L27" s="163"/>
      <c r="M27" s="258">
        <v>43654</v>
      </c>
      <c r="N27" s="258">
        <v>43654</v>
      </c>
      <c r="O27" s="165"/>
      <c r="P27" s="166">
        <v>1</v>
      </c>
      <c r="Q27" s="166">
        <v>1</v>
      </c>
      <c r="R27" s="167">
        <v>1</v>
      </c>
      <c r="S27" s="167">
        <v>1</v>
      </c>
      <c r="T27" s="164"/>
      <c r="U27" s="164"/>
      <c r="V27" s="168"/>
      <c r="W27" s="169">
        <v>0</v>
      </c>
      <c r="X27" s="170">
        <v>1</v>
      </c>
      <c r="Y27" s="219" t="s">
        <v>1130</v>
      </c>
      <c r="Z27" s="171" t="s">
        <v>1143</v>
      </c>
      <c r="AA27" s="97">
        <v>1</v>
      </c>
      <c r="AB27" s="172">
        <v>1</v>
      </c>
      <c r="AC27" s="123"/>
      <c r="AD27" s="4" t="str">
        <f>"  " &amp; TEXT(AB27,"#0.00%") &amp; " " &amp; "화면 설계서 작성" &amp; "(지준혁)" &amp; " " &amp; IF(M27="","",TEXT(M27,"M/D-")) &amp; IF(N27="","",TEXT(N27,"M/D")) &amp; " "</f>
        <v xml:space="preserve">  100.00% 화면 설계서 작성(지준혁) 7/8-7/8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row>
    <row r="28" spans="1:56" ht="16.5" outlineLevel="3">
      <c r="A28" s="116"/>
      <c r="B28" s="116"/>
      <c r="C28" s="116">
        <v>4</v>
      </c>
      <c r="D28" s="195" t="s">
        <v>1053</v>
      </c>
      <c r="E28" s="194"/>
      <c r="F28" s="163"/>
      <c r="G28" s="216"/>
      <c r="H28" s="216" t="s">
        <v>1047</v>
      </c>
      <c r="I28" s="163"/>
      <c r="J28" s="163"/>
      <c r="K28" s="163"/>
      <c r="L28" s="163"/>
      <c r="M28" s="258">
        <v>43655</v>
      </c>
      <c r="N28" s="258">
        <v>43655</v>
      </c>
      <c r="O28" s="165"/>
      <c r="P28" s="166">
        <v>1</v>
      </c>
      <c r="Q28" s="166">
        <v>1</v>
      </c>
      <c r="R28" s="167">
        <v>1</v>
      </c>
      <c r="S28" s="167">
        <v>1</v>
      </c>
      <c r="T28" s="164"/>
      <c r="U28" s="164"/>
      <c r="V28" s="168"/>
      <c r="W28" s="169">
        <v>0</v>
      </c>
      <c r="X28" s="170">
        <v>1</v>
      </c>
      <c r="Y28" s="219" t="s">
        <v>1130</v>
      </c>
      <c r="Z28" s="171" t="s">
        <v>1155</v>
      </c>
      <c r="AA28" s="97">
        <v>1</v>
      </c>
      <c r="AB28" s="172">
        <v>1</v>
      </c>
      <c r="AC28" s="123"/>
      <c r="AD28" s="4" t="str">
        <f>"   " &amp; TEXT(AB28,"#0.00%") &amp; " " &amp; "화면 설계서 검토" &amp; "(지준혁)" &amp; " " &amp; IF(M28="","",TEXT(M28,"M/D-")) &amp; IF(N28="","",TEXT(N28,"M/D")) &amp; " "</f>
        <v xml:space="preserve">   100.00% 화면 설계서 검토(지준혁) 7/9-7/9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row>
    <row r="29" spans="1:56" ht="16.5" outlineLevel="3">
      <c r="A29" s="116"/>
      <c r="B29" s="116"/>
      <c r="C29" s="116">
        <v>4</v>
      </c>
      <c r="D29" s="195" t="s">
        <v>1054</v>
      </c>
      <c r="E29" s="194"/>
      <c r="F29" s="163"/>
      <c r="G29" s="216"/>
      <c r="H29" s="216" t="s">
        <v>1048</v>
      </c>
      <c r="I29" s="163"/>
      <c r="J29" s="163"/>
      <c r="K29" s="163"/>
      <c r="L29" s="163"/>
      <c r="M29" s="258">
        <v>43655</v>
      </c>
      <c r="N29" s="258">
        <v>43655</v>
      </c>
      <c r="O29" s="165"/>
      <c r="P29" s="166">
        <v>1</v>
      </c>
      <c r="Q29" s="166">
        <v>1</v>
      </c>
      <c r="R29" s="167">
        <v>1</v>
      </c>
      <c r="S29" s="167">
        <v>1</v>
      </c>
      <c r="T29" s="164"/>
      <c r="U29" s="164"/>
      <c r="V29" s="168"/>
      <c r="W29" s="169">
        <v>0</v>
      </c>
      <c r="X29" s="170">
        <v>1</v>
      </c>
      <c r="Y29" s="219" t="s">
        <v>1130</v>
      </c>
      <c r="Z29" s="171" t="s">
        <v>1144</v>
      </c>
      <c r="AA29" s="97">
        <v>1</v>
      </c>
      <c r="AB29" s="172">
        <v>1</v>
      </c>
      <c r="AC29" s="123"/>
      <c r="AD29" s="4" t="str">
        <f>"   " &amp; TEXT(AB29,"#0.00%") &amp; " " &amp; "화면 설계서 수정 및 보완" &amp; "(지준혁)" &amp; " " &amp; IF(M29="","",TEXT(M29,"M/D-")) &amp; IF(N29="","",TEXT(N29,"M/D")) &amp; " "</f>
        <v xml:space="preserve">   100.00% 화면 설계서 수정 및 보완(지준혁) 7/9-7/9 </v>
      </c>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row>
    <row r="30" spans="1:56" ht="16.5" outlineLevel="3">
      <c r="A30" s="116"/>
      <c r="B30" s="116"/>
      <c r="C30" s="116">
        <v>4</v>
      </c>
      <c r="D30" s="195" t="s">
        <v>1055</v>
      </c>
      <c r="E30" s="194"/>
      <c r="F30" s="163"/>
      <c r="G30" s="216"/>
      <c r="H30" s="216" t="s">
        <v>1049</v>
      </c>
      <c r="I30" s="163"/>
      <c r="J30" s="163"/>
      <c r="K30" s="163"/>
      <c r="L30" s="163"/>
      <c r="M30" s="258">
        <v>43655</v>
      </c>
      <c r="N30" s="258">
        <v>43655</v>
      </c>
      <c r="O30" s="165"/>
      <c r="P30" s="166">
        <v>1</v>
      </c>
      <c r="Q30" s="166">
        <v>1</v>
      </c>
      <c r="R30" s="167">
        <v>1</v>
      </c>
      <c r="S30" s="167">
        <v>1</v>
      </c>
      <c r="T30" s="164"/>
      <c r="U30" s="164"/>
      <c r="V30" s="168"/>
      <c r="W30" s="169">
        <v>0</v>
      </c>
      <c r="X30" s="170">
        <v>1</v>
      </c>
      <c r="Y30" s="219" t="s">
        <v>1130</v>
      </c>
      <c r="Z30" s="171" t="s">
        <v>1144</v>
      </c>
      <c r="AA30" s="97">
        <v>1</v>
      </c>
      <c r="AB30" s="172">
        <v>1</v>
      </c>
      <c r="AC30" s="123"/>
      <c r="AD30" s="4" t="str">
        <f>"   " &amp; TEXT(AB30,"#0.00%") &amp; " " &amp; "화면 설계서 최종 fix" &amp; "(지준혁)" &amp; " " &amp; IF(M30="","",TEXT(M30,"M/D-")) &amp; IF(N30="","",TEXT(N30,"M/D")) &amp; " "</f>
        <v xml:space="preserve">   100.00% 화면 설계서 최종 fix(지준혁) 7/9-7/9 </v>
      </c>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row>
    <row r="31" spans="1:56" ht="16.5" outlineLevel="2">
      <c r="A31" s="116"/>
      <c r="B31" s="116" t="s">
        <v>976</v>
      </c>
      <c r="C31" s="116">
        <v>3</v>
      </c>
      <c r="D31" s="195" t="s">
        <v>1060</v>
      </c>
      <c r="E31" s="194"/>
      <c r="F31" s="163"/>
      <c r="G31" s="216" t="s">
        <v>1271</v>
      </c>
      <c r="H31" s="216"/>
      <c r="I31" s="163"/>
      <c r="J31" s="163"/>
      <c r="K31" s="163"/>
      <c r="L31" s="163"/>
      <c r="M31" s="264">
        <v>43656</v>
      </c>
      <c r="N31" s="264">
        <v>43656</v>
      </c>
      <c r="O31" s="165"/>
      <c r="P31" s="166">
        <v>3</v>
      </c>
      <c r="Q31" s="166">
        <v>3</v>
      </c>
      <c r="R31" s="167">
        <v>1</v>
      </c>
      <c r="S31" s="167">
        <v>1</v>
      </c>
      <c r="T31" s="164"/>
      <c r="U31" s="164"/>
      <c r="V31" s="168">
        <v>0</v>
      </c>
      <c r="W31" s="169">
        <v>0</v>
      </c>
      <c r="X31" s="170"/>
      <c r="Y31" s="165"/>
      <c r="Z31" s="171"/>
      <c r="AA31" s="97">
        <v>1</v>
      </c>
      <c r="AB31" s="172">
        <v>1</v>
      </c>
      <c r="AC31" s="123"/>
      <c r="AD31" s="4" t="str">
        <f>"    " &amp; TEXT(AB31,"#0.00%") &amp; " " &amp; "웹 관리자 화면" &amp; " " &amp; IF(M31="","",TEXT(M31,"M/D-")) &amp; IF(N31="","",TEXT(N31,"M/D")) &amp; " "</f>
        <v xml:space="preserve">    100.00% 웹 관리자 화면 7/10-7/10 </v>
      </c>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row>
    <row r="32" spans="1:56" ht="16.5" outlineLevel="3">
      <c r="A32" s="116"/>
      <c r="B32" s="116"/>
      <c r="C32" s="116">
        <v>4</v>
      </c>
      <c r="D32" s="195" t="s">
        <v>1061</v>
      </c>
      <c r="E32" s="194"/>
      <c r="F32" s="163"/>
      <c r="G32" s="216"/>
      <c r="H32" s="216" t="s">
        <v>1046</v>
      </c>
      <c r="I32" s="163"/>
      <c r="J32" s="163"/>
      <c r="K32" s="163"/>
      <c r="L32" s="163"/>
      <c r="M32" s="258">
        <v>43656</v>
      </c>
      <c r="N32" s="258">
        <v>43656</v>
      </c>
      <c r="O32" s="165"/>
      <c r="P32" s="166">
        <v>1</v>
      </c>
      <c r="Q32" s="166">
        <v>1</v>
      </c>
      <c r="R32" s="167">
        <v>1</v>
      </c>
      <c r="S32" s="167">
        <v>1</v>
      </c>
      <c r="T32" s="164"/>
      <c r="U32" s="164"/>
      <c r="V32" s="168"/>
      <c r="W32" s="169">
        <v>0</v>
      </c>
      <c r="X32" s="170">
        <v>1</v>
      </c>
      <c r="Y32" s="219" t="s">
        <v>1130</v>
      </c>
      <c r="Z32" s="171" t="s">
        <v>1143</v>
      </c>
      <c r="AA32" s="97">
        <v>1</v>
      </c>
      <c r="AB32" s="172">
        <v>1</v>
      </c>
      <c r="AC32" s="123"/>
      <c r="AD32" s="4" t="str">
        <f>"    " &amp; TEXT(AB32,"#0.00%") &amp; " " &amp; "화면 설계서 작성" &amp; "(지준혁)" &amp; " " &amp; IF(M32="","",TEXT(M32,"M/D-")) &amp; IF(N32="","",TEXT(N32,"M/D")) &amp; " "</f>
        <v xml:space="preserve">    100.00% 화면 설계서 작성(지준혁) 7/10-7/10 </v>
      </c>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row>
    <row r="33" spans="1:56" ht="16.5" outlineLevel="3">
      <c r="A33" s="116"/>
      <c r="B33" s="116"/>
      <c r="C33" s="116">
        <v>4</v>
      </c>
      <c r="D33" s="195" t="s">
        <v>1062</v>
      </c>
      <c r="E33" s="194"/>
      <c r="F33" s="163"/>
      <c r="G33" s="216"/>
      <c r="H33" s="216" t="s">
        <v>1048</v>
      </c>
      <c r="I33" s="163"/>
      <c r="J33" s="163"/>
      <c r="K33" s="163"/>
      <c r="L33" s="163"/>
      <c r="M33" s="258">
        <v>43656</v>
      </c>
      <c r="N33" s="258">
        <v>43656</v>
      </c>
      <c r="O33" s="165"/>
      <c r="P33" s="166">
        <v>1</v>
      </c>
      <c r="Q33" s="166">
        <v>1</v>
      </c>
      <c r="R33" s="167">
        <v>1</v>
      </c>
      <c r="S33" s="167">
        <v>1</v>
      </c>
      <c r="T33" s="164"/>
      <c r="U33" s="164"/>
      <c r="V33" s="168"/>
      <c r="W33" s="169">
        <v>0</v>
      </c>
      <c r="X33" s="170">
        <v>1</v>
      </c>
      <c r="Y33" s="219" t="s">
        <v>1130</v>
      </c>
      <c r="Z33" s="171" t="s">
        <v>1144</v>
      </c>
      <c r="AA33" s="97">
        <v>1</v>
      </c>
      <c r="AB33" s="172">
        <v>1</v>
      </c>
      <c r="AC33" s="123"/>
      <c r="AD33" s="4" t="str">
        <f>"    " &amp; TEXT(AB33,"#0.00%") &amp; " " &amp; "화면 설계서 수정 및 보완" &amp; "(지준혁)" &amp; " " &amp; IF(M33="","",TEXT(M33,"M/D-")) &amp; IF(N33="","",TEXT(N33,"M/D")) &amp; " "</f>
        <v xml:space="preserve">    100.00% 화면 설계서 수정 및 보완(지준혁) 7/10-7/10 </v>
      </c>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row>
    <row r="34" spans="1:56" ht="16.5" outlineLevel="3">
      <c r="A34" s="116"/>
      <c r="B34" s="116"/>
      <c r="C34" s="116">
        <v>4</v>
      </c>
      <c r="D34" s="195" t="s">
        <v>1063</v>
      </c>
      <c r="E34" s="194"/>
      <c r="F34" s="163"/>
      <c r="G34" s="216"/>
      <c r="H34" s="216" t="s">
        <v>1049</v>
      </c>
      <c r="I34" s="163"/>
      <c r="J34" s="163"/>
      <c r="K34" s="163"/>
      <c r="L34" s="163"/>
      <c r="M34" s="258">
        <v>43656</v>
      </c>
      <c r="N34" s="258">
        <v>43656</v>
      </c>
      <c r="O34" s="165"/>
      <c r="P34" s="166">
        <v>1</v>
      </c>
      <c r="Q34" s="166">
        <v>1</v>
      </c>
      <c r="R34" s="167">
        <v>1</v>
      </c>
      <c r="S34" s="167">
        <v>1</v>
      </c>
      <c r="T34" s="164"/>
      <c r="U34" s="164"/>
      <c r="V34" s="168"/>
      <c r="W34" s="169">
        <v>0</v>
      </c>
      <c r="X34" s="170">
        <v>1</v>
      </c>
      <c r="Y34" s="219" t="s">
        <v>1130</v>
      </c>
      <c r="Z34" s="171" t="s">
        <v>1144</v>
      </c>
      <c r="AA34" s="97">
        <v>1</v>
      </c>
      <c r="AB34" s="172">
        <v>1</v>
      </c>
      <c r="AC34" s="123"/>
      <c r="AD34" s="4" t="str">
        <f>"    " &amp; TEXT(AB34,"#0.00%") &amp; " " &amp; "화면 설계서 최종 fix" &amp; "(지준혁)" &amp; " " &amp; IF(M34="","",TEXT(M34,"M/D-")) &amp; IF(N34="","",TEXT(N34,"M/D")) &amp; " "</f>
        <v xml:space="preserve">    100.00% 화면 설계서 최종 fix(지준혁) 7/10-7/10 </v>
      </c>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row>
    <row r="35" spans="1:56" ht="16.5" outlineLevel="2">
      <c r="A35" s="116"/>
      <c r="B35" s="116" t="s">
        <v>976</v>
      </c>
      <c r="C35" s="116">
        <v>3</v>
      </c>
      <c r="D35" s="195" t="s">
        <v>1064</v>
      </c>
      <c r="E35" s="194"/>
      <c r="F35" s="163"/>
      <c r="G35" s="216" t="s">
        <v>1056</v>
      </c>
      <c r="H35" s="216"/>
      <c r="I35" s="163"/>
      <c r="J35" s="163"/>
      <c r="K35" s="163"/>
      <c r="L35" s="163"/>
      <c r="M35" s="264">
        <v>43656</v>
      </c>
      <c r="N35" s="264">
        <v>43658</v>
      </c>
      <c r="O35" s="165"/>
      <c r="P35" s="166">
        <v>9</v>
      </c>
      <c r="Q35" s="166">
        <v>9</v>
      </c>
      <c r="R35" s="167">
        <v>3</v>
      </c>
      <c r="S35" s="167">
        <v>3</v>
      </c>
      <c r="T35" s="164"/>
      <c r="U35" s="164"/>
      <c r="V35" s="168">
        <v>0</v>
      </c>
      <c r="W35" s="169">
        <v>0</v>
      </c>
      <c r="X35" s="170"/>
      <c r="Y35" s="165"/>
      <c r="Z35" s="171"/>
      <c r="AA35" s="97">
        <v>1</v>
      </c>
      <c r="AB35" s="172">
        <v>1</v>
      </c>
      <c r="AC35" s="123"/>
      <c r="AD35" s="4" t="str">
        <f>"      " &amp; TEXT(AB35,"#0.00%") &amp; " " &amp; "데이터베이스 설계" &amp; " " &amp; IF(M35="","",TEXT(M35,"M/D-")) &amp; IF(N35="","",TEXT(N35,"M/D")) &amp; " "</f>
        <v xml:space="preserve">      100.00% 데이터베이스 설계 7/10-7/12 </v>
      </c>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row>
    <row r="36" spans="1:56" ht="16.5" outlineLevel="3">
      <c r="A36" s="116"/>
      <c r="B36" s="116"/>
      <c r="C36" s="116">
        <v>4</v>
      </c>
      <c r="D36" s="195" t="s">
        <v>1065</v>
      </c>
      <c r="E36" s="194"/>
      <c r="F36" s="163"/>
      <c r="G36" s="216"/>
      <c r="H36" s="216" t="s">
        <v>1059</v>
      </c>
      <c r="I36" s="163"/>
      <c r="J36" s="163"/>
      <c r="K36" s="163"/>
      <c r="L36" s="163"/>
      <c r="M36" s="259">
        <v>43656</v>
      </c>
      <c r="N36" s="259">
        <v>43658</v>
      </c>
      <c r="O36" s="165"/>
      <c r="P36" s="166">
        <v>3</v>
      </c>
      <c r="Q36" s="166">
        <v>3</v>
      </c>
      <c r="R36" s="167">
        <v>3</v>
      </c>
      <c r="S36" s="167">
        <v>3</v>
      </c>
      <c r="T36" s="164"/>
      <c r="U36" s="164"/>
      <c r="V36" s="168"/>
      <c r="W36" s="169">
        <v>0</v>
      </c>
      <c r="X36" s="170">
        <v>1</v>
      </c>
      <c r="Y36" s="165" t="s">
        <v>1128</v>
      </c>
      <c r="Z36" s="171" t="s">
        <v>1145</v>
      </c>
      <c r="AA36" s="97">
        <v>1</v>
      </c>
      <c r="AB36" s="172">
        <v>1</v>
      </c>
      <c r="AC36" s="123"/>
      <c r="AD36" s="4" t="str">
        <f>"      " &amp; TEXT(AB36,"#0.00%") &amp; " " &amp; "다이어그램 정의 (다이어그램) -&gt; DB설계" &amp; "(최기현)" &amp; " " &amp; IF(M36="","",TEXT(M36,"M/D-")) &amp; IF(N36="","",TEXT(N36,"M/D")) &amp; " "</f>
        <v xml:space="preserve">      100.00% 다이어그램 정의 (다이어그램) -&gt; DB설계(최기현) 7/10-7/12 </v>
      </c>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row>
    <row r="37" spans="1:56" ht="16.5" outlineLevel="3">
      <c r="A37" s="116"/>
      <c r="B37" s="116"/>
      <c r="C37" s="116">
        <v>4</v>
      </c>
      <c r="D37" s="195" t="s">
        <v>1066</v>
      </c>
      <c r="E37" s="194"/>
      <c r="F37" s="163"/>
      <c r="G37" s="216"/>
      <c r="H37" s="198" t="s">
        <v>1057</v>
      </c>
      <c r="I37" s="163"/>
      <c r="J37" s="163"/>
      <c r="K37" s="163"/>
      <c r="L37" s="163"/>
      <c r="M37" s="258">
        <v>43656</v>
      </c>
      <c r="N37" s="258">
        <v>43658</v>
      </c>
      <c r="O37" s="165"/>
      <c r="P37" s="166">
        <v>3</v>
      </c>
      <c r="Q37" s="166">
        <v>3</v>
      </c>
      <c r="R37" s="167">
        <v>3</v>
      </c>
      <c r="S37" s="167">
        <v>3</v>
      </c>
      <c r="T37" s="164"/>
      <c r="U37" s="164"/>
      <c r="V37" s="168"/>
      <c r="W37" s="169">
        <v>0</v>
      </c>
      <c r="X37" s="170">
        <v>1</v>
      </c>
      <c r="Y37" s="165" t="s">
        <v>1130</v>
      </c>
      <c r="Z37" s="171"/>
      <c r="AA37" s="97">
        <v>1</v>
      </c>
      <c r="AB37" s="172">
        <v>1</v>
      </c>
      <c r="AC37" s="123"/>
      <c r="AD37" s="4" t="str">
        <f>"      " &amp; TEXT(AB37,"#0.00%") &amp; " " &amp; "아키텍처 설계" &amp; "(지준혁)" &amp; " " &amp; IF(M37="","",TEXT(M37,"M/D-")) &amp; IF(N37="","",TEXT(N37,"M/D")) &amp; " "</f>
        <v xml:space="preserve">      100.00% 아키텍처 설계(지준혁) 7/10-7/12 </v>
      </c>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row>
    <row r="38" spans="1:56" ht="16.5" outlineLevel="3">
      <c r="A38" s="116"/>
      <c r="B38" s="116"/>
      <c r="C38" s="116">
        <v>4</v>
      </c>
      <c r="D38" s="195" t="s">
        <v>1067</v>
      </c>
      <c r="E38" s="194"/>
      <c r="F38" s="163"/>
      <c r="G38" s="216"/>
      <c r="H38" s="198" t="s">
        <v>1058</v>
      </c>
      <c r="I38" s="163"/>
      <c r="J38" s="163"/>
      <c r="K38" s="163"/>
      <c r="L38" s="163"/>
      <c r="M38" s="260">
        <v>43656</v>
      </c>
      <c r="N38" s="260">
        <v>43658</v>
      </c>
      <c r="O38" s="165"/>
      <c r="P38" s="166">
        <v>3</v>
      </c>
      <c r="Q38" s="166">
        <v>3</v>
      </c>
      <c r="R38" s="167">
        <v>3</v>
      </c>
      <c r="S38" s="167">
        <v>3</v>
      </c>
      <c r="T38" s="164"/>
      <c r="U38" s="164"/>
      <c r="V38" s="168"/>
      <c r="W38" s="169">
        <v>0</v>
      </c>
      <c r="X38" s="170">
        <v>1</v>
      </c>
      <c r="Y38" s="165" t="s">
        <v>1132</v>
      </c>
      <c r="Z38" s="171" t="s">
        <v>1146</v>
      </c>
      <c r="AA38" s="97">
        <v>1</v>
      </c>
      <c r="AB38" s="172">
        <v>1</v>
      </c>
      <c r="AC38" s="123"/>
      <c r="AD38" s="4" t="str">
        <f>"      " &amp; TEXT(AB38,"#0.00%") &amp; " " &amp; "클래스 설계" &amp; "(이승헌)" &amp; " " &amp; IF(M38="","",TEXT(M38,"M/D-")) &amp; IF(N38="","",TEXT(N38,"M/D")) &amp; " "</f>
        <v xml:space="preserve">      100.00% 클래스 설계(이승헌) 7/10-7/12 </v>
      </c>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row>
    <row r="39" spans="1:56" ht="16.5">
      <c r="A39" s="116"/>
      <c r="B39" s="116" t="s">
        <v>976</v>
      </c>
      <c r="C39" s="116">
        <v>1</v>
      </c>
      <c r="D39" s="214" t="s">
        <v>1024</v>
      </c>
      <c r="E39" s="163" t="s">
        <v>962</v>
      </c>
      <c r="F39" s="163"/>
      <c r="G39" s="163"/>
      <c r="H39" s="194"/>
      <c r="I39" s="194"/>
      <c r="J39" s="194"/>
      <c r="K39" s="194"/>
      <c r="L39" s="163"/>
      <c r="M39" s="264">
        <v>43657</v>
      </c>
      <c r="N39" s="264">
        <v>43669</v>
      </c>
      <c r="O39" s="165"/>
      <c r="P39" s="166">
        <v>78</v>
      </c>
      <c r="Q39" s="166">
        <v>78</v>
      </c>
      <c r="R39" s="167">
        <v>9</v>
      </c>
      <c r="S39" s="167">
        <v>9</v>
      </c>
      <c r="T39" s="164"/>
      <c r="U39" s="164"/>
      <c r="V39" s="168">
        <v>0</v>
      </c>
      <c r="W39" s="169">
        <v>0</v>
      </c>
      <c r="X39" s="170"/>
      <c r="Y39" s="165"/>
      <c r="Z39" s="171"/>
      <c r="AA39" s="97">
        <v>1</v>
      </c>
      <c r="AB39" s="172">
        <v>0.98717948717948723</v>
      </c>
      <c r="AC39" s="123"/>
      <c r="AD39" s="4"/>
      <c r="AE39" s="4"/>
      <c r="AF39" s="4" t="str">
        <f>"   " &amp; TEXT(AB39,"#0.00%") &amp; " " &amp; "구현" &amp; " " &amp; IF(M39="","",TEXT(M39,"M/D-")) &amp; IF(N39="","",TEXT(N39,"M/D")) &amp; " "</f>
        <v xml:space="preserve">   98.72% 구현 7/11-7/23 </v>
      </c>
      <c r="AG39" s="4"/>
      <c r="AH39" s="4"/>
      <c r="AI39" s="4"/>
      <c r="AJ39" s="4"/>
      <c r="AK39" s="4"/>
      <c r="AL39" s="4"/>
      <c r="AM39" s="4"/>
      <c r="AN39" s="4"/>
      <c r="AO39" s="4"/>
      <c r="AP39" s="4"/>
      <c r="AQ39" s="4"/>
      <c r="AR39" s="4"/>
      <c r="AS39" s="4"/>
      <c r="AT39" s="4"/>
      <c r="AU39" s="4"/>
      <c r="AV39" s="4"/>
      <c r="AW39" s="4"/>
      <c r="AX39" s="4"/>
      <c r="AY39" s="4"/>
      <c r="AZ39" s="4"/>
      <c r="BA39" s="4"/>
      <c r="BB39" s="4"/>
      <c r="BC39" s="4"/>
      <c r="BD39" s="4"/>
    </row>
    <row r="40" spans="1:56" ht="16.5" outlineLevel="1">
      <c r="A40" s="116"/>
      <c r="B40" s="116" t="s">
        <v>976</v>
      </c>
      <c r="C40" s="116">
        <v>2</v>
      </c>
      <c r="D40" s="214" t="s">
        <v>1073</v>
      </c>
      <c r="E40" s="163"/>
      <c r="F40" s="163" t="s">
        <v>1156</v>
      </c>
      <c r="G40" s="163"/>
      <c r="H40" s="194"/>
      <c r="I40" s="194"/>
      <c r="J40" s="194"/>
      <c r="K40" s="194"/>
      <c r="L40" s="163"/>
      <c r="M40" s="264">
        <v>43657</v>
      </c>
      <c r="N40" s="264">
        <v>43661</v>
      </c>
      <c r="O40" s="165"/>
      <c r="P40" s="166">
        <v>6</v>
      </c>
      <c r="Q40" s="166">
        <v>6</v>
      </c>
      <c r="R40" s="167">
        <v>3</v>
      </c>
      <c r="S40" s="167">
        <v>3</v>
      </c>
      <c r="T40" s="164"/>
      <c r="U40" s="164"/>
      <c r="V40" s="168">
        <v>0</v>
      </c>
      <c r="W40" s="169">
        <v>0</v>
      </c>
      <c r="X40" s="170"/>
      <c r="Y40" s="165"/>
      <c r="Z40" s="171"/>
      <c r="AA40" s="97">
        <v>1</v>
      </c>
      <c r="AB40" s="172">
        <v>1</v>
      </c>
      <c r="AC40" s="123"/>
      <c r="AD40" s="4"/>
      <c r="AE40" s="4" t="str">
        <f>"  " &amp; TEXT(AB40,"#0.00%") &amp; " " &amp; "개발 환경 설정" &amp; " " &amp; IF(M40="","",TEXT(M40,"M/D-")) &amp; IF(N40="","",TEXT(N40,"M/D")) &amp; " "</f>
        <v xml:space="preserve">  100.00% 개발 환경 설정 7/11-7/15 </v>
      </c>
      <c r="AF40" s="4"/>
      <c r="AG40" s="4"/>
      <c r="AH40" s="4"/>
      <c r="AI40" s="4"/>
      <c r="AJ40" s="4"/>
      <c r="AK40" s="4"/>
      <c r="AL40" s="4"/>
      <c r="AM40" s="4"/>
      <c r="AN40" s="4"/>
      <c r="AO40" s="4"/>
      <c r="AP40" s="4"/>
      <c r="AQ40" s="4"/>
      <c r="AR40" s="4"/>
      <c r="AS40" s="4"/>
      <c r="AT40" s="4"/>
      <c r="AU40" s="4"/>
      <c r="AV40" s="4"/>
      <c r="AW40" s="4"/>
      <c r="AX40" s="4"/>
      <c r="AY40" s="4"/>
      <c r="AZ40" s="4"/>
      <c r="BA40" s="4"/>
      <c r="BB40" s="4"/>
      <c r="BC40" s="4"/>
      <c r="BD40" s="4"/>
    </row>
    <row r="41" spans="1:56" ht="16.5" outlineLevel="2">
      <c r="A41" s="116"/>
      <c r="B41" s="116"/>
      <c r="C41" s="116">
        <v>3</v>
      </c>
      <c r="D41" s="214" t="s">
        <v>1074</v>
      </c>
      <c r="E41" s="163"/>
      <c r="F41" s="163"/>
      <c r="G41" s="163" t="s">
        <v>1176</v>
      </c>
      <c r="H41" s="194"/>
      <c r="I41" s="194"/>
      <c r="J41" s="194"/>
      <c r="K41" s="194"/>
      <c r="L41" s="163"/>
      <c r="M41" s="261">
        <v>43657</v>
      </c>
      <c r="N41" s="261">
        <v>43658</v>
      </c>
      <c r="O41" s="165"/>
      <c r="P41" s="166">
        <v>2</v>
      </c>
      <c r="Q41" s="166">
        <v>2</v>
      </c>
      <c r="R41" s="167">
        <v>2</v>
      </c>
      <c r="S41" s="167">
        <v>2</v>
      </c>
      <c r="T41" s="164"/>
      <c r="U41" s="164"/>
      <c r="V41" s="168"/>
      <c r="W41" s="169">
        <v>0</v>
      </c>
      <c r="X41" s="170">
        <v>1</v>
      </c>
      <c r="Y41" s="219" t="s">
        <v>1175</v>
      </c>
      <c r="Z41" s="171" t="s">
        <v>1301</v>
      </c>
      <c r="AA41" s="97">
        <v>1</v>
      </c>
      <c r="AB41" s="172">
        <v>1</v>
      </c>
      <c r="AC41" s="123"/>
      <c r="AD41" s="4" t="str">
        <f>"      " &amp; TEXT(AB41,"#0.00%") &amp; " " &amp; "VCS 교육 준비" &amp; "(백종화)" &amp; " " &amp; IF(M41="","",TEXT(M41,"M/D-")) &amp; IF(N41="","",TEXT(N41,"M/D")) &amp; " "</f>
        <v xml:space="preserve">      100.00% VCS 교육 준비(백종화) 7/11-7/12 </v>
      </c>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row>
    <row r="42" spans="1:56" ht="16.5" outlineLevel="2">
      <c r="A42" s="116"/>
      <c r="B42" s="116"/>
      <c r="C42" s="116">
        <v>3</v>
      </c>
      <c r="D42" s="214" t="s">
        <v>1075</v>
      </c>
      <c r="E42" s="163"/>
      <c r="F42" s="194"/>
      <c r="G42" s="194" t="s">
        <v>1177</v>
      </c>
      <c r="H42" s="194"/>
      <c r="I42" s="194"/>
      <c r="J42" s="194"/>
      <c r="K42" s="194"/>
      <c r="L42" s="163"/>
      <c r="M42" s="261">
        <v>43661</v>
      </c>
      <c r="N42" s="261">
        <v>43661</v>
      </c>
      <c r="O42" s="165"/>
      <c r="P42" s="166">
        <v>1</v>
      </c>
      <c r="Q42" s="166">
        <v>1</v>
      </c>
      <c r="R42" s="167">
        <v>1</v>
      </c>
      <c r="S42" s="167">
        <v>1</v>
      </c>
      <c r="T42" s="164"/>
      <c r="U42" s="164"/>
      <c r="V42" s="168"/>
      <c r="W42" s="169">
        <v>0</v>
      </c>
      <c r="X42" s="170">
        <v>1</v>
      </c>
      <c r="Y42" s="219" t="s">
        <v>1175</v>
      </c>
      <c r="Z42" s="275" t="s">
        <v>1302</v>
      </c>
      <c r="AA42" s="97">
        <v>1</v>
      </c>
      <c r="AB42" s="172">
        <v>1</v>
      </c>
      <c r="AC42" s="123"/>
      <c r="AD42" s="4"/>
      <c r="AE42" s="4" t="str">
        <f>"  " &amp; TEXT(AB42,"#0.00%") &amp; " " &amp; "VCS 교육, 설치 및 테스트" &amp; "(백종화)" &amp; " " &amp; IF(M42="","",TEXT(M42,"M/D-")) &amp; IF(N42="","",TEXT(N42,"M/D")) &amp; " "</f>
        <v xml:space="preserve">  100.00% VCS 교육, 설치 및 테스트(백종화) 7/15-7/15 </v>
      </c>
      <c r="AF42" s="4"/>
      <c r="AG42" s="4"/>
      <c r="AH42" s="4"/>
      <c r="AI42" s="4"/>
      <c r="AJ42" s="4"/>
      <c r="AK42" s="4"/>
      <c r="AL42" s="4"/>
      <c r="AM42" s="4"/>
      <c r="AN42" s="4"/>
      <c r="AO42" s="4"/>
      <c r="AP42" s="4"/>
      <c r="AQ42" s="4"/>
      <c r="AR42" s="4"/>
      <c r="AS42" s="4"/>
      <c r="AT42" s="4"/>
      <c r="AU42" s="4"/>
      <c r="AV42" s="4"/>
      <c r="AW42" s="4"/>
      <c r="AX42" s="4"/>
      <c r="AY42" s="4"/>
      <c r="AZ42" s="4"/>
      <c r="BA42" s="4"/>
      <c r="BB42" s="4"/>
      <c r="BC42" s="4"/>
      <c r="BD42" s="4"/>
    </row>
    <row r="43" spans="1:56" ht="16.5" outlineLevel="2">
      <c r="A43" s="116"/>
      <c r="B43" s="116"/>
      <c r="C43" s="116">
        <v>3</v>
      </c>
      <c r="D43" s="214" t="s">
        <v>1076</v>
      </c>
      <c r="E43" s="163"/>
      <c r="F43" s="194"/>
      <c r="G43" s="163" t="s">
        <v>1178</v>
      </c>
      <c r="H43" s="194"/>
      <c r="I43" s="194"/>
      <c r="J43" s="194"/>
      <c r="K43" s="194"/>
      <c r="L43" s="163"/>
      <c r="M43" s="260">
        <v>43658</v>
      </c>
      <c r="N43" s="260">
        <v>43658</v>
      </c>
      <c r="O43" s="165"/>
      <c r="P43" s="166">
        <v>1</v>
      </c>
      <c r="Q43" s="166">
        <v>1</v>
      </c>
      <c r="R43" s="167">
        <v>1</v>
      </c>
      <c r="S43" s="167">
        <v>1</v>
      </c>
      <c r="T43" s="164"/>
      <c r="U43" s="164"/>
      <c r="V43" s="168"/>
      <c r="W43" s="169">
        <v>0</v>
      </c>
      <c r="X43" s="170">
        <v>1</v>
      </c>
      <c r="Y43" s="219" t="s">
        <v>1132</v>
      </c>
      <c r="Z43" s="171" t="s">
        <v>1303</v>
      </c>
      <c r="AA43" s="97">
        <v>1</v>
      </c>
      <c r="AB43" s="172">
        <v>1</v>
      </c>
      <c r="AC43" s="123"/>
      <c r="AD43" s="4" t="str">
        <f>"      " &amp; TEXT(AB43,"#0.00%") &amp; " " &amp; "서버 환경 세팅" &amp; "(이승헌)" &amp; " " &amp; IF(M43="","",TEXT(M43,"M/D-")) &amp; IF(N43="","",TEXT(N43,"M/D")) &amp; " "</f>
        <v xml:space="preserve">      100.00% 서버 환경 세팅(이승헌) 7/12-7/12 </v>
      </c>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row>
    <row r="44" spans="1:56" ht="16.5" outlineLevel="2">
      <c r="A44" s="116"/>
      <c r="B44" s="116"/>
      <c r="C44" s="116">
        <v>3</v>
      </c>
      <c r="D44" s="214" t="s">
        <v>1254</v>
      </c>
      <c r="E44" s="163"/>
      <c r="F44" s="194"/>
      <c r="G44" s="163" t="s">
        <v>1256</v>
      </c>
      <c r="H44" s="194"/>
      <c r="I44" s="194"/>
      <c r="J44" s="194"/>
      <c r="K44" s="194"/>
      <c r="L44" s="163"/>
      <c r="M44" s="259">
        <v>43661</v>
      </c>
      <c r="N44" s="259">
        <v>43661</v>
      </c>
      <c r="O44" s="165"/>
      <c r="P44" s="166">
        <v>1</v>
      </c>
      <c r="Q44" s="166">
        <v>1</v>
      </c>
      <c r="R44" s="167">
        <v>1</v>
      </c>
      <c r="S44" s="167">
        <v>1</v>
      </c>
      <c r="T44" s="164"/>
      <c r="U44" s="164"/>
      <c r="V44" s="168"/>
      <c r="W44" s="169">
        <v>0</v>
      </c>
      <c r="X44" s="170">
        <v>1</v>
      </c>
      <c r="Y44" s="219" t="s">
        <v>1128</v>
      </c>
      <c r="Z44" s="171" t="s">
        <v>1304</v>
      </c>
      <c r="AA44" s="97">
        <v>1</v>
      </c>
      <c r="AB44" s="172">
        <v>1</v>
      </c>
      <c r="AC44" s="123"/>
      <c r="AD44" s="4"/>
      <c r="AE44" s="4" t="str">
        <f>"  " &amp; TEXT(AB44,"#0.00%") &amp; " " &amp; "데이터베이스 구현" &amp; "(최기현)" &amp; " " &amp; IF(M44="","",TEXT(M44,"M/D-")) &amp; IF(N44="","",TEXT(N44,"M/D")) &amp; " "</f>
        <v xml:space="preserve">  100.00% 데이터베이스 구현(최기현) 7/15-7/15 </v>
      </c>
      <c r="AF44" s="4"/>
      <c r="AG44" s="4"/>
      <c r="AH44" s="4"/>
      <c r="AI44" s="4"/>
      <c r="AJ44" s="4"/>
      <c r="AK44" s="4"/>
      <c r="AL44" s="4"/>
      <c r="AM44" s="4"/>
      <c r="AN44" s="4"/>
      <c r="AO44" s="4"/>
      <c r="AP44" s="4"/>
      <c r="AQ44" s="4"/>
      <c r="AR44" s="4"/>
      <c r="AS44" s="4"/>
      <c r="AT44" s="4"/>
      <c r="AU44" s="4"/>
      <c r="AV44" s="4"/>
      <c r="AW44" s="4"/>
      <c r="AX44" s="4"/>
      <c r="AY44" s="4"/>
      <c r="AZ44" s="4"/>
      <c r="BA44" s="4"/>
      <c r="BB44" s="4"/>
      <c r="BC44" s="4"/>
      <c r="BD44" s="4"/>
    </row>
    <row r="45" spans="1:56" ht="16.5" outlineLevel="2">
      <c r="A45" s="116"/>
      <c r="B45" s="116"/>
      <c r="C45" s="116">
        <v>3</v>
      </c>
      <c r="D45" s="214" t="s">
        <v>1257</v>
      </c>
      <c r="E45" s="163"/>
      <c r="F45" s="194"/>
      <c r="G45" s="163" t="s">
        <v>1255</v>
      </c>
      <c r="H45" s="194"/>
      <c r="I45" s="194"/>
      <c r="J45" s="194"/>
      <c r="K45" s="194"/>
      <c r="L45" s="163"/>
      <c r="M45" s="260">
        <v>43661</v>
      </c>
      <c r="N45" s="260">
        <v>43661</v>
      </c>
      <c r="O45" s="165"/>
      <c r="P45" s="166">
        <v>1</v>
      </c>
      <c r="Q45" s="166">
        <v>1</v>
      </c>
      <c r="R45" s="167">
        <v>1</v>
      </c>
      <c r="S45" s="167">
        <v>1</v>
      </c>
      <c r="T45" s="164"/>
      <c r="U45" s="164"/>
      <c r="V45" s="168"/>
      <c r="W45" s="169">
        <v>0</v>
      </c>
      <c r="X45" s="170">
        <v>1</v>
      </c>
      <c r="Y45" s="219" t="s">
        <v>1132</v>
      </c>
      <c r="Z45" s="171" t="s">
        <v>1303</v>
      </c>
      <c r="AA45" s="97">
        <v>1</v>
      </c>
      <c r="AB45" s="172">
        <v>1</v>
      </c>
      <c r="AC45" s="123"/>
      <c r="AD45" s="4"/>
      <c r="AE45" s="4" t="str">
        <f>"  " &amp; TEXT(AB45,"#0.00%") &amp; " " &amp; "안드로이드 RestAPI 제작" &amp; "(이승헌)" &amp; " " &amp; IF(M45="","",TEXT(M45,"M/D-")) &amp; IF(N45="","",TEXT(N45,"M/D")) &amp; " "</f>
        <v xml:space="preserve">  100.00% 안드로이드 RestAPI 제작(이승헌) 7/15-7/15 </v>
      </c>
      <c r="AF45" s="4"/>
      <c r="AG45" s="4"/>
      <c r="AH45" s="4"/>
      <c r="AI45" s="4"/>
      <c r="AJ45" s="4"/>
      <c r="AK45" s="4"/>
      <c r="AL45" s="4"/>
      <c r="AM45" s="4"/>
      <c r="AN45" s="4"/>
      <c r="AO45" s="4"/>
      <c r="AP45" s="4"/>
      <c r="AQ45" s="4"/>
      <c r="AR45" s="4"/>
      <c r="AS45" s="4"/>
      <c r="AT45" s="4"/>
      <c r="AU45" s="4"/>
      <c r="AV45" s="4"/>
      <c r="AW45" s="4"/>
      <c r="AX45" s="4"/>
      <c r="AY45" s="4"/>
      <c r="AZ45" s="4"/>
      <c r="BA45" s="4"/>
      <c r="BB45" s="4"/>
      <c r="BC45" s="4"/>
      <c r="BD45" s="4"/>
    </row>
    <row r="46" spans="1:56" ht="16.5" outlineLevel="1">
      <c r="A46" s="116"/>
      <c r="B46" s="116" t="s">
        <v>976</v>
      </c>
      <c r="C46" s="116">
        <v>2</v>
      </c>
      <c r="D46" s="214" t="s">
        <v>1089</v>
      </c>
      <c r="E46" s="163"/>
      <c r="F46" s="163" t="s">
        <v>1068</v>
      </c>
      <c r="G46" s="163"/>
      <c r="H46" s="163"/>
      <c r="I46" s="163"/>
      <c r="J46" s="163"/>
      <c r="K46" s="163"/>
      <c r="L46" s="163"/>
      <c r="M46" s="264">
        <v>43657</v>
      </c>
      <c r="N46" s="264">
        <v>43669</v>
      </c>
      <c r="O46" s="165"/>
      <c r="P46" s="166">
        <v>8</v>
      </c>
      <c r="Q46" s="166">
        <v>8</v>
      </c>
      <c r="R46" s="167">
        <v>9</v>
      </c>
      <c r="S46" s="167">
        <v>9</v>
      </c>
      <c r="T46" s="164"/>
      <c r="U46" s="164"/>
      <c r="V46" s="168">
        <v>0</v>
      </c>
      <c r="W46" s="169">
        <v>0</v>
      </c>
      <c r="X46" s="170"/>
      <c r="Y46" s="165"/>
      <c r="Z46" s="171"/>
      <c r="AA46" s="97">
        <v>1</v>
      </c>
      <c r="AB46" s="172">
        <v>1</v>
      </c>
      <c r="AC46" s="123"/>
      <c r="AD46" s="4"/>
      <c r="AE46" s="4"/>
      <c r="AF46" s="4" t="str">
        <f>"   " &amp; TEXT(AB46,"#0.00%") &amp; " " &amp; "퍼블리싱(모듈별)" &amp; " " &amp; IF(M46="","",TEXT(M46,"M/D-")) &amp; IF(N46="","",TEXT(N46,"M/D")) &amp; " "</f>
        <v xml:space="preserve">   100.00% 퍼블리싱(모듈별) 7/11-7/23 </v>
      </c>
      <c r="AG46" s="4"/>
      <c r="AH46" s="4"/>
      <c r="AI46" s="4"/>
      <c r="AJ46" s="4"/>
      <c r="AK46" s="4"/>
      <c r="AL46" s="4"/>
      <c r="AM46" s="4"/>
      <c r="AN46" s="4"/>
      <c r="AO46" s="4"/>
      <c r="AP46" s="4"/>
      <c r="AQ46" s="4"/>
      <c r="AR46" s="4"/>
      <c r="AS46" s="4"/>
      <c r="AT46" s="4"/>
      <c r="AU46" s="4"/>
      <c r="AV46" s="4"/>
      <c r="AW46" s="4"/>
      <c r="AX46" s="4"/>
      <c r="AY46" s="4"/>
      <c r="AZ46" s="4"/>
      <c r="BA46" s="4"/>
      <c r="BB46" s="4"/>
      <c r="BC46" s="4"/>
      <c r="BD46" s="4"/>
    </row>
    <row r="47" spans="1:56" ht="16.5" outlineLevel="2">
      <c r="A47" s="116"/>
      <c r="B47" s="116"/>
      <c r="C47" s="116">
        <v>3</v>
      </c>
      <c r="D47" s="214" t="s">
        <v>1090</v>
      </c>
      <c r="E47" s="163"/>
      <c r="F47" s="163"/>
      <c r="G47" s="163" t="s">
        <v>1272</v>
      </c>
      <c r="H47" s="163"/>
      <c r="I47" s="163"/>
      <c r="J47" s="163"/>
      <c r="K47" s="163"/>
      <c r="L47" s="163"/>
      <c r="M47" s="260">
        <v>43669</v>
      </c>
      <c r="N47" s="260">
        <v>43669</v>
      </c>
      <c r="O47" s="165"/>
      <c r="P47" s="166">
        <v>1</v>
      </c>
      <c r="Q47" s="166">
        <v>1</v>
      </c>
      <c r="R47" s="167">
        <v>1</v>
      </c>
      <c r="S47" s="167">
        <v>1</v>
      </c>
      <c r="T47" s="164"/>
      <c r="U47" s="164"/>
      <c r="V47" s="168"/>
      <c r="W47" s="169">
        <v>0</v>
      </c>
      <c r="X47" s="170">
        <v>1</v>
      </c>
      <c r="Y47" s="219" t="s">
        <v>1132</v>
      </c>
      <c r="Z47" s="171"/>
      <c r="AA47" s="97">
        <v>1</v>
      </c>
      <c r="AB47" s="172">
        <v>1</v>
      </c>
      <c r="AC47" s="123"/>
      <c r="AD47" s="4"/>
      <c r="AE47" s="4"/>
      <c r="AF47" s="4" t="str">
        <f>"   " &amp; TEXT(AB47,"#0.00%") &amp; " " &amp; "관리자 웹 화면(유저정보)" &amp; "(이승헌)" &amp; " " &amp; IF(M47="","",TEXT(M47,"M/D-")) &amp; IF(N47="","",TEXT(N47,"M/D")) &amp; " "</f>
        <v xml:space="preserve">   100.00% 관리자 웹 화면(유저정보)(이승헌) 7/23-7/23 </v>
      </c>
      <c r="AG47" s="4"/>
      <c r="AH47" s="4"/>
      <c r="AI47" s="4"/>
      <c r="AJ47" s="4"/>
      <c r="AK47" s="4"/>
      <c r="AL47" s="4"/>
      <c r="AM47" s="4"/>
      <c r="AN47" s="4"/>
      <c r="AO47" s="4"/>
      <c r="AP47" s="4"/>
      <c r="AQ47" s="4"/>
      <c r="AR47" s="4"/>
      <c r="AS47" s="4"/>
      <c r="AT47" s="4"/>
      <c r="AU47" s="4"/>
      <c r="AV47" s="4"/>
      <c r="AW47" s="4"/>
      <c r="AX47" s="4"/>
      <c r="AY47" s="4"/>
      <c r="AZ47" s="4"/>
      <c r="BA47" s="4"/>
      <c r="BB47" s="4"/>
      <c r="BC47" s="4"/>
      <c r="BD47" s="4"/>
    </row>
    <row r="48" spans="1:56" ht="16.5" outlineLevel="2">
      <c r="A48" s="116"/>
      <c r="B48" s="116"/>
      <c r="C48" s="116">
        <v>3</v>
      </c>
      <c r="D48" s="214" t="s">
        <v>1091</v>
      </c>
      <c r="E48" s="163"/>
      <c r="F48" s="163"/>
      <c r="G48" s="220" t="s">
        <v>1078</v>
      </c>
      <c r="H48" s="163"/>
      <c r="I48" s="163"/>
      <c r="J48" s="163"/>
      <c r="K48" s="163"/>
      <c r="L48" s="163"/>
      <c r="M48" s="259">
        <v>43662</v>
      </c>
      <c r="N48" s="259">
        <v>43662</v>
      </c>
      <c r="O48" s="165"/>
      <c r="P48" s="166">
        <v>1</v>
      </c>
      <c r="Q48" s="166">
        <v>1</v>
      </c>
      <c r="R48" s="167">
        <v>1</v>
      </c>
      <c r="S48" s="167">
        <v>1</v>
      </c>
      <c r="T48" s="164"/>
      <c r="U48" s="164"/>
      <c r="V48" s="168"/>
      <c r="W48" s="169">
        <v>0</v>
      </c>
      <c r="X48" s="170">
        <v>1</v>
      </c>
      <c r="Y48" s="219" t="s">
        <v>1128</v>
      </c>
      <c r="Z48" s="171"/>
      <c r="AA48" s="97">
        <v>1</v>
      </c>
      <c r="AB48" s="172">
        <v>1</v>
      </c>
      <c r="AC48" s="123"/>
      <c r="AD48" s="4"/>
      <c r="AE48" s="4" t="str">
        <f>"   " &amp; TEXT(AB48,"#0.00%") &amp; " " &amp; "메인" &amp; "(최기현)" &amp; " " &amp; IF(M48="","",TEXT(M48,"M/D-")) &amp; IF(N48="","",TEXT(N48,"M/D")) &amp; " "</f>
        <v xml:space="preserve">   100.00% 메인(최기현) 7/16-7/16 </v>
      </c>
      <c r="AF48" s="4"/>
      <c r="AG48" s="4"/>
      <c r="AH48" s="4"/>
      <c r="AI48" s="4"/>
      <c r="AJ48" s="4"/>
      <c r="AK48" s="4"/>
      <c r="AL48" s="4"/>
      <c r="AM48" s="4"/>
      <c r="AN48" s="4"/>
      <c r="AO48" s="4"/>
      <c r="AP48" s="4"/>
      <c r="AQ48" s="4"/>
      <c r="AR48" s="4"/>
      <c r="AS48" s="4"/>
      <c r="AT48" s="4"/>
      <c r="AU48" s="4"/>
      <c r="AV48" s="4"/>
      <c r="AW48" s="4"/>
      <c r="AX48" s="4"/>
      <c r="AY48" s="4"/>
      <c r="AZ48" s="4"/>
      <c r="BA48" s="4"/>
      <c r="BB48" s="4"/>
      <c r="BC48" s="4"/>
      <c r="BD48" s="4"/>
    </row>
    <row r="49" spans="1:56" ht="16.5" outlineLevel="2">
      <c r="A49" s="116"/>
      <c r="B49" s="116"/>
      <c r="C49" s="116">
        <v>3</v>
      </c>
      <c r="D49" s="214" t="s">
        <v>1092</v>
      </c>
      <c r="E49" s="163"/>
      <c r="F49" s="163"/>
      <c r="G49" s="220" t="s">
        <v>1185</v>
      </c>
      <c r="H49" s="163"/>
      <c r="I49" s="163"/>
      <c r="J49" s="163"/>
      <c r="K49" s="163"/>
      <c r="L49" s="163"/>
      <c r="M49" s="263">
        <v>43661</v>
      </c>
      <c r="N49" s="263">
        <v>43661</v>
      </c>
      <c r="O49" s="165"/>
      <c r="P49" s="166">
        <v>1</v>
      </c>
      <c r="Q49" s="166">
        <v>1</v>
      </c>
      <c r="R49" s="167">
        <v>1</v>
      </c>
      <c r="S49" s="167">
        <v>1</v>
      </c>
      <c r="T49" s="164"/>
      <c r="U49" s="164"/>
      <c r="V49" s="168"/>
      <c r="W49" s="169">
        <v>0</v>
      </c>
      <c r="X49" s="170">
        <v>1</v>
      </c>
      <c r="Y49" s="219" t="s">
        <v>1199</v>
      </c>
      <c r="Z49" s="171"/>
      <c r="AA49" s="97">
        <v>1</v>
      </c>
      <c r="AB49" s="172">
        <v>1</v>
      </c>
      <c r="AC49" s="123"/>
      <c r="AD49" s="4"/>
      <c r="AE49" s="4" t="str">
        <f>"  " &amp; TEXT(AB49,"#0.00%") &amp; " " &amp; "로그인" &amp; "(김승현)" &amp; " " &amp; IF(M49="","",TEXT(M49,"M/D-")) &amp; IF(N49="","",TEXT(N49,"M/D")) &amp; " "</f>
        <v xml:space="preserve">  100.00% 로그인(김승현) 7/15-7/15 </v>
      </c>
      <c r="AF49" s="4"/>
      <c r="AG49" s="4"/>
      <c r="AH49" s="4"/>
      <c r="AI49" s="4"/>
      <c r="AJ49" s="4"/>
      <c r="AK49" s="4"/>
      <c r="AL49" s="4"/>
      <c r="AM49" s="4"/>
      <c r="AN49" s="4"/>
      <c r="AO49" s="4"/>
      <c r="AP49" s="4"/>
      <c r="AQ49" s="4"/>
      <c r="AR49" s="4"/>
      <c r="AS49" s="4"/>
      <c r="AT49" s="4"/>
      <c r="AU49" s="4"/>
      <c r="AV49" s="4"/>
      <c r="AW49" s="4"/>
      <c r="AX49" s="4"/>
      <c r="AY49" s="4"/>
      <c r="AZ49" s="4"/>
      <c r="BA49" s="4"/>
      <c r="BB49" s="4"/>
      <c r="BC49" s="4"/>
      <c r="BD49" s="4"/>
    </row>
    <row r="50" spans="1:56" ht="16.5" outlineLevel="2">
      <c r="A50" s="116"/>
      <c r="B50" s="116"/>
      <c r="C50" s="116">
        <v>3</v>
      </c>
      <c r="D50" s="214" t="s">
        <v>1093</v>
      </c>
      <c r="E50" s="163"/>
      <c r="F50" s="163"/>
      <c r="G50" s="216" t="s">
        <v>1069</v>
      </c>
      <c r="H50" s="163"/>
      <c r="I50" s="163"/>
      <c r="J50" s="163"/>
      <c r="K50" s="163"/>
      <c r="L50" s="163"/>
      <c r="M50" s="262">
        <v>43657</v>
      </c>
      <c r="N50" s="262">
        <v>43657</v>
      </c>
      <c r="O50" s="165"/>
      <c r="P50" s="166">
        <v>1</v>
      </c>
      <c r="Q50" s="166">
        <v>1</v>
      </c>
      <c r="R50" s="167">
        <v>1</v>
      </c>
      <c r="S50" s="167">
        <v>1</v>
      </c>
      <c r="T50" s="164"/>
      <c r="U50" s="164"/>
      <c r="V50" s="168"/>
      <c r="W50" s="169">
        <v>0</v>
      </c>
      <c r="X50" s="170">
        <v>1</v>
      </c>
      <c r="Y50" s="219" t="s">
        <v>1208</v>
      </c>
      <c r="Z50" s="171"/>
      <c r="AA50" s="97">
        <v>1</v>
      </c>
      <c r="AB50" s="172">
        <v>1</v>
      </c>
      <c r="AC50" s="123"/>
      <c r="AD50" s="4" t="str">
        <f>"     " &amp; TEXT(AB50,"#0.00%") &amp; " " &amp; "운동" &amp; "(이남희)" &amp; " " &amp; IF(M50="","",TEXT(M50,"M/D-")) &amp; IF(N50="","",TEXT(N50,"M/D")) &amp; " "</f>
        <v xml:space="preserve">     100.00% 운동(이남희) 7/11-7/11 </v>
      </c>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row>
    <row r="51" spans="1:56" ht="16.5" outlineLevel="2">
      <c r="A51" s="116"/>
      <c r="B51" s="116"/>
      <c r="C51" s="116">
        <v>3</v>
      </c>
      <c r="D51" s="214" t="s">
        <v>1094</v>
      </c>
      <c r="E51" s="163"/>
      <c r="F51" s="163"/>
      <c r="G51" s="216" t="s">
        <v>1070</v>
      </c>
      <c r="H51" s="163"/>
      <c r="I51" s="163"/>
      <c r="J51" s="163"/>
      <c r="K51" s="163"/>
      <c r="L51" s="163"/>
      <c r="M51" s="260">
        <v>43661</v>
      </c>
      <c r="N51" s="260">
        <v>43661</v>
      </c>
      <c r="O51" s="165"/>
      <c r="P51" s="166">
        <v>1</v>
      </c>
      <c r="Q51" s="166">
        <v>1</v>
      </c>
      <c r="R51" s="167">
        <v>1</v>
      </c>
      <c r="S51" s="167">
        <v>1</v>
      </c>
      <c r="T51" s="164"/>
      <c r="U51" s="164"/>
      <c r="V51" s="168"/>
      <c r="W51" s="169">
        <v>0</v>
      </c>
      <c r="X51" s="170">
        <v>1</v>
      </c>
      <c r="Y51" s="219" t="s">
        <v>1132</v>
      </c>
      <c r="Z51" s="171"/>
      <c r="AA51" s="97">
        <v>1</v>
      </c>
      <c r="AB51" s="172">
        <v>1</v>
      </c>
      <c r="AC51" s="123"/>
      <c r="AD51" s="4"/>
      <c r="AE51" s="4" t="str">
        <f>"  " &amp; TEXT(AB51,"#0.00%") &amp; " " &amp; "음주" &amp; "(이승헌)" &amp; " " &amp; IF(M51="","",TEXT(M51,"M/D-")) &amp; IF(N51="","",TEXT(N51,"M/D")) &amp; " "</f>
        <v xml:space="preserve">  100.00% 음주(이승헌) 7/15-7/15 </v>
      </c>
      <c r="AF51" s="4"/>
      <c r="AG51" s="4"/>
      <c r="AH51" s="4"/>
      <c r="AI51" s="4"/>
      <c r="AJ51" s="4"/>
      <c r="AK51" s="4"/>
      <c r="AL51" s="4"/>
      <c r="AM51" s="4"/>
      <c r="AN51" s="4"/>
      <c r="AO51" s="4"/>
      <c r="AP51" s="4"/>
      <c r="AQ51" s="4"/>
      <c r="AR51" s="4"/>
      <c r="AS51" s="4"/>
      <c r="AT51" s="4"/>
      <c r="AU51" s="4"/>
      <c r="AV51" s="4"/>
      <c r="AW51" s="4"/>
      <c r="AX51" s="4"/>
      <c r="AY51" s="4"/>
      <c r="AZ51" s="4"/>
      <c r="BA51" s="4"/>
      <c r="BB51" s="4"/>
      <c r="BC51" s="4"/>
      <c r="BD51" s="4"/>
    </row>
    <row r="52" spans="1:56" ht="16.5" outlineLevel="2">
      <c r="A52" s="116"/>
      <c r="B52" s="116"/>
      <c r="C52" s="116">
        <v>3</v>
      </c>
      <c r="D52" s="214" t="s">
        <v>1095</v>
      </c>
      <c r="E52" s="163"/>
      <c r="F52" s="163"/>
      <c r="G52" s="216" t="s">
        <v>1071</v>
      </c>
      <c r="H52" s="163"/>
      <c r="I52" s="163"/>
      <c r="J52" s="163"/>
      <c r="K52" s="163"/>
      <c r="L52" s="163"/>
      <c r="M52" s="258">
        <v>43661</v>
      </c>
      <c r="N52" s="258">
        <v>43661</v>
      </c>
      <c r="O52" s="165"/>
      <c r="P52" s="166">
        <v>1</v>
      </c>
      <c r="Q52" s="166">
        <v>1</v>
      </c>
      <c r="R52" s="167">
        <v>1</v>
      </c>
      <c r="S52" s="167">
        <v>1</v>
      </c>
      <c r="T52" s="164"/>
      <c r="U52" s="164"/>
      <c r="V52" s="168"/>
      <c r="W52" s="169">
        <v>0</v>
      </c>
      <c r="X52" s="170">
        <v>1</v>
      </c>
      <c r="Y52" s="219" t="s">
        <v>1130</v>
      </c>
      <c r="Z52" s="171"/>
      <c r="AA52" s="97">
        <v>1</v>
      </c>
      <c r="AB52" s="172">
        <v>1</v>
      </c>
      <c r="AC52" s="123"/>
      <c r="AD52" s="4"/>
      <c r="AE52" s="4" t="str">
        <f>"  " &amp; TEXT(AB52,"#0.00%") &amp; " " &amp; "수면" &amp; "(지준혁)" &amp; " " &amp; IF(M52="","",TEXT(M52,"M/D-")) &amp; IF(N52="","",TEXT(N52,"M/D")) &amp; " "</f>
        <v xml:space="preserve">  100.00% 수면(지준혁) 7/15-7/15 </v>
      </c>
      <c r="AF52" s="4"/>
      <c r="AG52" s="4"/>
      <c r="AH52" s="4"/>
      <c r="AI52" s="4"/>
      <c r="AJ52" s="4"/>
      <c r="AK52" s="4"/>
      <c r="AL52" s="4"/>
      <c r="AM52" s="4"/>
      <c r="AN52" s="4"/>
      <c r="AO52" s="4"/>
      <c r="AP52" s="4"/>
      <c r="AQ52" s="4"/>
      <c r="AR52" s="4"/>
      <c r="AS52" s="4"/>
      <c r="AT52" s="4"/>
      <c r="AU52" s="4"/>
      <c r="AV52" s="4"/>
      <c r="AW52" s="4"/>
      <c r="AX52" s="4"/>
      <c r="AY52" s="4"/>
      <c r="AZ52" s="4"/>
      <c r="BA52" s="4"/>
      <c r="BB52" s="4"/>
      <c r="BC52" s="4"/>
      <c r="BD52" s="4"/>
    </row>
    <row r="53" spans="1:56" ht="16.5" outlineLevel="2">
      <c r="A53" s="116"/>
      <c r="B53" s="116"/>
      <c r="C53" s="116">
        <v>3</v>
      </c>
      <c r="D53" s="214" t="s">
        <v>1269</v>
      </c>
      <c r="E53" s="163"/>
      <c r="F53" s="163"/>
      <c r="G53" s="198" t="s">
        <v>1072</v>
      </c>
      <c r="H53" s="163"/>
      <c r="I53" s="163"/>
      <c r="J53" s="163"/>
      <c r="K53" s="163"/>
      <c r="L53" s="163"/>
      <c r="M53" s="259">
        <v>43662</v>
      </c>
      <c r="N53" s="259">
        <v>43662</v>
      </c>
      <c r="O53" s="165"/>
      <c r="P53" s="166">
        <v>1</v>
      </c>
      <c r="Q53" s="166">
        <v>1</v>
      </c>
      <c r="R53" s="167">
        <v>1</v>
      </c>
      <c r="S53" s="167">
        <v>1</v>
      </c>
      <c r="T53" s="164"/>
      <c r="U53" s="164"/>
      <c r="V53" s="168"/>
      <c r="W53" s="169">
        <v>0</v>
      </c>
      <c r="X53" s="170">
        <v>1</v>
      </c>
      <c r="Y53" s="219" t="s">
        <v>1128</v>
      </c>
      <c r="Z53" s="171"/>
      <c r="AA53" s="97">
        <v>1</v>
      </c>
      <c r="AB53" s="172">
        <v>1</v>
      </c>
      <c r="AC53" s="123"/>
      <c r="AD53" s="4"/>
      <c r="AE53" s="4" t="str">
        <f>"   " &amp; TEXT(AB53,"#0.00%") &amp; " " &amp; "식단" &amp; "(최기현)" &amp; " " &amp; IF(M53="","",TEXT(M53,"M/D-")) &amp; IF(N53="","",TEXT(N53,"M/D")) &amp; " "</f>
        <v xml:space="preserve">   100.00% 식단(최기현) 7/16-7/16 </v>
      </c>
      <c r="AF53" s="4"/>
      <c r="AG53" s="4"/>
      <c r="AH53" s="4"/>
      <c r="AI53" s="4"/>
      <c r="AJ53" s="4"/>
      <c r="AK53" s="4"/>
      <c r="AL53" s="4"/>
      <c r="AM53" s="4"/>
      <c r="AN53" s="4"/>
      <c r="AO53" s="4"/>
      <c r="AP53" s="4"/>
      <c r="AQ53" s="4"/>
      <c r="AR53" s="4"/>
      <c r="AS53" s="4"/>
      <c r="AT53" s="4"/>
      <c r="AU53" s="4"/>
      <c r="AV53" s="4"/>
      <c r="AW53" s="4"/>
      <c r="AX53" s="4"/>
      <c r="AY53" s="4"/>
      <c r="AZ53" s="4"/>
      <c r="BA53" s="4"/>
      <c r="BB53" s="4"/>
      <c r="BC53" s="4"/>
      <c r="BD53" s="4"/>
    </row>
    <row r="54" spans="1:56" ht="16.5" outlineLevel="2">
      <c r="A54" s="116"/>
      <c r="B54" s="116"/>
      <c r="C54" s="116">
        <v>3</v>
      </c>
      <c r="D54" s="214" t="s">
        <v>1273</v>
      </c>
      <c r="E54" s="163"/>
      <c r="F54" s="163"/>
      <c r="G54" s="224" t="s">
        <v>1274</v>
      </c>
      <c r="H54" s="163"/>
      <c r="I54" s="163"/>
      <c r="J54" s="163"/>
      <c r="K54" s="163"/>
      <c r="L54" s="163"/>
      <c r="M54" s="261">
        <v>43662</v>
      </c>
      <c r="N54" s="261">
        <v>43662</v>
      </c>
      <c r="O54" s="165"/>
      <c r="P54" s="166">
        <v>1</v>
      </c>
      <c r="Q54" s="166">
        <v>1</v>
      </c>
      <c r="R54" s="167">
        <v>1</v>
      </c>
      <c r="S54" s="167">
        <v>1</v>
      </c>
      <c r="T54" s="164"/>
      <c r="U54" s="164"/>
      <c r="V54" s="168"/>
      <c r="W54" s="169">
        <v>0</v>
      </c>
      <c r="X54" s="170">
        <v>1</v>
      </c>
      <c r="Y54" s="219" t="s">
        <v>1175</v>
      </c>
      <c r="Z54" s="171"/>
      <c r="AA54" s="97">
        <v>1</v>
      </c>
      <c r="AB54" s="172">
        <v>1</v>
      </c>
      <c r="AC54" s="123"/>
      <c r="AD54" s="4"/>
      <c r="AE54" s="4" t="str">
        <f>"   " &amp; TEXT(AB54,"#0.00%") &amp; " " &amp; "워드" &amp; "(백종화)" &amp; " " &amp; IF(M54="","",TEXT(M54,"M/D-")) &amp; IF(N54="","",TEXT(N54,"M/D")) &amp; " "</f>
        <v xml:space="preserve">   100.00% 워드(백종화) 7/16-7/16 </v>
      </c>
      <c r="AF54" s="4"/>
      <c r="AG54" s="4"/>
      <c r="AH54" s="4"/>
      <c r="AI54" s="4"/>
      <c r="AJ54" s="4"/>
      <c r="AK54" s="4"/>
      <c r="AL54" s="4"/>
      <c r="AM54" s="4"/>
      <c r="AN54" s="4"/>
      <c r="AO54" s="4"/>
      <c r="AP54" s="4"/>
      <c r="AQ54" s="4"/>
      <c r="AR54" s="4"/>
      <c r="AS54" s="4"/>
      <c r="AT54" s="4"/>
      <c r="AU54" s="4"/>
      <c r="AV54" s="4"/>
      <c r="AW54" s="4"/>
      <c r="AX54" s="4"/>
      <c r="AY54" s="4"/>
      <c r="AZ54" s="4"/>
      <c r="BA54" s="4"/>
      <c r="BB54" s="4"/>
      <c r="BC54" s="4"/>
      <c r="BD54" s="4"/>
    </row>
    <row r="55" spans="1:56" ht="16.5" outlineLevel="1">
      <c r="A55" s="116"/>
      <c r="B55" s="116" t="s">
        <v>976</v>
      </c>
      <c r="C55" s="116">
        <v>2</v>
      </c>
      <c r="D55" s="214" t="s">
        <v>1157</v>
      </c>
      <c r="E55" s="163"/>
      <c r="F55" s="163" t="s">
        <v>1240</v>
      </c>
      <c r="G55" s="163"/>
      <c r="H55" s="163"/>
      <c r="I55" s="163"/>
      <c r="J55" s="163"/>
      <c r="K55" s="163"/>
      <c r="L55" s="163"/>
      <c r="M55" s="264">
        <v>43657</v>
      </c>
      <c r="N55" s="264">
        <v>43669</v>
      </c>
      <c r="O55" s="165"/>
      <c r="P55" s="166">
        <v>64</v>
      </c>
      <c r="Q55" s="166">
        <v>64</v>
      </c>
      <c r="R55" s="167">
        <v>9</v>
      </c>
      <c r="S55" s="167">
        <v>9</v>
      </c>
      <c r="T55" s="164"/>
      <c r="U55" s="164"/>
      <c r="V55" s="168">
        <v>0</v>
      </c>
      <c r="W55" s="169">
        <v>0</v>
      </c>
      <c r="X55" s="170"/>
      <c r="Y55" s="165"/>
      <c r="Z55" s="171"/>
      <c r="AA55" s="97">
        <v>1</v>
      </c>
      <c r="AB55" s="172">
        <v>0.984375</v>
      </c>
      <c r="AC55" s="123"/>
      <c r="AD55" s="4"/>
      <c r="AE55" s="4"/>
      <c r="AF55" s="4" t="str">
        <f>"   " &amp; TEXT(AB55,"#0.00%") &amp; " " &amp; "개발 (모듈별 기능 구현)" &amp; " " &amp; IF(M55="","",TEXT(M55,"M/D-")) &amp; IF(N55="","",TEXT(N55,"M/D")) &amp; " "</f>
        <v xml:space="preserve">   98.44% 개발 (모듈별 기능 구현) 7/11-7/23 </v>
      </c>
      <c r="AG55" s="4"/>
      <c r="AH55" s="4"/>
      <c r="AI55" s="4"/>
      <c r="AJ55" s="4"/>
      <c r="AK55" s="4"/>
      <c r="AL55" s="4"/>
      <c r="AM55" s="4"/>
      <c r="AN55" s="4"/>
      <c r="AO55" s="4"/>
      <c r="AP55" s="4"/>
      <c r="AQ55" s="4"/>
      <c r="AR55" s="4"/>
      <c r="AS55" s="4"/>
      <c r="AT55" s="4"/>
      <c r="AU55" s="4"/>
      <c r="AV55" s="4"/>
      <c r="AW55" s="4"/>
      <c r="AX55" s="4"/>
      <c r="AY55" s="4"/>
      <c r="AZ55" s="4"/>
      <c r="BA55" s="4"/>
      <c r="BB55" s="4"/>
      <c r="BC55" s="4"/>
      <c r="BD55" s="4"/>
    </row>
    <row r="56" spans="1:56" ht="16.5" outlineLevel="2">
      <c r="A56" s="116"/>
      <c r="B56" s="116" t="s">
        <v>976</v>
      </c>
      <c r="C56" s="116">
        <v>3</v>
      </c>
      <c r="D56" s="214" t="s">
        <v>1158</v>
      </c>
      <c r="E56" s="163"/>
      <c r="F56" s="163"/>
      <c r="G56" s="220" t="s">
        <v>1263</v>
      </c>
      <c r="H56" s="163"/>
      <c r="I56" s="163"/>
      <c r="J56" s="163"/>
      <c r="K56" s="163"/>
      <c r="L56" s="163"/>
      <c r="M56" s="264">
        <v>43661</v>
      </c>
      <c r="N56" s="264">
        <v>43664</v>
      </c>
      <c r="O56" s="165"/>
      <c r="P56" s="166">
        <v>6</v>
      </c>
      <c r="Q56" s="166">
        <v>6</v>
      </c>
      <c r="R56" s="167">
        <v>4</v>
      </c>
      <c r="S56" s="167">
        <v>4</v>
      </c>
      <c r="T56" s="164"/>
      <c r="U56" s="164"/>
      <c r="V56" s="168">
        <v>0</v>
      </c>
      <c r="W56" s="169">
        <v>0</v>
      </c>
      <c r="X56" s="170"/>
      <c r="Y56" s="165"/>
      <c r="Z56" s="171"/>
      <c r="AA56" s="97">
        <v>1</v>
      </c>
      <c r="AB56" s="172">
        <v>1</v>
      </c>
      <c r="AC56" s="123"/>
      <c r="AD56" s="4"/>
      <c r="AE56" s="4" t="str">
        <f>"     " &amp; TEXT(AB56,"#0.00%") &amp; " " &amp; "Android - 로그인" &amp; " " &amp; IF(M56="","",TEXT(M56,"M/D-")) &amp; IF(N56="","",TEXT(N56,"M/D")) &amp; " "</f>
        <v xml:space="preserve">     100.00% Android - 로그인 7/15-7/18 </v>
      </c>
      <c r="AF56" s="4"/>
      <c r="AG56" s="4"/>
      <c r="AH56" s="4"/>
      <c r="AI56" s="4"/>
      <c r="AJ56" s="4"/>
      <c r="AK56" s="4"/>
      <c r="AL56" s="4"/>
      <c r="AM56" s="4"/>
      <c r="AN56" s="4"/>
      <c r="AO56" s="4"/>
      <c r="AP56" s="4"/>
      <c r="AQ56" s="4"/>
      <c r="AR56" s="4"/>
      <c r="AS56" s="4"/>
      <c r="AT56" s="4"/>
      <c r="AU56" s="4"/>
      <c r="AV56" s="4"/>
      <c r="AW56" s="4"/>
      <c r="AX56" s="4"/>
      <c r="AY56" s="4"/>
      <c r="AZ56" s="4"/>
      <c r="BA56" s="4"/>
      <c r="BB56" s="4"/>
      <c r="BC56" s="4"/>
      <c r="BD56" s="4"/>
    </row>
    <row r="57" spans="1:56" ht="16.5" outlineLevel="3">
      <c r="A57" s="116"/>
      <c r="B57" s="116"/>
      <c r="C57" s="116">
        <v>4</v>
      </c>
      <c r="D57" s="214" t="s">
        <v>1159</v>
      </c>
      <c r="E57" s="163"/>
      <c r="F57" s="163"/>
      <c r="G57" s="220"/>
      <c r="H57" s="220" t="s">
        <v>1185</v>
      </c>
      <c r="I57" s="163"/>
      <c r="J57" s="163"/>
      <c r="K57" s="163"/>
      <c r="L57" s="163"/>
      <c r="M57" s="263">
        <v>43661</v>
      </c>
      <c r="N57" s="263">
        <v>43663</v>
      </c>
      <c r="O57" s="165"/>
      <c r="P57" s="166">
        <v>3</v>
      </c>
      <c r="Q57" s="166">
        <v>3</v>
      </c>
      <c r="R57" s="167">
        <v>3</v>
      </c>
      <c r="S57" s="167">
        <v>3</v>
      </c>
      <c r="T57" s="164"/>
      <c r="U57" s="164"/>
      <c r="V57" s="168"/>
      <c r="W57" s="169">
        <v>0</v>
      </c>
      <c r="X57" s="170">
        <v>1</v>
      </c>
      <c r="Y57" s="219" t="s">
        <v>1199</v>
      </c>
      <c r="Z57" s="171"/>
      <c r="AA57" s="97">
        <v>1</v>
      </c>
      <c r="AB57" s="172">
        <v>1</v>
      </c>
      <c r="AC57" s="123"/>
      <c r="AD57" s="4"/>
      <c r="AE57" s="4" t="str">
        <f>"    " &amp; TEXT(AB57,"#0.00%") &amp; " " &amp; "로그인" &amp; "(김승현)" &amp; " " &amp; IF(M57="","",TEXT(M57,"M/D-")) &amp; IF(N57="","",TEXT(N57,"M/D")) &amp; " "</f>
        <v xml:space="preserve">    100.00% 로그인(김승현) 7/15-7/17 </v>
      </c>
      <c r="AF57" s="4"/>
      <c r="AG57" s="4"/>
      <c r="AH57" s="4"/>
      <c r="AI57" s="4"/>
      <c r="AJ57" s="4"/>
      <c r="AK57" s="4"/>
      <c r="AL57" s="4"/>
      <c r="AM57" s="4"/>
      <c r="AN57" s="4"/>
      <c r="AO57" s="4"/>
      <c r="AP57" s="4"/>
      <c r="AQ57" s="4"/>
      <c r="AR57" s="4"/>
      <c r="AS57" s="4"/>
      <c r="AT57" s="4"/>
      <c r="AU57" s="4"/>
      <c r="AV57" s="4"/>
      <c r="AW57" s="4"/>
      <c r="AX57" s="4"/>
      <c r="AY57" s="4"/>
      <c r="AZ57" s="4"/>
      <c r="BA57" s="4"/>
      <c r="BB57" s="4"/>
      <c r="BC57" s="4"/>
      <c r="BD57" s="4"/>
    </row>
    <row r="58" spans="1:56" ht="16.5" outlineLevel="3">
      <c r="A58" s="116"/>
      <c r="B58" s="116"/>
      <c r="C58" s="116">
        <v>4</v>
      </c>
      <c r="D58" s="214" t="s">
        <v>1160</v>
      </c>
      <c r="E58" s="163"/>
      <c r="F58" s="163"/>
      <c r="G58" s="220"/>
      <c r="H58" s="220" t="s">
        <v>1224</v>
      </c>
      <c r="I58" s="163"/>
      <c r="J58" s="163"/>
      <c r="K58" s="163"/>
      <c r="L58" s="163"/>
      <c r="M58" s="263">
        <v>43663</v>
      </c>
      <c r="N58" s="263">
        <v>43664</v>
      </c>
      <c r="O58" s="165"/>
      <c r="P58" s="166">
        <v>2</v>
      </c>
      <c r="Q58" s="166">
        <v>2</v>
      </c>
      <c r="R58" s="167">
        <v>2</v>
      </c>
      <c r="S58" s="167">
        <v>2</v>
      </c>
      <c r="T58" s="164"/>
      <c r="U58" s="164"/>
      <c r="V58" s="168"/>
      <c r="W58" s="169">
        <v>0</v>
      </c>
      <c r="X58" s="170">
        <v>1</v>
      </c>
      <c r="Y58" s="219" t="s">
        <v>1199</v>
      </c>
      <c r="Z58" s="171"/>
      <c r="AA58" s="97">
        <v>1</v>
      </c>
      <c r="AB58" s="172">
        <v>1</v>
      </c>
      <c r="AC58" s="123"/>
      <c r="AD58" s="4"/>
      <c r="AE58" s="4" t="str">
        <f>"     " &amp; TEXT(AB58,"#0.00%") &amp; " " &amp; "회원가입" &amp; "(김승현)" &amp; " " &amp; IF(M58="","",TEXT(M58,"M/D-")) &amp; IF(N58="","",TEXT(N58,"M/D")) &amp; " "</f>
        <v xml:space="preserve">     100.00% 회원가입(김승현) 7/17-7/18 </v>
      </c>
      <c r="AF58" s="4"/>
      <c r="AG58" s="4"/>
      <c r="AH58" s="4"/>
      <c r="AI58" s="4"/>
      <c r="AJ58" s="4"/>
      <c r="AK58" s="4"/>
      <c r="AL58" s="4"/>
      <c r="AM58" s="4"/>
      <c r="AN58" s="4"/>
      <c r="AO58" s="4"/>
      <c r="AP58" s="4"/>
      <c r="AQ58" s="4"/>
      <c r="AR58" s="4"/>
      <c r="AS58" s="4"/>
      <c r="AT58" s="4"/>
      <c r="AU58" s="4"/>
      <c r="AV58" s="4"/>
      <c r="AW58" s="4"/>
      <c r="AX58" s="4"/>
      <c r="AY58" s="4"/>
      <c r="AZ58" s="4"/>
      <c r="BA58" s="4"/>
      <c r="BB58" s="4"/>
      <c r="BC58" s="4"/>
      <c r="BD58" s="4"/>
    </row>
    <row r="59" spans="1:56" ht="16.5" outlineLevel="3">
      <c r="A59" s="116"/>
      <c r="B59" s="116"/>
      <c r="C59" s="116">
        <v>4</v>
      </c>
      <c r="D59" s="214" t="s">
        <v>1215</v>
      </c>
      <c r="E59" s="163"/>
      <c r="F59" s="163"/>
      <c r="G59" s="220"/>
      <c r="H59" s="220" t="s">
        <v>1225</v>
      </c>
      <c r="I59" s="163"/>
      <c r="J59" s="163"/>
      <c r="K59" s="163"/>
      <c r="L59" s="163"/>
      <c r="M59" s="263">
        <v>43664</v>
      </c>
      <c r="N59" s="263">
        <v>43664</v>
      </c>
      <c r="O59" s="165"/>
      <c r="P59" s="166">
        <v>1</v>
      </c>
      <c r="Q59" s="166">
        <v>1</v>
      </c>
      <c r="R59" s="167">
        <v>1</v>
      </c>
      <c r="S59" s="167">
        <v>1</v>
      </c>
      <c r="T59" s="164"/>
      <c r="U59" s="164"/>
      <c r="V59" s="168"/>
      <c r="W59" s="169">
        <v>0</v>
      </c>
      <c r="X59" s="170">
        <v>1</v>
      </c>
      <c r="Y59" s="219" t="s">
        <v>1199</v>
      </c>
      <c r="Z59" s="171"/>
      <c r="AA59" s="97">
        <v>1</v>
      </c>
      <c r="AB59" s="172">
        <v>1</v>
      </c>
      <c r="AC59" s="123"/>
      <c r="AD59" s="4"/>
      <c r="AE59" s="4" t="str">
        <f>"     " &amp; TEXT(AB59,"#0.00%") &amp; " " &amp; "회원탈퇴" &amp; "(김승현)" &amp; " " &amp; IF(M59="","",TEXT(M59,"M/D-")) &amp; IF(N59="","",TEXT(N59,"M/D")) &amp; " "</f>
        <v xml:space="preserve">     100.00% 회원탈퇴(김승현) 7/18-7/18 </v>
      </c>
      <c r="AF59" s="4"/>
      <c r="AG59" s="4"/>
      <c r="AH59" s="4"/>
      <c r="AI59" s="4"/>
      <c r="AJ59" s="4"/>
      <c r="AK59" s="4"/>
      <c r="AL59" s="4"/>
      <c r="AM59" s="4"/>
      <c r="AN59" s="4"/>
      <c r="AO59" s="4"/>
      <c r="AP59" s="4"/>
      <c r="AQ59" s="4"/>
      <c r="AR59" s="4"/>
      <c r="AS59" s="4"/>
      <c r="AT59" s="4"/>
      <c r="AU59" s="4"/>
      <c r="AV59" s="4"/>
      <c r="AW59" s="4"/>
      <c r="AX59" s="4"/>
      <c r="AY59" s="4"/>
      <c r="AZ59" s="4"/>
      <c r="BA59" s="4"/>
      <c r="BB59" s="4"/>
      <c r="BC59" s="4"/>
      <c r="BD59" s="4"/>
    </row>
    <row r="60" spans="1:56" ht="16.5" outlineLevel="2">
      <c r="A60" s="116"/>
      <c r="B60" s="116" t="s">
        <v>976</v>
      </c>
      <c r="C60" s="116">
        <v>3</v>
      </c>
      <c r="D60" s="214" t="s">
        <v>1161</v>
      </c>
      <c r="E60" s="163"/>
      <c r="F60" s="163"/>
      <c r="G60" s="216" t="s">
        <v>1264</v>
      </c>
      <c r="H60" s="163"/>
      <c r="I60" s="163"/>
      <c r="J60" s="163"/>
      <c r="K60" s="163"/>
      <c r="L60" s="163"/>
      <c r="M60" s="264">
        <v>43662</v>
      </c>
      <c r="N60" s="264">
        <v>43664</v>
      </c>
      <c r="O60" s="165"/>
      <c r="P60" s="166">
        <v>8</v>
      </c>
      <c r="Q60" s="166">
        <v>8</v>
      </c>
      <c r="R60" s="167">
        <v>3</v>
      </c>
      <c r="S60" s="167">
        <v>3</v>
      </c>
      <c r="T60" s="164"/>
      <c r="U60" s="164"/>
      <c r="V60" s="168">
        <v>0</v>
      </c>
      <c r="W60" s="169">
        <v>0</v>
      </c>
      <c r="X60" s="170"/>
      <c r="Y60" s="165"/>
      <c r="Z60" s="171"/>
      <c r="AA60" s="97">
        <v>1</v>
      </c>
      <c r="AB60" s="172">
        <v>1</v>
      </c>
      <c r="AC60" s="123"/>
      <c r="AD60" s="4"/>
      <c r="AE60" s="4" t="str">
        <f>"     " &amp; TEXT(AB60,"#0.00%") &amp; " " &amp; "Android - 메인" &amp; " " &amp; IF(M60="","",TEXT(M60,"M/D-")) &amp; IF(N60="","",TEXT(N60,"M/D")) &amp; " "</f>
        <v xml:space="preserve">     100.00% Android - 메인 7/16-7/18 </v>
      </c>
      <c r="AF60" s="4"/>
      <c r="AG60" s="4"/>
      <c r="AH60" s="4"/>
      <c r="AI60" s="4"/>
      <c r="AJ60" s="4"/>
      <c r="AK60" s="4"/>
      <c r="AL60" s="4"/>
      <c r="AM60" s="4"/>
      <c r="AN60" s="4"/>
      <c r="AO60" s="4"/>
      <c r="AP60" s="4"/>
      <c r="AQ60" s="4"/>
      <c r="AR60" s="4"/>
      <c r="AS60" s="4"/>
      <c r="AT60" s="4"/>
      <c r="AU60" s="4"/>
      <c r="AV60" s="4"/>
      <c r="AW60" s="4"/>
      <c r="AX60" s="4"/>
      <c r="AY60" s="4"/>
      <c r="AZ60" s="4"/>
      <c r="BA60" s="4"/>
      <c r="BB60" s="4"/>
      <c r="BC60" s="4"/>
      <c r="BD60" s="4"/>
    </row>
    <row r="61" spans="1:56" ht="16.5" outlineLevel="3">
      <c r="A61" s="116"/>
      <c r="B61" s="116"/>
      <c r="C61" s="116">
        <v>4</v>
      </c>
      <c r="D61" s="214" t="s">
        <v>1162</v>
      </c>
      <c r="E61" s="163"/>
      <c r="F61" s="163"/>
      <c r="G61" s="216"/>
      <c r="H61" s="163" t="s">
        <v>1151</v>
      </c>
      <c r="I61" s="163"/>
      <c r="J61" s="163"/>
      <c r="K61" s="163"/>
      <c r="L61" s="163"/>
      <c r="M61" s="259">
        <v>43662</v>
      </c>
      <c r="N61" s="259">
        <v>43662</v>
      </c>
      <c r="O61" s="165"/>
      <c r="P61" s="166">
        <v>1</v>
      </c>
      <c r="Q61" s="166">
        <v>1</v>
      </c>
      <c r="R61" s="167">
        <v>1</v>
      </c>
      <c r="S61" s="167">
        <v>1</v>
      </c>
      <c r="T61" s="164"/>
      <c r="U61" s="164"/>
      <c r="V61" s="168"/>
      <c r="W61" s="169">
        <v>0</v>
      </c>
      <c r="X61" s="170">
        <v>1</v>
      </c>
      <c r="Y61" s="219" t="s">
        <v>1128</v>
      </c>
      <c r="Z61" s="171"/>
      <c r="AA61" s="97">
        <v>1</v>
      </c>
      <c r="AB61" s="172">
        <v>1</v>
      </c>
      <c r="AC61" s="123"/>
      <c r="AD61" s="4"/>
      <c r="AE61" s="4" t="str">
        <f>"   " &amp; TEXT(AB61,"#0.00%") &amp; " " &amp; "모듈 통합" &amp; "(최기현)" &amp; " " &amp; IF(M61="","",TEXT(M61,"M/D-")) &amp; IF(N61="","",TEXT(N61,"M/D")) &amp; " "</f>
        <v xml:space="preserve">   100.00% 모듈 통합(최기현) 7/16-7/16 </v>
      </c>
      <c r="AF61" s="4"/>
      <c r="AG61" s="4"/>
      <c r="AH61" s="4"/>
      <c r="AI61" s="4"/>
      <c r="AJ61" s="4"/>
      <c r="AK61" s="4"/>
      <c r="AL61" s="4"/>
      <c r="AM61" s="4"/>
      <c r="AN61" s="4"/>
      <c r="AO61" s="4"/>
      <c r="AP61" s="4"/>
      <c r="AQ61" s="4"/>
      <c r="AR61" s="4"/>
      <c r="AS61" s="4"/>
      <c r="AT61" s="4"/>
      <c r="AU61" s="4"/>
      <c r="AV61" s="4"/>
      <c r="AW61" s="4"/>
      <c r="AX61" s="4"/>
      <c r="AY61" s="4"/>
      <c r="AZ61" s="4"/>
      <c r="BA61" s="4"/>
      <c r="BB61" s="4"/>
      <c r="BC61" s="4"/>
      <c r="BD61" s="4"/>
    </row>
    <row r="62" spans="1:56" ht="16.5" outlineLevel="3">
      <c r="A62" s="116"/>
      <c r="B62" s="116"/>
      <c r="C62" s="116">
        <v>4</v>
      </c>
      <c r="D62" s="214" t="s">
        <v>1163</v>
      </c>
      <c r="E62" s="163"/>
      <c r="F62" s="163"/>
      <c r="G62" s="216"/>
      <c r="H62" s="163" t="s">
        <v>1209</v>
      </c>
      <c r="I62" s="163"/>
      <c r="J62" s="163"/>
      <c r="K62" s="163"/>
      <c r="L62" s="163"/>
      <c r="M62" s="259">
        <v>43664</v>
      </c>
      <c r="N62" s="259">
        <v>43664</v>
      </c>
      <c r="O62" s="165"/>
      <c r="P62" s="166">
        <v>1</v>
      </c>
      <c r="Q62" s="166">
        <v>1</v>
      </c>
      <c r="R62" s="167">
        <v>1</v>
      </c>
      <c r="S62" s="167">
        <v>1</v>
      </c>
      <c r="T62" s="164"/>
      <c r="U62" s="164"/>
      <c r="V62" s="168"/>
      <c r="W62" s="169">
        <v>0</v>
      </c>
      <c r="X62" s="170">
        <v>1</v>
      </c>
      <c r="Y62" s="219" t="s">
        <v>1128</v>
      </c>
      <c r="Z62" s="171"/>
      <c r="AA62" s="97">
        <v>1</v>
      </c>
      <c r="AB62" s="172">
        <v>1</v>
      </c>
      <c r="AC62" s="123"/>
      <c r="AD62" s="4"/>
      <c r="AE62" s="4" t="str">
        <f>"     " &amp; TEXT(AB62,"#0.00%") &amp; " " &amp; "각 모듈별 통계값 구현" &amp; "(최기현)" &amp; " " &amp; IF(M62="","",TEXT(M62,"M/D-")) &amp; IF(N62="","",TEXT(N62,"M/D")) &amp; " "</f>
        <v xml:space="preserve">     100.00% 각 모듈별 통계값 구현(최기현) 7/18-7/18 </v>
      </c>
      <c r="AF62" s="4"/>
      <c r="AG62" s="4"/>
      <c r="AH62" s="4"/>
      <c r="AI62" s="4"/>
      <c r="AJ62" s="4"/>
      <c r="AK62" s="4"/>
      <c r="AL62" s="4"/>
      <c r="AM62" s="4"/>
      <c r="AN62" s="4"/>
      <c r="AO62" s="4"/>
      <c r="AP62" s="4"/>
      <c r="AQ62" s="4"/>
      <c r="AR62" s="4"/>
      <c r="AS62" s="4"/>
      <c r="AT62" s="4"/>
      <c r="AU62" s="4"/>
      <c r="AV62" s="4"/>
      <c r="AW62" s="4"/>
      <c r="AX62" s="4"/>
      <c r="AY62" s="4"/>
      <c r="AZ62" s="4"/>
      <c r="BA62" s="4"/>
      <c r="BB62" s="4"/>
      <c r="BC62" s="4"/>
      <c r="BD62" s="4"/>
    </row>
    <row r="63" spans="1:56" ht="16.5" outlineLevel="3">
      <c r="A63" s="116"/>
      <c r="B63" s="116"/>
      <c r="C63" s="116">
        <v>4</v>
      </c>
      <c r="D63" s="214" t="s">
        <v>1216</v>
      </c>
      <c r="E63" s="163"/>
      <c r="F63" s="163"/>
      <c r="G63" s="216"/>
      <c r="H63" s="163" t="s">
        <v>1147</v>
      </c>
      <c r="I63" s="163"/>
      <c r="J63" s="163"/>
      <c r="K63" s="163"/>
      <c r="L63" s="163"/>
      <c r="M63" s="259">
        <v>43663</v>
      </c>
      <c r="N63" s="259">
        <v>43663</v>
      </c>
      <c r="O63" s="165"/>
      <c r="P63" s="166">
        <v>1</v>
      </c>
      <c r="Q63" s="166">
        <v>1</v>
      </c>
      <c r="R63" s="167">
        <v>1</v>
      </c>
      <c r="S63" s="167">
        <v>1</v>
      </c>
      <c r="T63" s="164"/>
      <c r="U63" s="164"/>
      <c r="V63" s="168"/>
      <c r="W63" s="169">
        <v>0</v>
      </c>
      <c r="X63" s="170">
        <v>1</v>
      </c>
      <c r="Y63" s="219" t="s">
        <v>1128</v>
      </c>
      <c r="Z63" s="171"/>
      <c r="AA63" s="97">
        <v>1</v>
      </c>
      <c r="AB63" s="172">
        <v>1</v>
      </c>
      <c r="AC63" s="123"/>
      <c r="AD63" s="4"/>
      <c r="AE63" s="4" t="str">
        <f>"    " &amp; TEXT(AB63,"#0.00%") &amp; " " &amp; "화면 캡쳐 API" &amp; "(최기현)" &amp; " " &amp; IF(M63="","",TEXT(M63,"M/D-")) &amp; IF(N63="","",TEXT(N63,"M/D")) &amp; " "</f>
        <v xml:space="preserve">    100.00% 화면 캡쳐 API(최기현) 7/17-7/17 </v>
      </c>
      <c r="AF63" s="4"/>
      <c r="AG63" s="4"/>
      <c r="AH63" s="4"/>
      <c r="AI63" s="4"/>
      <c r="AJ63" s="4"/>
      <c r="AK63" s="4"/>
      <c r="AL63" s="4"/>
      <c r="AM63" s="4"/>
      <c r="AN63" s="4"/>
      <c r="AO63" s="4"/>
      <c r="AP63" s="4"/>
      <c r="AQ63" s="4"/>
      <c r="AR63" s="4"/>
      <c r="AS63" s="4"/>
      <c r="AT63" s="4"/>
      <c r="AU63" s="4"/>
      <c r="AV63" s="4"/>
      <c r="AW63" s="4"/>
      <c r="AX63" s="4"/>
      <c r="AY63" s="4"/>
      <c r="AZ63" s="4"/>
      <c r="BA63" s="4"/>
      <c r="BB63" s="4"/>
      <c r="BC63" s="4"/>
      <c r="BD63" s="4"/>
    </row>
    <row r="64" spans="1:56" ht="16.5" outlineLevel="3">
      <c r="A64" s="116"/>
      <c r="B64" s="116"/>
      <c r="C64" s="116">
        <v>4</v>
      </c>
      <c r="D64" s="214" t="s">
        <v>1226</v>
      </c>
      <c r="E64" s="163"/>
      <c r="F64" s="163"/>
      <c r="G64" s="216"/>
      <c r="H64" s="220" t="s">
        <v>1219</v>
      </c>
      <c r="I64" s="163"/>
      <c r="J64" s="163"/>
      <c r="K64" s="163"/>
      <c r="L64" s="163"/>
      <c r="M64" s="259">
        <v>43663</v>
      </c>
      <c r="N64" s="259">
        <v>43663</v>
      </c>
      <c r="O64" s="165"/>
      <c r="P64" s="166">
        <v>1</v>
      </c>
      <c r="Q64" s="166">
        <v>1</v>
      </c>
      <c r="R64" s="167">
        <v>1</v>
      </c>
      <c r="S64" s="167">
        <v>1</v>
      </c>
      <c r="T64" s="164"/>
      <c r="U64" s="164"/>
      <c r="V64" s="168"/>
      <c r="W64" s="169">
        <v>0</v>
      </c>
      <c r="X64" s="170">
        <v>1</v>
      </c>
      <c r="Y64" s="219" t="s">
        <v>1128</v>
      </c>
      <c r="Z64" s="171"/>
      <c r="AA64" s="97">
        <v>1</v>
      </c>
      <c r="AB64" s="172">
        <v>1</v>
      </c>
      <c r="AC64" s="123"/>
      <c r="AD64" s="4"/>
      <c r="AE64" s="4" t="str">
        <f>"    " &amp; TEXT(AB64,"#0.00%") &amp; " " &amp; "공유" &amp; "(최기현)" &amp; " " &amp; IF(M64="","",TEXT(M64,"M/D-")) &amp; IF(N64="","",TEXT(N64,"M/D")) &amp; " "</f>
        <v xml:space="preserve">    100.00% 공유(최기현) 7/17-7/17 </v>
      </c>
      <c r="AF64" s="4"/>
      <c r="AG64" s="4"/>
      <c r="AH64" s="4"/>
      <c r="AI64" s="4"/>
      <c r="AJ64" s="4"/>
      <c r="AK64" s="4"/>
      <c r="AL64" s="4"/>
      <c r="AM64" s="4"/>
      <c r="AN64" s="4"/>
      <c r="AO64" s="4"/>
      <c r="AP64" s="4"/>
      <c r="AQ64" s="4"/>
      <c r="AR64" s="4"/>
      <c r="AS64" s="4"/>
      <c r="AT64" s="4"/>
      <c r="AU64" s="4"/>
      <c r="AV64" s="4"/>
      <c r="AW64" s="4"/>
      <c r="AX64" s="4"/>
      <c r="AY64" s="4"/>
      <c r="AZ64" s="4"/>
      <c r="BA64" s="4"/>
      <c r="BB64" s="4"/>
      <c r="BC64" s="4"/>
      <c r="BD64" s="4"/>
    </row>
    <row r="65" spans="1:56" ht="16.5" outlineLevel="3">
      <c r="A65" s="116"/>
      <c r="B65" s="116"/>
      <c r="C65" s="116">
        <v>4</v>
      </c>
      <c r="D65" s="214" t="s">
        <v>1227</v>
      </c>
      <c r="E65" s="163"/>
      <c r="F65" s="163"/>
      <c r="G65" s="216"/>
      <c r="H65" s="220" t="s">
        <v>1221</v>
      </c>
      <c r="I65" s="163"/>
      <c r="J65" s="163"/>
      <c r="K65" s="163"/>
      <c r="L65" s="163"/>
      <c r="M65" s="261">
        <v>43663</v>
      </c>
      <c r="N65" s="261">
        <v>43664</v>
      </c>
      <c r="O65" s="165"/>
      <c r="P65" s="166">
        <v>2</v>
      </c>
      <c r="Q65" s="166">
        <v>2</v>
      </c>
      <c r="R65" s="167">
        <v>2</v>
      </c>
      <c r="S65" s="167">
        <v>2</v>
      </c>
      <c r="T65" s="164"/>
      <c r="U65" s="164"/>
      <c r="V65" s="168"/>
      <c r="W65" s="169">
        <v>0</v>
      </c>
      <c r="X65" s="170">
        <v>1</v>
      </c>
      <c r="Y65" s="219" t="s">
        <v>1175</v>
      </c>
      <c r="Z65" s="171"/>
      <c r="AA65" s="97">
        <v>1</v>
      </c>
      <c r="AB65" s="172">
        <v>1</v>
      </c>
      <c r="AC65" s="123"/>
      <c r="AD65" s="4"/>
      <c r="AE65" s="4" t="str">
        <f>"     " &amp; TEXT(AB65,"#0.00%") &amp; " " &amp; "워드 클라우드" &amp; "(백종화)" &amp; " " &amp; IF(M65="","",TEXT(M65,"M/D-")) &amp; IF(N65="","",TEXT(N65,"M/D")) &amp; " "</f>
        <v xml:space="preserve">     100.00% 워드 클라우드(백종화) 7/17-7/18 </v>
      </c>
      <c r="AF65" s="4"/>
      <c r="AG65" s="4"/>
      <c r="AH65" s="4"/>
      <c r="AI65" s="4"/>
      <c r="AJ65" s="4"/>
      <c r="AK65" s="4"/>
      <c r="AL65" s="4"/>
      <c r="AM65" s="4"/>
      <c r="AN65" s="4"/>
      <c r="AO65" s="4"/>
      <c r="AP65" s="4"/>
      <c r="AQ65" s="4"/>
      <c r="AR65" s="4"/>
      <c r="AS65" s="4"/>
      <c r="AT65" s="4"/>
      <c r="AU65" s="4"/>
      <c r="AV65" s="4"/>
      <c r="AW65" s="4"/>
      <c r="AX65" s="4"/>
      <c r="AY65" s="4"/>
      <c r="AZ65" s="4"/>
      <c r="BA65" s="4"/>
      <c r="BB65" s="4"/>
      <c r="BC65" s="4"/>
      <c r="BD65" s="4"/>
    </row>
    <row r="66" spans="1:56" ht="16.5" outlineLevel="3">
      <c r="A66" s="116"/>
      <c r="B66" s="116"/>
      <c r="C66" s="116">
        <v>4</v>
      </c>
      <c r="D66" s="214" t="s">
        <v>1228</v>
      </c>
      <c r="E66" s="163"/>
      <c r="F66" s="163"/>
      <c r="G66" s="216"/>
      <c r="H66" s="220" t="s">
        <v>1220</v>
      </c>
      <c r="I66" s="163"/>
      <c r="J66" s="163"/>
      <c r="K66" s="163"/>
      <c r="L66" s="163"/>
      <c r="M66" s="261">
        <v>43663</v>
      </c>
      <c r="N66" s="261">
        <v>43664</v>
      </c>
      <c r="O66" s="165"/>
      <c r="P66" s="166">
        <v>2</v>
      </c>
      <c r="Q66" s="166">
        <v>2</v>
      </c>
      <c r="R66" s="167">
        <v>2</v>
      </c>
      <c r="S66" s="167">
        <v>2</v>
      </c>
      <c r="T66" s="164"/>
      <c r="U66" s="164"/>
      <c r="V66" s="168"/>
      <c r="W66" s="169">
        <v>0</v>
      </c>
      <c r="X66" s="170">
        <v>1</v>
      </c>
      <c r="Y66" s="219" t="s">
        <v>1175</v>
      </c>
      <c r="Z66" s="171"/>
      <c r="AA66" s="97">
        <v>1</v>
      </c>
      <c r="AB66" s="172">
        <v>1</v>
      </c>
      <c r="AC66" s="123"/>
      <c r="AD66" s="4"/>
      <c r="AE66" s="4" t="str">
        <f>"     " &amp; TEXT(AB66,"#0.00%") &amp; " " &amp; "크롤링" &amp; "(백종화)" &amp; " " &amp; IF(M66="","",TEXT(M66,"M/D-")) &amp; IF(N66="","",TEXT(N66,"M/D")) &amp; " "</f>
        <v xml:space="preserve">     100.00% 크롤링(백종화) 7/17-7/18 </v>
      </c>
      <c r="AF66" s="4"/>
      <c r="AG66" s="4"/>
      <c r="AH66" s="4"/>
      <c r="AI66" s="4"/>
      <c r="AJ66" s="4"/>
      <c r="AK66" s="4"/>
      <c r="AL66" s="4"/>
      <c r="AM66" s="4"/>
      <c r="AN66" s="4"/>
      <c r="AO66" s="4"/>
      <c r="AP66" s="4"/>
      <c r="AQ66" s="4"/>
      <c r="AR66" s="4"/>
      <c r="AS66" s="4"/>
      <c r="AT66" s="4"/>
      <c r="AU66" s="4"/>
      <c r="AV66" s="4"/>
      <c r="AW66" s="4"/>
      <c r="AX66" s="4"/>
      <c r="AY66" s="4"/>
      <c r="AZ66" s="4"/>
      <c r="BA66" s="4"/>
      <c r="BB66" s="4"/>
      <c r="BC66" s="4"/>
      <c r="BD66" s="4"/>
    </row>
    <row r="67" spans="1:56" ht="16.5" outlineLevel="2">
      <c r="A67" s="116"/>
      <c r="B67" s="116" t="s">
        <v>976</v>
      </c>
      <c r="C67" s="116">
        <v>3</v>
      </c>
      <c r="D67" s="214" t="s">
        <v>1164</v>
      </c>
      <c r="E67" s="163"/>
      <c r="F67" s="163"/>
      <c r="G67" s="216" t="s">
        <v>1265</v>
      </c>
      <c r="H67" s="163"/>
      <c r="I67" s="163"/>
      <c r="J67" s="163"/>
      <c r="K67" s="163"/>
      <c r="L67" s="163"/>
      <c r="M67" s="264">
        <v>43658</v>
      </c>
      <c r="N67" s="264">
        <v>43665</v>
      </c>
      <c r="O67" s="165"/>
      <c r="P67" s="166">
        <v>7</v>
      </c>
      <c r="Q67" s="166">
        <v>7</v>
      </c>
      <c r="R67" s="167">
        <v>6</v>
      </c>
      <c r="S67" s="167">
        <v>6</v>
      </c>
      <c r="T67" s="164"/>
      <c r="U67" s="164"/>
      <c r="V67" s="168">
        <v>0</v>
      </c>
      <c r="W67" s="169">
        <v>0</v>
      </c>
      <c r="X67" s="170"/>
      <c r="Y67" s="165"/>
      <c r="Z67" s="171"/>
      <c r="AA67" s="97">
        <v>1</v>
      </c>
      <c r="AB67" s="172">
        <v>0.94285714285714284</v>
      </c>
      <c r="AC67" s="123"/>
      <c r="AD67" s="4"/>
      <c r="AE67" s="4" t="str">
        <f>"      " &amp; TEXT(AB67,"#0.00%") &amp; " " &amp; "Android - 운동" &amp; " " &amp; IF(M67="","",TEXT(M67,"M/D-")) &amp; IF(N67="","",TEXT(N67,"M/D")) &amp; " "</f>
        <v xml:space="preserve">      94.29% Android - 운동 7/12-7/19 </v>
      </c>
      <c r="AF67" s="4"/>
      <c r="AG67" s="4"/>
      <c r="AH67" s="4"/>
      <c r="AI67" s="4"/>
      <c r="AJ67" s="4"/>
      <c r="AK67" s="4"/>
      <c r="AL67" s="4"/>
      <c r="AM67" s="4"/>
      <c r="AN67" s="4"/>
      <c r="AO67" s="4"/>
      <c r="AP67" s="4"/>
      <c r="AQ67" s="4"/>
      <c r="AR67" s="4"/>
      <c r="AS67" s="4"/>
      <c r="AT67" s="4"/>
      <c r="AU67" s="4"/>
      <c r="AV67" s="4"/>
      <c r="AW67" s="4"/>
      <c r="AX67" s="4"/>
      <c r="AY67" s="4"/>
      <c r="AZ67" s="4"/>
      <c r="BA67" s="4"/>
      <c r="BB67" s="4"/>
      <c r="BC67" s="4"/>
      <c r="BD67" s="4"/>
    </row>
    <row r="68" spans="1:56" ht="16.5" outlineLevel="3">
      <c r="A68" s="116"/>
      <c r="B68" s="116"/>
      <c r="C68" s="116">
        <v>4</v>
      </c>
      <c r="D68" s="214" t="s">
        <v>1165</v>
      </c>
      <c r="E68" s="163"/>
      <c r="F68" s="163"/>
      <c r="G68" s="216"/>
      <c r="H68" s="163" t="s">
        <v>1148</v>
      </c>
      <c r="I68" s="163"/>
      <c r="J68" s="163"/>
      <c r="K68" s="163"/>
      <c r="L68" s="163"/>
      <c r="M68" s="262">
        <v>43658</v>
      </c>
      <c r="N68" s="262">
        <v>43661</v>
      </c>
      <c r="O68" s="165"/>
      <c r="P68" s="166">
        <v>2</v>
      </c>
      <c r="Q68" s="166">
        <v>2</v>
      </c>
      <c r="R68" s="167">
        <v>2</v>
      </c>
      <c r="S68" s="167">
        <v>2</v>
      </c>
      <c r="T68" s="164"/>
      <c r="U68" s="164"/>
      <c r="V68" s="168"/>
      <c r="W68" s="169">
        <v>0</v>
      </c>
      <c r="X68" s="170">
        <v>1</v>
      </c>
      <c r="Y68" s="165" t="s">
        <v>1208</v>
      </c>
      <c r="Z68" s="171"/>
      <c r="AA68" s="97">
        <v>1</v>
      </c>
      <c r="AB68" s="172">
        <v>0.8</v>
      </c>
      <c r="AC68" s="123"/>
      <c r="AD68" s="4"/>
      <c r="AE68" s="4" t="str">
        <f>" " &amp; TEXT(AB68,"#0.00%") &amp; " " &amp; "GPS 연동" &amp; "(이남희)" &amp; " " &amp; IF(M68="","",TEXT(M68,"M/D-")) &amp; IF(N68="","",TEXT(N68,"M/D")) &amp; " "</f>
        <v xml:space="preserve"> 80.00% GPS 연동(이남희) 7/12-7/15 </v>
      </c>
      <c r="AF68" s="4"/>
      <c r="AG68" s="4"/>
      <c r="AH68" s="4"/>
      <c r="AI68" s="4"/>
      <c r="AJ68" s="4"/>
      <c r="AK68" s="4"/>
      <c r="AL68" s="4"/>
      <c r="AM68" s="4"/>
      <c r="AN68" s="4"/>
      <c r="AO68" s="4"/>
      <c r="AP68" s="4"/>
      <c r="AQ68" s="4"/>
      <c r="AR68" s="4"/>
      <c r="AS68" s="4"/>
      <c r="AT68" s="4"/>
      <c r="AU68" s="4"/>
      <c r="AV68" s="4"/>
      <c r="AW68" s="4"/>
      <c r="AX68" s="4"/>
      <c r="AY68" s="4"/>
      <c r="AZ68" s="4"/>
      <c r="BA68" s="4"/>
      <c r="BB68" s="4"/>
      <c r="BC68" s="4"/>
      <c r="BD68" s="4"/>
    </row>
    <row r="69" spans="1:56" ht="16.5" outlineLevel="3">
      <c r="A69" s="116"/>
      <c r="B69" s="116"/>
      <c r="C69" s="116">
        <v>4</v>
      </c>
      <c r="D69" s="214" t="s">
        <v>1217</v>
      </c>
      <c r="E69" s="163"/>
      <c r="F69" s="163"/>
      <c r="G69" s="216"/>
      <c r="H69" s="163" t="s">
        <v>1154</v>
      </c>
      <c r="I69" s="163"/>
      <c r="J69" s="163"/>
      <c r="K69" s="163"/>
      <c r="L69" s="163"/>
      <c r="M69" s="262">
        <v>43662</v>
      </c>
      <c r="N69" s="262">
        <v>43663</v>
      </c>
      <c r="O69" s="165"/>
      <c r="P69" s="166">
        <v>2</v>
      </c>
      <c r="Q69" s="166">
        <v>2</v>
      </c>
      <c r="R69" s="167">
        <v>2</v>
      </c>
      <c r="S69" s="167">
        <v>2</v>
      </c>
      <c r="T69" s="164"/>
      <c r="U69" s="164"/>
      <c r="V69" s="168"/>
      <c r="W69" s="169">
        <v>0</v>
      </c>
      <c r="X69" s="170">
        <v>1</v>
      </c>
      <c r="Y69" s="165" t="s">
        <v>1208</v>
      </c>
      <c r="Z69" s="171"/>
      <c r="AA69" s="97">
        <v>1</v>
      </c>
      <c r="AB69" s="172">
        <v>1</v>
      </c>
      <c r="AC69" s="123"/>
      <c r="AD69" s="4"/>
      <c r="AE69" s="4" t="str">
        <f>"    " &amp; TEXT(AB69,"#0.00%") &amp; " " &amp; "운동량 칼로리 구현" &amp; "(이남희)" &amp; " " &amp; IF(M69="","",TEXT(M69,"M/D-")) &amp; IF(N69="","",TEXT(N69,"M/D")) &amp; " "</f>
        <v xml:space="preserve">    100.00% 운동량 칼로리 구현(이남희) 7/16-7/17 </v>
      </c>
      <c r="AF69" s="4"/>
      <c r="AG69" s="4"/>
      <c r="AH69" s="4"/>
      <c r="AI69" s="4"/>
      <c r="AJ69" s="4"/>
      <c r="AK69" s="4"/>
      <c r="AL69" s="4"/>
      <c r="AM69" s="4"/>
      <c r="AN69" s="4"/>
      <c r="AO69" s="4"/>
      <c r="AP69" s="4"/>
      <c r="AQ69" s="4"/>
      <c r="AR69" s="4"/>
      <c r="AS69" s="4"/>
      <c r="AT69" s="4"/>
      <c r="AU69" s="4"/>
      <c r="AV69" s="4"/>
      <c r="AW69" s="4"/>
      <c r="AX69" s="4"/>
      <c r="AY69" s="4"/>
      <c r="AZ69" s="4"/>
      <c r="BA69" s="4"/>
      <c r="BB69" s="4"/>
      <c r="BC69" s="4"/>
      <c r="BD69" s="4"/>
    </row>
    <row r="70" spans="1:56" ht="16.5" outlineLevel="3">
      <c r="A70" s="116"/>
      <c r="B70" s="116"/>
      <c r="C70" s="116">
        <v>4</v>
      </c>
      <c r="D70" s="214" t="s">
        <v>1223</v>
      </c>
      <c r="E70" s="163"/>
      <c r="F70" s="163"/>
      <c r="G70" s="216"/>
      <c r="H70" s="163" t="s">
        <v>1210</v>
      </c>
      <c r="I70" s="163"/>
      <c r="J70" s="163"/>
      <c r="K70" s="163"/>
      <c r="L70" s="163"/>
      <c r="M70" s="260">
        <v>43663</v>
      </c>
      <c r="N70" s="260">
        <v>43665</v>
      </c>
      <c r="O70" s="165"/>
      <c r="P70" s="166">
        <v>3</v>
      </c>
      <c r="Q70" s="166">
        <v>3</v>
      </c>
      <c r="R70" s="167">
        <v>3</v>
      </c>
      <c r="S70" s="167">
        <v>3</v>
      </c>
      <c r="T70" s="164"/>
      <c r="U70" s="164"/>
      <c r="V70" s="168"/>
      <c r="W70" s="169">
        <v>0</v>
      </c>
      <c r="X70" s="170">
        <v>1</v>
      </c>
      <c r="Y70" s="219" t="s">
        <v>1132</v>
      </c>
      <c r="Z70" s="171"/>
      <c r="AA70" s="97">
        <v>1</v>
      </c>
      <c r="AB70" s="172">
        <v>1</v>
      </c>
      <c r="AC70" s="123"/>
      <c r="AD70" s="4"/>
      <c r="AE70" s="4" t="str">
        <f>"      " &amp; TEXT(AB70,"#0.00%") &amp; " " &amp; "운동량 통계 그래프" &amp; "(이승헌)" &amp; " " &amp; IF(M70="","",TEXT(M70,"M/D-")) &amp; IF(N70="","",TEXT(N70,"M/D")) &amp; " "</f>
        <v xml:space="preserve">      100.00% 운동량 통계 그래프(이승헌) 7/17-7/19 </v>
      </c>
      <c r="AF70" s="4"/>
      <c r="AG70" s="4"/>
      <c r="AH70" s="4"/>
      <c r="AI70" s="4"/>
      <c r="AJ70" s="4"/>
      <c r="AK70" s="4"/>
      <c r="AL70" s="4"/>
      <c r="AM70" s="4"/>
      <c r="AN70" s="4"/>
      <c r="AO70" s="4"/>
      <c r="AP70" s="4"/>
      <c r="AQ70" s="4"/>
      <c r="AR70" s="4"/>
      <c r="AS70" s="4"/>
      <c r="AT70" s="4"/>
      <c r="AU70" s="4"/>
      <c r="AV70" s="4"/>
      <c r="AW70" s="4"/>
      <c r="AX70" s="4"/>
      <c r="AY70" s="4"/>
      <c r="AZ70" s="4"/>
      <c r="BA70" s="4"/>
      <c r="BB70" s="4"/>
      <c r="BC70" s="4"/>
      <c r="BD70" s="4"/>
    </row>
    <row r="71" spans="1:56" ht="16.5" outlineLevel="2">
      <c r="A71" s="116"/>
      <c r="B71" s="116" t="s">
        <v>976</v>
      </c>
      <c r="C71" s="116">
        <v>3</v>
      </c>
      <c r="D71" s="214" t="s">
        <v>1166</v>
      </c>
      <c r="E71" s="163"/>
      <c r="F71" s="163"/>
      <c r="G71" s="216" t="s">
        <v>1266</v>
      </c>
      <c r="H71" s="163"/>
      <c r="I71" s="163"/>
      <c r="J71" s="163"/>
      <c r="K71" s="163"/>
      <c r="L71" s="163"/>
      <c r="M71" s="264">
        <v>43663</v>
      </c>
      <c r="N71" s="264">
        <v>43668</v>
      </c>
      <c r="O71" s="165"/>
      <c r="P71" s="166">
        <v>7</v>
      </c>
      <c r="Q71" s="166">
        <v>7</v>
      </c>
      <c r="R71" s="167">
        <v>4</v>
      </c>
      <c r="S71" s="167">
        <v>4</v>
      </c>
      <c r="T71" s="164"/>
      <c r="U71" s="164"/>
      <c r="V71" s="168">
        <v>0</v>
      </c>
      <c r="W71" s="169">
        <v>0</v>
      </c>
      <c r="X71" s="170"/>
      <c r="Y71" s="165"/>
      <c r="Z71" s="171"/>
      <c r="AA71" s="97">
        <v>1</v>
      </c>
      <c r="AB71" s="172">
        <v>1</v>
      </c>
      <c r="AC71" s="123"/>
      <c r="AD71" s="4"/>
      <c r="AE71" s="4"/>
      <c r="AF71" s="4" t="str">
        <f>"  " &amp; TEXT(AB71,"#0.00%") &amp; " " &amp; "Android - 식단" &amp; " " &amp; IF(M71="","",TEXT(M71,"M/D-")) &amp; IF(N71="","",TEXT(N71,"M/D")) &amp; " "</f>
        <v xml:space="preserve">  100.00% Android - 식단 7/17-7/22 </v>
      </c>
      <c r="AG71" s="4"/>
      <c r="AH71" s="4"/>
      <c r="AI71" s="4"/>
      <c r="AJ71" s="4"/>
      <c r="AK71" s="4"/>
      <c r="AL71" s="4"/>
      <c r="AM71" s="4"/>
      <c r="AN71" s="4"/>
      <c r="AO71" s="4"/>
      <c r="AP71" s="4"/>
      <c r="AQ71" s="4"/>
      <c r="AR71" s="4"/>
      <c r="AS71" s="4"/>
      <c r="AT71" s="4"/>
      <c r="AU71" s="4"/>
      <c r="AV71" s="4"/>
      <c r="AW71" s="4"/>
      <c r="AX71" s="4"/>
      <c r="AY71" s="4"/>
      <c r="AZ71" s="4"/>
      <c r="BA71" s="4"/>
      <c r="BB71" s="4"/>
      <c r="BC71" s="4"/>
      <c r="BD71" s="4"/>
    </row>
    <row r="72" spans="1:56" ht="16.5" outlineLevel="3">
      <c r="A72" s="116"/>
      <c r="B72" s="116"/>
      <c r="C72" s="116">
        <v>4</v>
      </c>
      <c r="D72" s="214" t="s">
        <v>1167</v>
      </c>
      <c r="E72" s="163"/>
      <c r="F72" s="163"/>
      <c r="G72" s="216"/>
      <c r="H72" s="163" t="s">
        <v>1149</v>
      </c>
      <c r="I72" s="163"/>
      <c r="J72" s="163"/>
      <c r="K72" s="163"/>
      <c r="L72" s="163"/>
      <c r="M72" s="259">
        <v>43664</v>
      </c>
      <c r="N72" s="259">
        <v>43664</v>
      </c>
      <c r="O72" s="165"/>
      <c r="P72" s="166">
        <v>1</v>
      </c>
      <c r="Q72" s="166">
        <v>1</v>
      </c>
      <c r="R72" s="167">
        <v>1</v>
      </c>
      <c r="S72" s="167">
        <v>1</v>
      </c>
      <c r="T72" s="164"/>
      <c r="U72" s="164"/>
      <c r="V72" s="168"/>
      <c r="W72" s="169">
        <v>0</v>
      </c>
      <c r="X72" s="170">
        <v>1</v>
      </c>
      <c r="Y72" s="165" t="s">
        <v>1128</v>
      </c>
      <c r="Z72" s="171"/>
      <c r="AA72" s="97">
        <v>1</v>
      </c>
      <c r="AB72" s="172">
        <v>1</v>
      </c>
      <c r="AC72" s="123"/>
      <c r="AD72" s="4"/>
      <c r="AE72" s="4" t="str">
        <f>"     " &amp; TEXT(AB72,"#0.00%") &amp; " " &amp; "칼로리 계산 API" &amp; "(최기현)" &amp; " " &amp; IF(M72="","",TEXT(M72,"M/D-")) &amp; IF(N72="","",TEXT(N72,"M/D")) &amp; " "</f>
        <v xml:space="preserve">     100.00% 칼로리 계산 API(최기현) 7/18-7/18 </v>
      </c>
      <c r="AF72" s="4"/>
      <c r="AG72" s="4"/>
      <c r="AH72" s="4"/>
      <c r="AI72" s="4"/>
      <c r="AJ72" s="4"/>
      <c r="AK72" s="4"/>
      <c r="AL72" s="4"/>
      <c r="AM72" s="4"/>
      <c r="AN72" s="4"/>
      <c r="AO72" s="4"/>
      <c r="AP72" s="4"/>
      <c r="AQ72" s="4"/>
      <c r="AR72" s="4"/>
      <c r="AS72" s="4"/>
      <c r="AT72" s="4"/>
      <c r="AU72" s="4"/>
      <c r="AV72" s="4"/>
      <c r="AW72" s="4"/>
      <c r="AX72" s="4"/>
      <c r="AY72" s="4"/>
      <c r="AZ72" s="4"/>
      <c r="BA72" s="4"/>
      <c r="BB72" s="4"/>
      <c r="BC72" s="4"/>
      <c r="BD72" s="4"/>
    </row>
    <row r="73" spans="1:56" ht="16.5" outlineLevel="3">
      <c r="A73" s="116"/>
      <c r="B73" s="116"/>
      <c r="C73" s="116">
        <v>4</v>
      </c>
      <c r="D73" s="214" t="s">
        <v>1168</v>
      </c>
      <c r="E73" s="163"/>
      <c r="F73" s="163"/>
      <c r="G73" s="216"/>
      <c r="H73" s="163" t="s">
        <v>1222</v>
      </c>
      <c r="I73" s="163"/>
      <c r="J73" s="163"/>
      <c r="K73" s="163"/>
      <c r="L73" s="163"/>
      <c r="M73" s="259">
        <v>43664</v>
      </c>
      <c r="N73" s="259">
        <v>43668</v>
      </c>
      <c r="O73" s="165"/>
      <c r="P73" s="166">
        <v>3</v>
      </c>
      <c r="Q73" s="166">
        <v>3</v>
      </c>
      <c r="R73" s="167">
        <v>3</v>
      </c>
      <c r="S73" s="167">
        <v>3</v>
      </c>
      <c r="T73" s="164"/>
      <c r="U73" s="164"/>
      <c r="V73" s="168"/>
      <c r="W73" s="169">
        <v>0</v>
      </c>
      <c r="X73" s="170">
        <v>1</v>
      </c>
      <c r="Y73" s="219" t="s">
        <v>1128</v>
      </c>
      <c r="Z73" s="171"/>
      <c r="AA73" s="97">
        <v>1</v>
      </c>
      <c r="AB73" s="172">
        <v>1</v>
      </c>
      <c r="AC73" s="123"/>
      <c r="AD73" s="4"/>
      <c r="AE73" s="4"/>
      <c r="AF73" s="4" t="str">
        <f>"  " &amp; TEXT(AB73,"#0.00%") &amp; " " &amp; "식단 검색및 저장" &amp; "(최기현)" &amp; " " &amp; IF(M73="","",TEXT(M73,"M/D-")) &amp; IF(N73="","",TEXT(N73,"M/D")) &amp; " "</f>
        <v xml:space="preserve">  100.00% 식단 검색및 저장(최기현) 7/18-7/22 </v>
      </c>
      <c r="AG73" s="4"/>
      <c r="AH73" s="4"/>
      <c r="AI73" s="4"/>
      <c r="AJ73" s="4"/>
      <c r="AK73" s="4"/>
      <c r="AL73" s="4"/>
      <c r="AM73" s="4"/>
      <c r="AN73" s="4"/>
      <c r="AO73" s="4"/>
      <c r="AP73" s="4"/>
      <c r="AQ73" s="4"/>
      <c r="AR73" s="4"/>
      <c r="AS73" s="4"/>
      <c r="AT73" s="4"/>
      <c r="AU73" s="4"/>
      <c r="AV73" s="4"/>
      <c r="AW73" s="4"/>
      <c r="AX73" s="4"/>
      <c r="AY73" s="4"/>
      <c r="AZ73" s="4"/>
      <c r="BA73" s="4"/>
      <c r="BB73" s="4"/>
      <c r="BC73" s="4"/>
      <c r="BD73" s="4"/>
    </row>
    <row r="74" spans="1:56" ht="16.5" outlineLevel="3">
      <c r="A74" s="116"/>
      <c r="B74" s="116"/>
      <c r="C74" s="116">
        <v>4</v>
      </c>
      <c r="D74" s="214" t="s">
        <v>1218</v>
      </c>
      <c r="E74" s="163"/>
      <c r="F74" s="163"/>
      <c r="G74" s="216"/>
      <c r="H74" s="163" t="s">
        <v>1211</v>
      </c>
      <c r="I74" s="163"/>
      <c r="J74" s="163"/>
      <c r="K74" s="163"/>
      <c r="L74" s="163"/>
      <c r="M74" s="260">
        <v>43663</v>
      </c>
      <c r="N74" s="260">
        <v>43665</v>
      </c>
      <c r="O74" s="165"/>
      <c r="P74" s="166">
        <v>3</v>
      </c>
      <c r="Q74" s="166">
        <v>3</v>
      </c>
      <c r="R74" s="167">
        <v>3</v>
      </c>
      <c r="S74" s="167">
        <v>3</v>
      </c>
      <c r="T74" s="164"/>
      <c r="U74" s="164"/>
      <c r="V74" s="168"/>
      <c r="W74" s="169">
        <v>0</v>
      </c>
      <c r="X74" s="170">
        <v>1</v>
      </c>
      <c r="Y74" s="219" t="s">
        <v>1132</v>
      </c>
      <c r="Z74" s="171"/>
      <c r="AA74" s="97">
        <v>1</v>
      </c>
      <c r="AB74" s="172">
        <v>1</v>
      </c>
      <c r="AC74" s="123"/>
      <c r="AD74" s="4"/>
      <c r="AE74" s="4" t="str">
        <f>"      " &amp; TEXT(AB74,"#0.00%") &amp; " " &amp; "식단 통계 그래프" &amp; "(이승헌)" &amp; " " &amp; IF(M74="","",TEXT(M74,"M/D-")) &amp; IF(N74="","",TEXT(N74,"M/D")) &amp; " "</f>
        <v xml:space="preserve">      100.00% 식단 통계 그래프(이승헌) 7/17-7/19 </v>
      </c>
      <c r="AF74" s="4"/>
      <c r="AG74" s="4"/>
      <c r="AH74" s="4"/>
      <c r="AI74" s="4"/>
      <c r="AJ74" s="4"/>
      <c r="AK74" s="4"/>
      <c r="AL74" s="4"/>
      <c r="AM74" s="4"/>
      <c r="AN74" s="4"/>
      <c r="AO74" s="4"/>
      <c r="AP74" s="4"/>
      <c r="AQ74" s="4"/>
      <c r="AR74" s="4"/>
      <c r="AS74" s="4"/>
      <c r="AT74" s="4"/>
      <c r="AU74" s="4"/>
      <c r="AV74" s="4"/>
      <c r="AW74" s="4"/>
      <c r="AX74" s="4"/>
      <c r="AY74" s="4"/>
      <c r="AZ74" s="4"/>
      <c r="BA74" s="4"/>
      <c r="BB74" s="4"/>
      <c r="BC74" s="4"/>
      <c r="BD74" s="4"/>
    </row>
    <row r="75" spans="1:56" ht="16.5" outlineLevel="2">
      <c r="A75" s="116"/>
      <c r="B75" s="116" t="s">
        <v>976</v>
      </c>
      <c r="C75" s="116">
        <v>3</v>
      </c>
      <c r="D75" s="214" t="s">
        <v>1169</v>
      </c>
      <c r="E75" s="163"/>
      <c r="F75" s="163"/>
      <c r="G75" s="216" t="s">
        <v>1267</v>
      </c>
      <c r="H75" s="163"/>
      <c r="I75" s="163"/>
      <c r="J75" s="163"/>
      <c r="K75" s="163"/>
      <c r="L75" s="163"/>
      <c r="M75" s="264">
        <v>43662</v>
      </c>
      <c r="N75" s="264">
        <v>43665</v>
      </c>
      <c r="O75" s="165"/>
      <c r="P75" s="166">
        <v>5</v>
      </c>
      <c r="Q75" s="166">
        <v>5</v>
      </c>
      <c r="R75" s="167">
        <v>4</v>
      </c>
      <c r="S75" s="167">
        <v>4</v>
      </c>
      <c r="T75" s="164"/>
      <c r="U75" s="164"/>
      <c r="V75" s="168">
        <v>0</v>
      </c>
      <c r="W75" s="169">
        <v>0</v>
      </c>
      <c r="X75" s="170"/>
      <c r="Y75" s="165"/>
      <c r="Z75" s="171"/>
      <c r="AA75" s="97">
        <v>1</v>
      </c>
      <c r="AB75" s="172">
        <v>1</v>
      </c>
      <c r="AC75" s="123"/>
      <c r="AD75" s="4"/>
      <c r="AE75" s="4" t="str">
        <f>"      " &amp; TEXT(AB75,"#0.00%") &amp; " " &amp; "Android - 음주" &amp; " " &amp; IF(M75="","",TEXT(M75,"M/D-")) &amp; IF(N75="","",TEXT(N75,"M/D")) &amp; " "</f>
        <v xml:space="preserve">      100.00% Android - 음주 7/16-7/19 </v>
      </c>
      <c r="AF75" s="4"/>
      <c r="AG75" s="4"/>
      <c r="AH75" s="4"/>
      <c r="AI75" s="4"/>
      <c r="AJ75" s="4"/>
      <c r="AK75" s="4"/>
      <c r="AL75" s="4"/>
      <c r="AM75" s="4"/>
      <c r="AN75" s="4"/>
      <c r="AO75" s="4"/>
      <c r="AP75" s="4"/>
      <c r="AQ75" s="4"/>
      <c r="AR75" s="4"/>
      <c r="AS75" s="4"/>
      <c r="AT75" s="4"/>
      <c r="AU75" s="4"/>
      <c r="AV75" s="4"/>
      <c r="AW75" s="4"/>
      <c r="AX75" s="4"/>
      <c r="AY75" s="4"/>
      <c r="AZ75" s="4"/>
      <c r="BA75" s="4"/>
      <c r="BB75" s="4"/>
      <c r="BC75" s="4"/>
      <c r="BD75" s="4"/>
    </row>
    <row r="76" spans="1:56" ht="16.5" outlineLevel="3">
      <c r="A76" s="116"/>
      <c r="B76" s="116"/>
      <c r="C76" s="116">
        <v>4</v>
      </c>
      <c r="D76" s="214" t="s">
        <v>1170</v>
      </c>
      <c r="E76" s="163"/>
      <c r="F76" s="163"/>
      <c r="G76" s="216"/>
      <c r="H76" s="220" t="s">
        <v>1152</v>
      </c>
      <c r="I76" s="163"/>
      <c r="J76" s="163"/>
      <c r="K76" s="163"/>
      <c r="L76" s="163"/>
      <c r="M76" s="260">
        <v>43662</v>
      </c>
      <c r="N76" s="260">
        <v>43662</v>
      </c>
      <c r="O76" s="165"/>
      <c r="P76" s="166">
        <v>1</v>
      </c>
      <c r="Q76" s="166">
        <v>1</v>
      </c>
      <c r="R76" s="167">
        <v>1</v>
      </c>
      <c r="S76" s="167">
        <v>1</v>
      </c>
      <c r="T76" s="164"/>
      <c r="U76" s="164"/>
      <c r="V76" s="168"/>
      <c r="W76" s="169">
        <v>0</v>
      </c>
      <c r="X76" s="170">
        <v>1</v>
      </c>
      <c r="Y76" s="219" t="s">
        <v>1132</v>
      </c>
      <c r="Z76" s="171"/>
      <c r="AA76" s="97">
        <v>1</v>
      </c>
      <c r="AB76" s="172">
        <v>1</v>
      </c>
      <c r="AC76" s="123"/>
      <c r="AD76" s="4"/>
      <c r="AE76" s="4" t="str">
        <f>"   " &amp; TEXT(AB76,"#0.00%") &amp; " " &amp; "아두이노 연동" &amp; "(이승헌)" &amp; " " &amp; IF(M76="","",TEXT(M76,"M/D-")) &amp; IF(N76="","",TEXT(N76,"M/D")) &amp; " "</f>
        <v xml:space="preserve">   100.00% 아두이노 연동(이승헌) 7/16-7/16 </v>
      </c>
      <c r="AF76" s="4"/>
      <c r="AG76" s="4"/>
      <c r="AH76" s="4"/>
      <c r="AI76" s="4"/>
      <c r="AJ76" s="4"/>
      <c r="AK76" s="4"/>
      <c r="AL76" s="4"/>
      <c r="AM76" s="4"/>
      <c r="AN76" s="4"/>
      <c r="AO76" s="4"/>
      <c r="AP76" s="4"/>
      <c r="AQ76" s="4"/>
      <c r="AR76" s="4"/>
      <c r="AS76" s="4"/>
      <c r="AT76" s="4"/>
      <c r="AU76" s="4"/>
      <c r="AV76" s="4"/>
      <c r="AW76" s="4"/>
      <c r="AX76" s="4"/>
      <c r="AY76" s="4"/>
      <c r="AZ76" s="4"/>
      <c r="BA76" s="4"/>
      <c r="BB76" s="4"/>
      <c r="BC76" s="4"/>
      <c r="BD76" s="4"/>
    </row>
    <row r="77" spans="1:56" ht="16.5" outlineLevel="3">
      <c r="A77" s="116"/>
      <c r="B77" s="116"/>
      <c r="C77" s="116">
        <v>4</v>
      </c>
      <c r="D77" s="214" t="s">
        <v>1171</v>
      </c>
      <c r="E77" s="163"/>
      <c r="F77" s="163"/>
      <c r="G77" s="216"/>
      <c r="H77" s="163" t="s">
        <v>1153</v>
      </c>
      <c r="I77" s="163"/>
      <c r="J77" s="163"/>
      <c r="K77" s="163"/>
      <c r="L77" s="163"/>
      <c r="M77" s="260">
        <v>43662</v>
      </c>
      <c r="N77" s="260">
        <v>43662</v>
      </c>
      <c r="O77" s="165"/>
      <c r="P77" s="166">
        <v>1</v>
      </c>
      <c r="Q77" s="166">
        <v>1</v>
      </c>
      <c r="R77" s="167">
        <v>1</v>
      </c>
      <c r="S77" s="167">
        <v>1</v>
      </c>
      <c r="T77" s="164"/>
      <c r="U77" s="164"/>
      <c r="V77" s="168"/>
      <c r="W77" s="169">
        <v>0</v>
      </c>
      <c r="X77" s="170">
        <v>1</v>
      </c>
      <c r="Y77" s="219" t="s">
        <v>1132</v>
      </c>
      <c r="Z77" s="171"/>
      <c r="AA77" s="97">
        <v>1</v>
      </c>
      <c r="AB77" s="172">
        <v>1</v>
      </c>
      <c r="AC77" s="123"/>
      <c r="AD77" s="4"/>
      <c r="AE77" s="4" t="str">
        <f>"   " &amp; TEXT(AB77,"#0.00%") &amp; " " &amp; "음주 측정 로직 설계" &amp; "(이승헌)" &amp; " " &amp; IF(M77="","",TEXT(M77,"M/D-")) &amp; IF(N77="","",TEXT(N77,"M/D")) &amp; " "</f>
        <v xml:space="preserve">   100.00% 음주 측정 로직 설계(이승헌) 7/16-7/16 </v>
      </c>
      <c r="AF77" s="4"/>
      <c r="AG77" s="4"/>
      <c r="AH77" s="4"/>
      <c r="AI77" s="4"/>
      <c r="AJ77" s="4"/>
      <c r="AK77" s="4"/>
      <c r="AL77" s="4"/>
      <c r="AM77" s="4"/>
      <c r="AN77" s="4"/>
      <c r="AO77" s="4"/>
      <c r="AP77" s="4"/>
      <c r="AQ77" s="4"/>
      <c r="AR77" s="4"/>
      <c r="AS77" s="4"/>
      <c r="AT77" s="4"/>
      <c r="AU77" s="4"/>
      <c r="AV77" s="4"/>
      <c r="AW77" s="4"/>
      <c r="AX77" s="4"/>
      <c r="AY77" s="4"/>
      <c r="AZ77" s="4"/>
      <c r="BA77" s="4"/>
      <c r="BB77" s="4"/>
      <c r="BC77" s="4"/>
      <c r="BD77" s="4"/>
    </row>
    <row r="78" spans="1:56" ht="16.5" outlineLevel="3">
      <c r="A78" s="116"/>
      <c r="B78" s="116"/>
      <c r="C78" s="116">
        <v>4</v>
      </c>
      <c r="D78" s="214" t="s">
        <v>1190</v>
      </c>
      <c r="E78" s="163"/>
      <c r="F78" s="163"/>
      <c r="G78" s="216"/>
      <c r="H78" s="163" t="s">
        <v>1212</v>
      </c>
      <c r="I78" s="163"/>
      <c r="J78" s="163"/>
      <c r="K78" s="163"/>
      <c r="L78" s="163"/>
      <c r="M78" s="260">
        <v>43663</v>
      </c>
      <c r="N78" s="260">
        <v>43665</v>
      </c>
      <c r="O78" s="165"/>
      <c r="P78" s="166">
        <v>3</v>
      </c>
      <c r="Q78" s="166">
        <v>3</v>
      </c>
      <c r="R78" s="167">
        <v>3</v>
      </c>
      <c r="S78" s="167">
        <v>3</v>
      </c>
      <c r="T78" s="164"/>
      <c r="U78" s="164"/>
      <c r="V78" s="168"/>
      <c r="W78" s="169">
        <v>0</v>
      </c>
      <c r="X78" s="170">
        <v>1</v>
      </c>
      <c r="Y78" s="219" t="s">
        <v>1132</v>
      </c>
      <c r="Z78" s="171"/>
      <c r="AA78" s="97">
        <v>1</v>
      </c>
      <c r="AB78" s="172">
        <v>1</v>
      </c>
      <c r="AC78" s="123"/>
      <c r="AD78" s="4"/>
      <c r="AE78" s="4" t="str">
        <f>"      " &amp; TEXT(AB78,"#0.00%") &amp; " " &amp; "음주량 통계 그래프" &amp; "(이승헌)" &amp; " " &amp; IF(M78="","",TEXT(M78,"M/D-")) &amp; IF(N78="","",TEXT(N78,"M/D")) &amp; " "</f>
        <v xml:space="preserve">      100.00% 음주량 통계 그래프(이승헌) 7/17-7/19 </v>
      </c>
      <c r="AF78" s="4"/>
      <c r="AG78" s="4"/>
      <c r="AH78" s="4"/>
      <c r="AI78" s="4"/>
      <c r="AJ78" s="4"/>
      <c r="AK78" s="4"/>
      <c r="AL78" s="4"/>
      <c r="AM78" s="4"/>
      <c r="AN78" s="4"/>
      <c r="AO78" s="4"/>
      <c r="AP78" s="4"/>
      <c r="AQ78" s="4"/>
      <c r="AR78" s="4"/>
      <c r="AS78" s="4"/>
      <c r="AT78" s="4"/>
      <c r="AU78" s="4"/>
      <c r="AV78" s="4"/>
      <c r="AW78" s="4"/>
      <c r="AX78" s="4"/>
      <c r="AY78" s="4"/>
      <c r="AZ78" s="4"/>
      <c r="BA78" s="4"/>
      <c r="BB78" s="4"/>
      <c r="BC78" s="4"/>
      <c r="BD78" s="4"/>
    </row>
    <row r="79" spans="1:56" ht="16.5" outlineLevel="2">
      <c r="A79" s="116"/>
      <c r="B79" s="116" t="s">
        <v>976</v>
      </c>
      <c r="C79" s="116">
        <v>3</v>
      </c>
      <c r="D79" s="214" t="s">
        <v>1172</v>
      </c>
      <c r="E79" s="163"/>
      <c r="F79" s="163"/>
      <c r="G79" s="216" t="s">
        <v>1268</v>
      </c>
      <c r="H79" s="163"/>
      <c r="I79" s="163"/>
      <c r="J79" s="163"/>
      <c r="K79" s="163"/>
      <c r="L79" s="163"/>
      <c r="M79" s="264">
        <v>43657</v>
      </c>
      <c r="N79" s="264">
        <v>43665</v>
      </c>
      <c r="O79" s="165"/>
      <c r="P79" s="166">
        <v>12</v>
      </c>
      <c r="Q79" s="166">
        <v>12</v>
      </c>
      <c r="R79" s="167">
        <v>7</v>
      </c>
      <c r="S79" s="167">
        <v>7</v>
      </c>
      <c r="T79" s="164"/>
      <c r="U79" s="164"/>
      <c r="V79" s="168">
        <v>0</v>
      </c>
      <c r="W79" s="169">
        <v>0</v>
      </c>
      <c r="X79" s="170"/>
      <c r="Y79" s="165"/>
      <c r="Z79" s="171"/>
      <c r="AA79" s="97">
        <v>1</v>
      </c>
      <c r="AB79" s="172">
        <v>0.94999999999999984</v>
      </c>
      <c r="AC79" s="123"/>
      <c r="AD79" s="4"/>
      <c r="AE79" s="4" t="str">
        <f>"      " &amp; TEXT(AB79,"#0.00%") &amp; " " &amp; "Android - 수면" &amp; " " &amp; IF(M79="","",TEXT(M79,"M/D-")) &amp; IF(N79="","",TEXT(N79,"M/D")) &amp; " "</f>
        <v xml:space="preserve">      95.00% Android - 수면 7/11-7/19 </v>
      </c>
      <c r="AF79" s="4"/>
      <c r="AG79" s="4"/>
      <c r="AH79" s="4"/>
      <c r="AI79" s="4"/>
      <c r="AJ79" s="4"/>
      <c r="AK79" s="4"/>
      <c r="AL79" s="4"/>
      <c r="AM79" s="4"/>
      <c r="AN79" s="4"/>
      <c r="AO79" s="4"/>
      <c r="AP79" s="4"/>
      <c r="AQ79" s="4"/>
      <c r="AR79" s="4"/>
      <c r="AS79" s="4"/>
      <c r="AT79" s="4"/>
      <c r="AU79" s="4"/>
      <c r="AV79" s="4"/>
      <c r="AW79" s="4"/>
      <c r="AX79" s="4"/>
      <c r="AY79" s="4"/>
      <c r="AZ79" s="4"/>
      <c r="BA79" s="4"/>
      <c r="BB79" s="4"/>
      <c r="BC79" s="4"/>
      <c r="BD79" s="4"/>
    </row>
    <row r="80" spans="1:56" ht="16.5" outlineLevel="3">
      <c r="A80" s="116"/>
      <c r="B80" s="116"/>
      <c r="C80" s="116">
        <v>4</v>
      </c>
      <c r="D80" s="214" t="s">
        <v>1173</v>
      </c>
      <c r="E80" s="163"/>
      <c r="F80" s="163"/>
      <c r="G80" s="216"/>
      <c r="H80" s="163" t="s">
        <v>1150</v>
      </c>
      <c r="I80" s="163"/>
      <c r="J80" s="163"/>
      <c r="K80" s="163"/>
      <c r="L80" s="163"/>
      <c r="M80" s="258">
        <v>43657</v>
      </c>
      <c r="N80" s="258">
        <v>43658</v>
      </c>
      <c r="O80" s="165"/>
      <c r="P80" s="166">
        <v>2</v>
      </c>
      <c r="Q80" s="166">
        <v>2</v>
      </c>
      <c r="R80" s="167">
        <v>2</v>
      </c>
      <c r="S80" s="167">
        <v>2</v>
      </c>
      <c r="T80" s="164"/>
      <c r="U80" s="164"/>
      <c r="V80" s="168"/>
      <c r="W80" s="169">
        <v>0</v>
      </c>
      <c r="X80" s="170">
        <v>1</v>
      </c>
      <c r="Y80" s="219" t="s">
        <v>1130</v>
      </c>
      <c r="Z80" s="171"/>
      <c r="AA80" s="97">
        <v>1</v>
      </c>
      <c r="AB80" s="172">
        <v>1</v>
      </c>
      <c r="AC80" s="123"/>
      <c r="AD80" s="4" t="str">
        <f>"      " &amp; TEXT(AB80,"#0.00%") &amp; " " &amp; "데시벨 측정 API" &amp; "(지준혁)" &amp; " " &amp; IF(M80="","",TEXT(M80,"M/D-")) &amp; IF(N80="","",TEXT(N80,"M/D")) &amp; " "</f>
        <v xml:space="preserve">      100.00% 데시벨 측정 API(지준혁) 7/11-7/12 </v>
      </c>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row>
    <row r="81" spans="1:56" ht="16.5" outlineLevel="3">
      <c r="A81" s="116"/>
      <c r="B81" s="116"/>
      <c r="C81" s="116">
        <v>4</v>
      </c>
      <c r="D81" s="214" t="s">
        <v>1179</v>
      </c>
      <c r="E81" s="163"/>
      <c r="F81" s="163"/>
      <c r="G81" s="216"/>
      <c r="H81" s="163" t="s">
        <v>1213</v>
      </c>
      <c r="I81" s="163"/>
      <c r="J81" s="163"/>
      <c r="K81" s="163"/>
      <c r="L81" s="163"/>
      <c r="M81" s="258">
        <v>43658</v>
      </c>
      <c r="N81" s="258">
        <v>43661</v>
      </c>
      <c r="O81" s="165"/>
      <c r="P81" s="166">
        <v>2</v>
      </c>
      <c r="Q81" s="166">
        <v>2</v>
      </c>
      <c r="R81" s="167">
        <v>2</v>
      </c>
      <c r="S81" s="167">
        <v>2</v>
      </c>
      <c r="T81" s="164"/>
      <c r="U81" s="164"/>
      <c r="V81" s="168"/>
      <c r="W81" s="169">
        <v>0</v>
      </c>
      <c r="X81" s="170">
        <v>1</v>
      </c>
      <c r="Y81" s="219" t="s">
        <v>1130</v>
      </c>
      <c r="Z81" s="171"/>
      <c r="AA81" s="97">
        <v>1</v>
      </c>
      <c r="AB81" s="172">
        <v>1</v>
      </c>
      <c r="AC81" s="123"/>
      <c r="AD81" s="4"/>
      <c r="AE81" s="4" t="str">
        <f>"  " &amp; TEXT(AB81,"#0.00%") &amp; " " &amp; "realTime 그래프" &amp; "(지준혁)" &amp; " " &amp; IF(M81="","",TEXT(M81,"M/D-")) &amp; IF(N81="","",TEXT(N81,"M/D")) &amp; " "</f>
        <v xml:space="preserve">  100.00% realTime 그래프(지준혁) 7/12-7/15 </v>
      </c>
      <c r="AF81" s="4"/>
      <c r="AG81" s="4"/>
      <c r="AH81" s="4"/>
      <c r="AI81" s="4"/>
      <c r="AJ81" s="4"/>
      <c r="AK81" s="4"/>
      <c r="AL81" s="4"/>
      <c r="AM81" s="4"/>
      <c r="AN81" s="4"/>
      <c r="AO81" s="4"/>
      <c r="AP81" s="4"/>
      <c r="AQ81" s="4"/>
      <c r="AR81" s="4"/>
      <c r="AS81" s="4"/>
      <c r="AT81" s="4"/>
      <c r="AU81" s="4"/>
      <c r="AV81" s="4"/>
      <c r="AW81" s="4"/>
      <c r="AX81" s="4"/>
      <c r="AY81" s="4"/>
      <c r="AZ81" s="4"/>
      <c r="BA81" s="4"/>
      <c r="BB81" s="4"/>
      <c r="BC81" s="4"/>
      <c r="BD81" s="4"/>
    </row>
    <row r="82" spans="1:56" ht="16.5" outlineLevel="3">
      <c r="A82" s="116"/>
      <c r="B82" s="116"/>
      <c r="C82" s="116">
        <v>4</v>
      </c>
      <c r="D82" s="214" t="s">
        <v>1229</v>
      </c>
      <c r="E82" s="163"/>
      <c r="F82" s="163"/>
      <c r="G82" s="216"/>
      <c r="H82" s="163" t="s">
        <v>1188</v>
      </c>
      <c r="I82" s="163"/>
      <c r="J82" s="163"/>
      <c r="K82" s="163"/>
      <c r="L82" s="163"/>
      <c r="M82" s="258">
        <v>43661</v>
      </c>
      <c r="N82" s="258">
        <v>43662</v>
      </c>
      <c r="O82" s="165"/>
      <c r="P82" s="166">
        <v>2</v>
      </c>
      <c r="Q82" s="166">
        <v>2</v>
      </c>
      <c r="R82" s="167">
        <v>2</v>
      </c>
      <c r="S82" s="167">
        <v>2</v>
      </c>
      <c r="T82" s="164"/>
      <c r="U82" s="164"/>
      <c r="V82" s="168"/>
      <c r="W82" s="169">
        <v>0</v>
      </c>
      <c r="X82" s="170">
        <v>1</v>
      </c>
      <c r="Y82" s="219" t="s">
        <v>1130</v>
      </c>
      <c r="Z82" s="171"/>
      <c r="AA82" s="97">
        <v>1</v>
      </c>
      <c r="AB82" s="172">
        <v>1</v>
      </c>
      <c r="AC82" s="123"/>
      <c r="AD82" s="4"/>
      <c r="AE82" s="4" t="str">
        <f>"   " &amp; TEXT(AB82,"#0.00%") &amp; " " &amp; "시간 측정" &amp; "(지준혁)" &amp; " " &amp; IF(M82="","",TEXT(M82,"M/D-")) &amp; IF(N82="","",TEXT(N82,"M/D")) &amp; " "</f>
        <v xml:space="preserve">   100.00% 시간 측정(지준혁) 7/15-7/16 </v>
      </c>
      <c r="AF82" s="4"/>
      <c r="AG82" s="4"/>
      <c r="AH82" s="4"/>
      <c r="AI82" s="4"/>
      <c r="AJ82" s="4"/>
      <c r="AK82" s="4"/>
      <c r="AL82" s="4"/>
      <c r="AM82" s="4"/>
      <c r="AN82" s="4"/>
      <c r="AO82" s="4"/>
      <c r="AP82" s="4"/>
      <c r="AQ82" s="4"/>
      <c r="AR82" s="4"/>
      <c r="AS82" s="4"/>
      <c r="AT82" s="4"/>
      <c r="AU82" s="4"/>
      <c r="AV82" s="4"/>
      <c r="AW82" s="4"/>
      <c r="AX82" s="4"/>
      <c r="AY82" s="4"/>
      <c r="AZ82" s="4"/>
      <c r="BA82" s="4"/>
      <c r="BB82" s="4"/>
      <c r="BC82" s="4"/>
      <c r="BD82" s="4"/>
    </row>
    <row r="83" spans="1:56" ht="16.5" outlineLevel="3">
      <c r="A83" s="116"/>
      <c r="B83" s="116"/>
      <c r="C83" s="116">
        <v>4</v>
      </c>
      <c r="D83" s="214" t="s">
        <v>1230</v>
      </c>
      <c r="E83" s="163"/>
      <c r="F83" s="163"/>
      <c r="G83" s="216"/>
      <c r="H83" s="220" t="s">
        <v>1182</v>
      </c>
      <c r="I83" s="163"/>
      <c r="J83" s="163"/>
      <c r="K83" s="163"/>
      <c r="L83" s="163"/>
      <c r="M83" s="258">
        <v>43662</v>
      </c>
      <c r="N83" s="258">
        <v>43662</v>
      </c>
      <c r="O83" s="165"/>
      <c r="P83" s="166">
        <v>1</v>
      </c>
      <c r="Q83" s="166">
        <v>1</v>
      </c>
      <c r="R83" s="167">
        <v>1</v>
      </c>
      <c r="S83" s="167">
        <v>1</v>
      </c>
      <c r="T83" s="164"/>
      <c r="U83" s="164"/>
      <c r="V83" s="168"/>
      <c r="W83" s="169">
        <v>0</v>
      </c>
      <c r="X83" s="170">
        <v>1</v>
      </c>
      <c r="Y83" s="219" t="s">
        <v>1130</v>
      </c>
      <c r="Z83" s="171"/>
      <c r="AA83" s="97">
        <v>1</v>
      </c>
      <c r="AB83" s="172">
        <v>0.8</v>
      </c>
      <c r="AC83" s="123"/>
      <c r="AD83" s="4"/>
      <c r="AE83" s="4" t="str">
        <f>"   " &amp; TEXT(AB83,"#0.00%") &amp; " " &amp; "알람" &amp; "(지준혁)" &amp; " " &amp; IF(M83="","",TEXT(M83,"M/D-")) &amp; IF(N83="","",TEXT(N83,"M/D")) &amp; " "</f>
        <v xml:space="preserve">   80.00% 알람(지준혁) 7/16-7/16 </v>
      </c>
      <c r="AF83" s="4"/>
      <c r="AG83" s="4"/>
      <c r="AH83" s="4"/>
      <c r="AI83" s="4"/>
      <c r="AJ83" s="4"/>
      <c r="AK83" s="4"/>
      <c r="AL83" s="4"/>
      <c r="AM83" s="4"/>
      <c r="AN83" s="4"/>
      <c r="AO83" s="4"/>
      <c r="AP83" s="4"/>
      <c r="AQ83" s="4"/>
      <c r="AR83" s="4"/>
      <c r="AS83" s="4"/>
      <c r="AT83" s="4"/>
      <c r="AU83" s="4"/>
      <c r="AV83" s="4"/>
      <c r="AW83" s="4"/>
      <c r="AX83" s="4"/>
      <c r="AY83" s="4"/>
      <c r="AZ83" s="4"/>
      <c r="BA83" s="4"/>
      <c r="BB83" s="4"/>
      <c r="BC83" s="4"/>
      <c r="BD83" s="4"/>
    </row>
    <row r="84" spans="1:56" ht="16.5" outlineLevel="3">
      <c r="A84" s="116"/>
      <c r="B84" s="116"/>
      <c r="C84" s="116">
        <v>4</v>
      </c>
      <c r="D84" s="214" t="s">
        <v>1231</v>
      </c>
      <c r="E84" s="163"/>
      <c r="F84" s="163"/>
      <c r="G84" s="216"/>
      <c r="H84" s="163" t="s">
        <v>1189</v>
      </c>
      <c r="I84" s="163"/>
      <c r="J84" s="163"/>
      <c r="K84" s="163"/>
      <c r="L84" s="163"/>
      <c r="M84" s="258">
        <v>43663</v>
      </c>
      <c r="N84" s="258">
        <v>43664</v>
      </c>
      <c r="O84" s="165"/>
      <c r="P84" s="166">
        <v>2</v>
      </c>
      <c r="Q84" s="166">
        <v>2</v>
      </c>
      <c r="R84" s="167">
        <v>2</v>
      </c>
      <c r="S84" s="167">
        <v>2</v>
      </c>
      <c r="T84" s="164"/>
      <c r="U84" s="164"/>
      <c r="V84" s="168"/>
      <c r="W84" s="169">
        <v>0</v>
      </c>
      <c r="X84" s="170">
        <v>1</v>
      </c>
      <c r="Y84" s="219" t="s">
        <v>1130</v>
      </c>
      <c r="Z84" s="171"/>
      <c r="AA84" s="97">
        <v>1</v>
      </c>
      <c r="AB84" s="172">
        <v>0.8</v>
      </c>
      <c r="AC84" s="123"/>
      <c r="AD84" s="4"/>
      <c r="AE84" s="4" t="str">
        <f>"     " &amp; TEXT(AB84,"#0.00%") &amp; " " &amp; "코골이 측정" &amp; "(지준혁)" &amp; " " &amp; IF(M84="","",TEXT(M84,"M/D-")) &amp; IF(N84="","",TEXT(N84,"M/D")) &amp; " "</f>
        <v xml:space="preserve">     80.00% 코골이 측정(지준혁) 7/17-7/18 </v>
      </c>
      <c r="AF84" s="4"/>
      <c r="AG84" s="4"/>
      <c r="AH84" s="4"/>
      <c r="AI84" s="4"/>
      <c r="AJ84" s="4"/>
      <c r="AK84" s="4"/>
      <c r="AL84" s="4"/>
      <c r="AM84" s="4"/>
      <c r="AN84" s="4"/>
      <c r="AO84" s="4"/>
      <c r="AP84" s="4"/>
      <c r="AQ84" s="4"/>
      <c r="AR84" s="4"/>
      <c r="AS84" s="4"/>
      <c r="AT84" s="4"/>
      <c r="AU84" s="4"/>
      <c r="AV84" s="4"/>
      <c r="AW84" s="4"/>
      <c r="AX84" s="4"/>
      <c r="AY84" s="4"/>
      <c r="AZ84" s="4"/>
      <c r="BA84" s="4"/>
      <c r="BB84" s="4"/>
      <c r="BC84" s="4"/>
      <c r="BD84" s="4"/>
    </row>
    <row r="85" spans="1:56" ht="16.5" outlineLevel="3">
      <c r="A85" s="116"/>
      <c r="B85" s="116"/>
      <c r="C85" s="116">
        <v>4</v>
      </c>
      <c r="D85" s="214" t="s">
        <v>1232</v>
      </c>
      <c r="E85" s="163"/>
      <c r="F85" s="163"/>
      <c r="G85" s="216"/>
      <c r="H85" s="163" t="s">
        <v>1214</v>
      </c>
      <c r="I85" s="163"/>
      <c r="J85" s="163"/>
      <c r="K85" s="163"/>
      <c r="L85" s="163"/>
      <c r="M85" s="260">
        <v>43663</v>
      </c>
      <c r="N85" s="260">
        <v>43665</v>
      </c>
      <c r="O85" s="165"/>
      <c r="P85" s="166">
        <v>3</v>
      </c>
      <c r="Q85" s="166">
        <v>3</v>
      </c>
      <c r="R85" s="167">
        <v>3</v>
      </c>
      <c r="S85" s="167">
        <v>3</v>
      </c>
      <c r="T85" s="164"/>
      <c r="U85" s="164"/>
      <c r="V85" s="168"/>
      <c r="W85" s="169">
        <v>0</v>
      </c>
      <c r="X85" s="170">
        <v>1</v>
      </c>
      <c r="Y85" s="219" t="s">
        <v>1132</v>
      </c>
      <c r="Z85" s="171"/>
      <c r="AA85" s="97">
        <v>1</v>
      </c>
      <c r="AB85" s="172">
        <v>1</v>
      </c>
      <c r="AC85" s="123"/>
      <c r="AD85" s="4"/>
      <c r="AE85" s="4" t="str">
        <f>"      " &amp; TEXT(AB85,"#0.00%") &amp; " " &amp; "수면 통계 그래프" &amp; "(이승헌)" &amp; " " &amp; IF(M85="","",TEXT(M85,"M/D-")) &amp; IF(N85="","",TEXT(N85,"M/D")) &amp; " "</f>
        <v xml:space="preserve">      100.00% 수면 통계 그래프(이승헌) 7/17-7/19 </v>
      </c>
      <c r="AF85" s="4"/>
      <c r="AG85" s="4"/>
      <c r="AH85" s="4"/>
      <c r="AI85" s="4"/>
      <c r="AJ85" s="4"/>
      <c r="AK85" s="4"/>
      <c r="AL85" s="4"/>
      <c r="AM85" s="4"/>
      <c r="AN85" s="4"/>
      <c r="AO85" s="4"/>
      <c r="AP85" s="4"/>
      <c r="AQ85" s="4"/>
      <c r="AR85" s="4"/>
      <c r="AS85" s="4"/>
      <c r="AT85" s="4"/>
      <c r="AU85" s="4"/>
      <c r="AV85" s="4"/>
      <c r="AW85" s="4"/>
      <c r="AX85" s="4"/>
      <c r="AY85" s="4"/>
      <c r="AZ85" s="4"/>
      <c r="BA85" s="4"/>
      <c r="BB85" s="4"/>
      <c r="BC85" s="4"/>
      <c r="BD85" s="4"/>
    </row>
    <row r="86" spans="1:56" ht="16.5" outlineLevel="2">
      <c r="A86" s="116"/>
      <c r="B86" s="116" t="s">
        <v>976</v>
      </c>
      <c r="C86" s="116">
        <v>3</v>
      </c>
      <c r="D86" s="214" t="s">
        <v>1174</v>
      </c>
      <c r="E86" s="163"/>
      <c r="F86" s="163"/>
      <c r="G86" s="222" t="s">
        <v>1184</v>
      </c>
      <c r="H86" s="163"/>
      <c r="I86" s="163"/>
      <c r="J86" s="163"/>
      <c r="K86" s="163"/>
      <c r="L86" s="163"/>
      <c r="M86" s="264">
        <v>43665</v>
      </c>
      <c r="N86" s="264">
        <v>43668</v>
      </c>
      <c r="O86" s="165"/>
      <c r="P86" s="166">
        <v>3</v>
      </c>
      <c r="Q86" s="166">
        <v>3</v>
      </c>
      <c r="R86" s="167">
        <v>2</v>
      </c>
      <c r="S86" s="167">
        <v>2</v>
      </c>
      <c r="T86" s="164"/>
      <c r="U86" s="164"/>
      <c r="V86" s="168">
        <v>0</v>
      </c>
      <c r="W86" s="169">
        <v>0</v>
      </c>
      <c r="X86" s="170"/>
      <c r="Y86" s="165"/>
      <c r="Z86" s="171"/>
      <c r="AA86" s="97">
        <v>1</v>
      </c>
      <c r="AB86" s="172">
        <v>1</v>
      </c>
      <c r="AC86" s="123"/>
      <c r="AD86" s="4"/>
      <c r="AE86" s="4"/>
      <c r="AF86" s="4" t="str">
        <f>"  " &amp; TEXT(AB86,"#0.00%") &amp; " " &amp; "Web-Login" &amp; " " &amp; IF(M86="","",TEXT(M86,"M/D-")) &amp; IF(N86="","",TEXT(N86,"M/D")) &amp; " "</f>
        <v xml:space="preserve">  100.00% Web-Login 7/19-7/22 </v>
      </c>
      <c r="AG86" s="4"/>
      <c r="AH86" s="4"/>
      <c r="AI86" s="4"/>
      <c r="AJ86" s="4"/>
      <c r="AK86" s="4"/>
      <c r="AL86" s="4"/>
      <c r="AM86" s="4"/>
      <c r="AN86" s="4"/>
      <c r="AO86" s="4"/>
      <c r="AP86" s="4"/>
      <c r="AQ86" s="4"/>
      <c r="AR86" s="4"/>
      <c r="AS86" s="4"/>
      <c r="AT86" s="4"/>
      <c r="AU86" s="4"/>
      <c r="AV86" s="4"/>
      <c r="AW86" s="4"/>
      <c r="AX86" s="4"/>
      <c r="AY86" s="4"/>
      <c r="AZ86" s="4"/>
      <c r="BA86" s="4"/>
      <c r="BB86" s="4"/>
      <c r="BC86" s="4"/>
      <c r="BD86" s="4"/>
    </row>
    <row r="87" spans="1:56" ht="16.5" outlineLevel="3">
      <c r="A87" s="116"/>
      <c r="B87" s="116"/>
      <c r="C87" s="116">
        <v>4</v>
      </c>
      <c r="D87" s="214" t="s">
        <v>1180</v>
      </c>
      <c r="E87" s="163"/>
      <c r="F87" s="163"/>
      <c r="G87" s="222"/>
      <c r="H87" s="220" t="s">
        <v>1185</v>
      </c>
      <c r="I87" s="163"/>
      <c r="J87" s="163"/>
      <c r="K87" s="163"/>
      <c r="L87" s="163"/>
      <c r="M87" s="263">
        <v>43665</v>
      </c>
      <c r="N87" s="263">
        <v>43668</v>
      </c>
      <c r="O87" s="165"/>
      <c r="P87" s="166">
        <v>2</v>
      </c>
      <c r="Q87" s="166">
        <v>2</v>
      </c>
      <c r="R87" s="167">
        <v>2</v>
      </c>
      <c r="S87" s="167">
        <v>2</v>
      </c>
      <c r="T87" s="164"/>
      <c r="U87" s="164"/>
      <c r="V87" s="168"/>
      <c r="W87" s="169">
        <v>0</v>
      </c>
      <c r="X87" s="170">
        <v>1</v>
      </c>
      <c r="Y87" s="165" t="s">
        <v>1199</v>
      </c>
      <c r="Z87" s="171"/>
      <c r="AA87" s="97">
        <v>1</v>
      </c>
      <c r="AB87" s="172">
        <v>1</v>
      </c>
      <c r="AC87" s="123"/>
      <c r="AD87" s="4"/>
      <c r="AE87" s="4"/>
      <c r="AF87" s="4" t="str">
        <f>"  " &amp; TEXT(AB87,"#0.00%") &amp; " " &amp; "로그인" &amp; "(김승현)" &amp; " " &amp; IF(M87="","",TEXT(M87,"M/D-")) &amp; IF(N87="","",TEXT(N87,"M/D")) &amp; " "</f>
        <v xml:space="preserve">  100.00% 로그인(김승현) 7/19-7/22 </v>
      </c>
      <c r="AG87" s="4"/>
      <c r="AH87" s="4"/>
      <c r="AI87" s="4"/>
      <c r="AJ87" s="4"/>
      <c r="AK87" s="4"/>
      <c r="AL87" s="4"/>
      <c r="AM87" s="4"/>
      <c r="AN87" s="4"/>
      <c r="AO87" s="4"/>
      <c r="AP87" s="4"/>
      <c r="AQ87" s="4"/>
      <c r="AR87" s="4"/>
      <c r="AS87" s="4"/>
      <c r="AT87" s="4"/>
      <c r="AU87" s="4"/>
      <c r="AV87" s="4"/>
      <c r="AW87" s="4"/>
      <c r="AX87" s="4"/>
      <c r="AY87" s="4"/>
      <c r="AZ87" s="4"/>
      <c r="BA87" s="4"/>
      <c r="BB87" s="4"/>
      <c r="BC87" s="4"/>
      <c r="BD87" s="4"/>
    </row>
    <row r="88" spans="1:56" ht="16.5" outlineLevel="3">
      <c r="A88" s="116"/>
      <c r="B88" s="116"/>
      <c r="C88" s="116">
        <v>4</v>
      </c>
      <c r="D88" s="214" t="s">
        <v>1191</v>
      </c>
      <c r="E88" s="163"/>
      <c r="F88" s="163"/>
      <c r="G88" s="222"/>
      <c r="H88" s="163" t="s">
        <v>1233</v>
      </c>
      <c r="I88" s="163"/>
      <c r="J88" s="163"/>
      <c r="K88" s="163"/>
      <c r="L88" s="163"/>
      <c r="M88" s="263">
        <v>43668</v>
      </c>
      <c r="N88" s="263">
        <v>43668</v>
      </c>
      <c r="O88" s="165"/>
      <c r="P88" s="166">
        <v>1</v>
      </c>
      <c r="Q88" s="166">
        <v>1</v>
      </c>
      <c r="R88" s="167">
        <v>1</v>
      </c>
      <c r="S88" s="167">
        <v>1</v>
      </c>
      <c r="T88" s="164"/>
      <c r="U88" s="164"/>
      <c r="V88" s="168"/>
      <c r="W88" s="169">
        <v>0</v>
      </c>
      <c r="X88" s="170">
        <v>1</v>
      </c>
      <c r="Y88" s="165" t="s">
        <v>1199</v>
      </c>
      <c r="Z88" s="171"/>
      <c r="AA88" s="97">
        <v>1</v>
      </c>
      <c r="AB88" s="172">
        <v>1</v>
      </c>
      <c r="AC88" s="123"/>
      <c r="AD88" s="4"/>
      <c r="AE88" s="4"/>
      <c r="AF88" s="4" t="str">
        <f>"  " &amp; TEXT(AB88,"#0.00%") &amp; " " &amp; "세션 유지" &amp; "(김승현)" &amp; " " &amp; IF(M88="","",TEXT(M88,"M/D-")) &amp; IF(N88="","",TEXT(N88,"M/D")) &amp; " "</f>
        <v xml:space="preserve">  100.00% 세션 유지(김승현) 7/22-7/22 </v>
      </c>
      <c r="AG88" s="4"/>
      <c r="AH88" s="4"/>
      <c r="AI88" s="4"/>
      <c r="AJ88" s="4"/>
      <c r="AK88" s="4"/>
      <c r="AL88" s="4"/>
      <c r="AM88" s="4"/>
      <c r="AN88" s="4"/>
      <c r="AO88" s="4"/>
      <c r="AP88" s="4"/>
      <c r="AQ88" s="4"/>
      <c r="AR88" s="4"/>
      <c r="AS88" s="4"/>
      <c r="AT88" s="4"/>
      <c r="AU88" s="4"/>
      <c r="AV88" s="4"/>
      <c r="AW88" s="4"/>
      <c r="AX88" s="4"/>
      <c r="AY88" s="4"/>
      <c r="AZ88" s="4"/>
      <c r="BA88" s="4"/>
      <c r="BB88" s="4"/>
      <c r="BC88" s="4"/>
      <c r="BD88" s="4"/>
    </row>
    <row r="89" spans="1:56" ht="16.5" outlineLevel="2">
      <c r="A89" s="116"/>
      <c r="B89" s="116" t="s">
        <v>976</v>
      </c>
      <c r="C89" s="116">
        <v>3</v>
      </c>
      <c r="D89" s="214" t="s">
        <v>1181</v>
      </c>
      <c r="E89" s="163"/>
      <c r="F89" s="163"/>
      <c r="G89" s="222" t="s">
        <v>1183</v>
      </c>
      <c r="H89" s="163"/>
      <c r="I89" s="163"/>
      <c r="J89" s="163"/>
      <c r="K89" s="163"/>
      <c r="L89" s="163"/>
      <c r="M89" s="264">
        <v>43664</v>
      </c>
      <c r="N89" s="264">
        <v>43665</v>
      </c>
      <c r="O89" s="165"/>
      <c r="P89" s="166">
        <v>3</v>
      </c>
      <c r="Q89" s="166">
        <v>3</v>
      </c>
      <c r="R89" s="167">
        <v>2</v>
      </c>
      <c r="S89" s="167">
        <v>2</v>
      </c>
      <c r="T89" s="164"/>
      <c r="U89" s="164"/>
      <c r="V89" s="168">
        <v>0</v>
      </c>
      <c r="W89" s="169">
        <v>0</v>
      </c>
      <c r="X89" s="170"/>
      <c r="Y89" s="165"/>
      <c r="Z89" s="171"/>
      <c r="AA89" s="97">
        <v>1</v>
      </c>
      <c r="AB89" s="172">
        <v>1</v>
      </c>
      <c r="AC89" s="123"/>
      <c r="AD89" s="4"/>
      <c r="AE89" s="4" t="str">
        <f>"      " &amp; TEXT(AB89,"#0.00%") &amp; " " &amp; "WEB-Main" &amp; " " &amp; IF(M89="","",TEXT(M89,"M/D-")) &amp; IF(N89="","",TEXT(N89,"M/D")) &amp; " "</f>
        <v xml:space="preserve">      100.00% WEB-Main 7/18-7/19 </v>
      </c>
      <c r="AF89" s="4"/>
      <c r="AG89" s="4"/>
      <c r="AH89" s="4"/>
      <c r="AI89" s="4"/>
      <c r="AJ89" s="4"/>
      <c r="AK89" s="4"/>
      <c r="AL89" s="4"/>
      <c r="AM89" s="4"/>
      <c r="AN89" s="4"/>
      <c r="AO89" s="4"/>
      <c r="AP89" s="4"/>
      <c r="AQ89" s="4"/>
      <c r="AR89" s="4"/>
      <c r="AS89" s="4"/>
      <c r="AT89" s="4"/>
      <c r="AU89" s="4"/>
      <c r="AV89" s="4"/>
      <c r="AW89" s="4"/>
      <c r="AX89" s="4"/>
      <c r="AY89" s="4"/>
      <c r="AZ89" s="4"/>
      <c r="BA89" s="4"/>
      <c r="BB89" s="4"/>
      <c r="BC89" s="4"/>
      <c r="BD89" s="4"/>
    </row>
    <row r="90" spans="1:56" ht="16.5" outlineLevel="3">
      <c r="A90" s="116"/>
      <c r="B90" s="116"/>
      <c r="C90" s="116">
        <v>4</v>
      </c>
      <c r="D90" s="214" t="s">
        <v>1245</v>
      </c>
      <c r="E90" s="163"/>
      <c r="F90" s="163"/>
      <c r="G90" s="222"/>
      <c r="H90" s="163" t="s">
        <v>1241</v>
      </c>
      <c r="I90" s="163"/>
      <c r="J90" s="163"/>
      <c r="K90" s="163"/>
      <c r="L90" s="163"/>
      <c r="M90" s="262">
        <v>43664</v>
      </c>
      <c r="N90" s="262">
        <v>43664</v>
      </c>
      <c r="O90" s="165"/>
      <c r="P90" s="166">
        <v>1</v>
      </c>
      <c r="Q90" s="166">
        <v>1</v>
      </c>
      <c r="R90" s="167">
        <v>1</v>
      </c>
      <c r="S90" s="167">
        <v>1</v>
      </c>
      <c r="T90" s="164"/>
      <c r="U90" s="164"/>
      <c r="V90" s="168"/>
      <c r="W90" s="169">
        <v>0</v>
      </c>
      <c r="X90" s="170">
        <v>1</v>
      </c>
      <c r="Y90" s="219" t="s">
        <v>1208</v>
      </c>
      <c r="Z90" s="171"/>
      <c r="AA90" s="97">
        <v>1</v>
      </c>
      <c r="AB90" s="172">
        <v>1</v>
      </c>
      <c r="AC90" s="123"/>
      <c r="AD90" s="4"/>
      <c r="AE90" s="4" t="str">
        <f>"     " &amp; TEXT(AB90,"#0.00%") &amp; " " &amp; "웹 디자인" &amp; "(이남희)" &amp; " " &amp; IF(M90="","",TEXT(M90,"M/D-")) &amp; IF(N90="","",TEXT(N90,"M/D")) &amp; " "</f>
        <v xml:space="preserve">     100.00% 웹 디자인(이남희) 7/18-7/18 </v>
      </c>
      <c r="AF90" s="4"/>
      <c r="AG90" s="4"/>
      <c r="AH90" s="4"/>
      <c r="AI90" s="4"/>
      <c r="AJ90" s="4"/>
      <c r="AK90" s="4"/>
      <c r="AL90" s="4"/>
      <c r="AM90" s="4"/>
      <c r="AN90" s="4"/>
      <c r="AO90" s="4"/>
      <c r="AP90" s="4"/>
      <c r="AQ90" s="4"/>
      <c r="AR90" s="4"/>
      <c r="AS90" s="4"/>
      <c r="AT90" s="4"/>
      <c r="AU90" s="4"/>
      <c r="AV90" s="4"/>
      <c r="AW90" s="4"/>
      <c r="AX90" s="4"/>
      <c r="AY90" s="4"/>
      <c r="AZ90" s="4"/>
      <c r="BA90" s="4"/>
      <c r="BB90" s="4"/>
      <c r="BC90" s="4"/>
      <c r="BD90" s="4"/>
    </row>
    <row r="91" spans="1:56" ht="16.5" outlineLevel="3">
      <c r="A91" s="116"/>
      <c r="B91" s="116"/>
      <c r="C91" s="116">
        <v>4</v>
      </c>
      <c r="D91" s="214" t="s">
        <v>1246</v>
      </c>
      <c r="E91" s="163"/>
      <c r="F91" s="163"/>
      <c r="G91" s="222"/>
      <c r="H91" s="163" t="s">
        <v>1242</v>
      </c>
      <c r="I91" s="163"/>
      <c r="J91" s="163"/>
      <c r="K91" s="163"/>
      <c r="L91" s="163"/>
      <c r="M91" s="258">
        <v>43664</v>
      </c>
      <c r="N91" s="258">
        <v>43665</v>
      </c>
      <c r="O91" s="165"/>
      <c r="P91" s="166">
        <v>2</v>
      </c>
      <c r="Q91" s="166">
        <v>2</v>
      </c>
      <c r="R91" s="167">
        <v>2</v>
      </c>
      <c r="S91" s="167">
        <v>2</v>
      </c>
      <c r="T91" s="164"/>
      <c r="U91" s="164"/>
      <c r="V91" s="168"/>
      <c r="W91" s="169">
        <v>0</v>
      </c>
      <c r="X91" s="170">
        <v>1</v>
      </c>
      <c r="Y91" s="219" t="s">
        <v>1130</v>
      </c>
      <c r="Z91" s="171"/>
      <c r="AA91" s="97">
        <v>1</v>
      </c>
      <c r="AB91" s="172">
        <v>1</v>
      </c>
      <c r="AC91" s="123"/>
      <c r="AD91" s="4"/>
      <c r="AE91" s="4" t="str">
        <f>"      " &amp; TEXT(AB91,"#0.00%") &amp; " " &amp; "동영상 첨부" &amp; "(지준혁)" &amp; " " &amp; IF(M91="","",TEXT(M91,"M/D-")) &amp; IF(N91="","",TEXT(N91,"M/D")) &amp; " "</f>
        <v xml:space="preserve">      100.00% 동영상 첨부(지준혁) 7/18-7/19 </v>
      </c>
      <c r="AF91" s="4"/>
      <c r="AG91" s="4"/>
      <c r="AH91" s="4"/>
      <c r="AI91" s="4"/>
      <c r="AJ91" s="4"/>
      <c r="AK91" s="4"/>
      <c r="AL91" s="4"/>
      <c r="AM91" s="4"/>
      <c r="AN91" s="4"/>
      <c r="AO91" s="4"/>
      <c r="AP91" s="4"/>
      <c r="AQ91" s="4"/>
      <c r="AR91" s="4"/>
      <c r="AS91" s="4"/>
      <c r="AT91" s="4"/>
      <c r="AU91" s="4"/>
      <c r="AV91" s="4"/>
      <c r="AW91" s="4"/>
      <c r="AX91" s="4"/>
      <c r="AY91" s="4"/>
      <c r="AZ91" s="4"/>
      <c r="BA91" s="4"/>
      <c r="BB91" s="4"/>
      <c r="BC91" s="4"/>
      <c r="BD91" s="4"/>
    </row>
    <row r="92" spans="1:56" ht="16.5" outlineLevel="2">
      <c r="A92" s="116"/>
      <c r="B92" s="116"/>
      <c r="C92" s="116">
        <v>3</v>
      </c>
      <c r="D92" s="214" t="s">
        <v>1192</v>
      </c>
      <c r="E92" s="163"/>
      <c r="F92" s="163"/>
      <c r="G92" s="222" t="s">
        <v>1186</v>
      </c>
      <c r="H92" s="163"/>
      <c r="I92" s="163"/>
      <c r="J92" s="163"/>
      <c r="K92" s="163"/>
      <c r="L92" s="163"/>
      <c r="M92" s="262">
        <v>43665</v>
      </c>
      <c r="N92" s="262">
        <v>43665</v>
      </c>
      <c r="O92" s="165"/>
      <c r="P92" s="166">
        <v>1</v>
      </c>
      <c r="Q92" s="166">
        <v>1</v>
      </c>
      <c r="R92" s="167">
        <v>1</v>
      </c>
      <c r="S92" s="167">
        <v>1</v>
      </c>
      <c r="T92" s="164"/>
      <c r="U92" s="164"/>
      <c r="V92" s="168"/>
      <c r="W92" s="169">
        <v>0</v>
      </c>
      <c r="X92" s="170">
        <v>1</v>
      </c>
      <c r="Y92" s="219" t="s">
        <v>1208</v>
      </c>
      <c r="Z92" s="171"/>
      <c r="AA92" s="97">
        <v>1</v>
      </c>
      <c r="AB92" s="172">
        <v>1</v>
      </c>
      <c r="AC92" s="123"/>
      <c r="AD92" s="4"/>
      <c r="AE92" s="4" t="str">
        <f>"      " &amp; TEXT(AB92,"#0.00%") &amp; " " &amp; "Web-AboutUs" &amp; "(이남희)" &amp; " " &amp; IF(M92="","",TEXT(M92,"M/D-")) &amp; IF(N92="","",TEXT(N92,"M/D")) &amp; " "</f>
        <v xml:space="preserve">      100.00% Web-AboutUs(이남희) 7/19-7/19 </v>
      </c>
      <c r="AF92" s="4"/>
      <c r="AG92" s="4"/>
      <c r="AH92" s="4"/>
      <c r="AI92" s="4"/>
      <c r="AJ92" s="4"/>
      <c r="AK92" s="4"/>
      <c r="AL92" s="4"/>
      <c r="AM92" s="4"/>
      <c r="AN92" s="4"/>
      <c r="AO92" s="4"/>
      <c r="AP92" s="4"/>
      <c r="AQ92" s="4"/>
      <c r="AR92" s="4"/>
      <c r="AS92" s="4"/>
      <c r="AT92" s="4"/>
      <c r="AU92" s="4"/>
      <c r="AV92" s="4"/>
      <c r="AW92" s="4"/>
      <c r="AX92" s="4"/>
      <c r="AY92" s="4"/>
      <c r="AZ92" s="4"/>
      <c r="BA92" s="4"/>
      <c r="BB92" s="4"/>
      <c r="BC92" s="4"/>
      <c r="BD92" s="4"/>
    </row>
    <row r="93" spans="1:56" ht="16.5" outlineLevel="2">
      <c r="A93" s="116"/>
      <c r="B93" s="116" t="s">
        <v>976</v>
      </c>
      <c r="C93" s="116">
        <v>3</v>
      </c>
      <c r="D93" s="214" t="s">
        <v>1193</v>
      </c>
      <c r="E93" s="163"/>
      <c r="F93" s="163"/>
      <c r="G93" s="222" t="s">
        <v>1198</v>
      </c>
      <c r="H93" s="163"/>
      <c r="I93" s="163"/>
      <c r="J93" s="163"/>
      <c r="K93" s="163"/>
      <c r="L93" s="163"/>
      <c r="M93" s="264">
        <v>43668</v>
      </c>
      <c r="N93" s="264">
        <v>43668</v>
      </c>
      <c r="O93" s="165"/>
      <c r="P93" s="166">
        <v>1</v>
      </c>
      <c r="Q93" s="166">
        <v>1</v>
      </c>
      <c r="R93" s="167">
        <v>1</v>
      </c>
      <c r="S93" s="167">
        <v>1</v>
      </c>
      <c r="T93" s="164"/>
      <c r="U93" s="164"/>
      <c r="V93" s="168">
        <v>0</v>
      </c>
      <c r="W93" s="169">
        <v>0</v>
      </c>
      <c r="X93" s="170"/>
      <c r="Y93" s="165"/>
      <c r="Z93" s="171"/>
      <c r="AA93" s="97">
        <v>1</v>
      </c>
      <c r="AB93" s="172">
        <v>1</v>
      </c>
      <c r="AC93" s="123"/>
      <c r="AD93" s="4"/>
      <c r="AE93" s="4"/>
      <c r="AF93" s="4" t="str">
        <f>"  " &amp; TEXT(AB93,"#0.00%") &amp; " " &amp; "Web-MyData" &amp; " " &amp; IF(M93="","",TEXT(M93,"M/D-")) &amp; IF(N93="","",TEXT(N93,"M/D")) &amp; " "</f>
        <v xml:space="preserve">  100.00% Web-MyData 7/22-7/22 </v>
      </c>
      <c r="AG93" s="4"/>
      <c r="AH93" s="4"/>
      <c r="AI93" s="4"/>
      <c r="AJ93" s="4"/>
      <c r="AK93" s="4"/>
      <c r="AL93" s="4"/>
      <c r="AM93" s="4"/>
      <c r="AN93" s="4"/>
      <c r="AO93" s="4"/>
      <c r="AP93" s="4"/>
      <c r="AQ93" s="4"/>
      <c r="AR93" s="4"/>
      <c r="AS93" s="4"/>
      <c r="AT93" s="4"/>
      <c r="AU93" s="4"/>
      <c r="AV93" s="4"/>
      <c r="AW93" s="4"/>
      <c r="AX93" s="4"/>
      <c r="AY93" s="4"/>
      <c r="AZ93" s="4"/>
      <c r="BA93" s="4"/>
      <c r="BB93" s="4"/>
      <c r="BC93" s="4"/>
      <c r="BD93" s="4"/>
    </row>
    <row r="94" spans="1:56" ht="16.5" outlineLevel="3">
      <c r="A94" s="116"/>
      <c r="B94" s="116"/>
      <c r="C94" s="116">
        <v>4</v>
      </c>
      <c r="D94" s="214" t="s">
        <v>1247</v>
      </c>
      <c r="E94" s="163"/>
      <c r="F94" s="163"/>
      <c r="G94" s="222"/>
      <c r="H94" s="163" t="s">
        <v>1243</v>
      </c>
      <c r="I94" s="163"/>
      <c r="J94" s="163"/>
      <c r="K94" s="163"/>
      <c r="L94" s="163"/>
      <c r="M94" s="260">
        <v>43668</v>
      </c>
      <c r="N94" s="260">
        <v>43668</v>
      </c>
      <c r="O94" s="165"/>
      <c r="P94" s="166">
        <v>1</v>
      </c>
      <c r="Q94" s="166">
        <v>1</v>
      </c>
      <c r="R94" s="167">
        <v>1</v>
      </c>
      <c r="S94" s="167">
        <v>1</v>
      </c>
      <c r="T94" s="164"/>
      <c r="U94" s="164"/>
      <c r="V94" s="168"/>
      <c r="W94" s="169">
        <v>0</v>
      </c>
      <c r="X94" s="170">
        <v>1</v>
      </c>
      <c r="Y94" s="219" t="s">
        <v>1132</v>
      </c>
      <c r="Z94" s="171"/>
      <c r="AA94" s="97">
        <v>1</v>
      </c>
      <c r="AB94" s="172">
        <v>1</v>
      </c>
      <c r="AC94" s="123"/>
      <c r="AD94" s="4"/>
      <c r="AE94" s="4"/>
      <c r="AF94" s="4" t="str">
        <f>"  " &amp; TEXT(AB94,"#0.00%") &amp; " " &amp; "모듈별 그래프 적용" &amp; "(이승헌)" &amp; " " &amp; IF(M94="","",TEXT(M94,"M/D-")) &amp; IF(N94="","",TEXT(N94,"M/D")) &amp; " "</f>
        <v xml:space="preserve">  100.00% 모듈별 그래프 적용(이승헌) 7/22-7/22 </v>
      </c>
      <c r="AG94" s="4"/>
      <c r="AH94" s="4"/>
      <c r="AI94" s="4"/>
      <c r="AJ94" s="4"/>
      <c r="AK94" s="4"/>
      <c r="AL94" s="4"/>
      <c r="AM94" s="4"/>
      <c r="AN94" s="4"/>
      <c r="AO94" s="4"/>
      <c r="AP94" s="4"/>
      <c r="AQ94" s="4"/>
      <c r="AR94" s="4"/>
      <c r="AS94" s="4"/>
      <c r="AT94" s="4"/>
      <c r="AU94" s="4"/>
      <c r="AV94" s="4"/>
      <c r="AW94" s="4"/>
      <c r="AX94" s="4"/>
      <c r="AY94" s="4"/>
      <c r="AZ94" s="4"/>
      <c r="BA94" s="4"/>
      <c r="BB94" s="4"/>
      <c r="BC94" s="4"/>
      <c r="BD94" s="4"/>
    </row>
    <row r="95" spans="1:56" ht="16.5" outlineLevel="2">
      <c r="A95" s="116"/>
      <c r="B95" s="116" t="s">
        <v>976</v>
      </c>
      <c r="C95" s="116">
        <v>3</v>
      </c>
      <c r="D95" s="221" t="s">
        <v>1194</v>
      </c>
      <c r="E95" s="163"/>
      <c r="F95" s="163"/>
      <c r="G95" s="222" t="s">
        <v>1258</v>
      </c>
      <c r="H95" s="163"/>
      <c r="I95" s="163"/>
      <c r="J95" s="163"/>
      <c r="K95" s="163"/>
      <c r="L95" s="163"/>
      <c r="M95" s="264">
        <v>43669</v>
      </c>
      <c r="N95" s="264">
        <v>43669</v>
      </c>
      <c r="O95" s="165"/>
      <c r="P95" s="166">
        <v>1</v>
      </c>
      <c r="Q95" s="166">
        <v>1</v>
      </c>
      <c r="R95" s="167">
        <v>1</v>
      </c>
      <c r="S95" s="167">
        <v>1</v>
      </c>
      <c r="T95" s="164"/>
      <c r="U95" s="164"/>
      <c r="V95" s="168">
        <v>0</v>
      </c>
      <c r="W95" s="169">
        <v>0</v>
      </c>
      <c r="X95" s="170"/>
      <c r="Y95" s="165"/>
      <c r="Z95" s="171"/>
      <c r="AA95" s="97">
        <v>1</v>
      </c>
      <c r="AB95" s="172">
        <v>1</v>
      </c>
      <c r="AC95" s="123"/>
      <c r="AD95" s="4"/>
      <c r="AE95" s="4"/>
      <c r="AF95" s="4" t="str">
        <f>"   " &amp; TEXT(AB95,"#0.00%") &amp; " " &amp; "Web-UserInfo( 관리자 화면)" &amp; " " &amp; IF(M95="","",TEXT(M95,"M/D-")) &amp; IF(N95="","",TEXT(N95,"M/D")) &amp; " "</f>
        <v xml:space="preserve">   100.00% Web-UserInfo( 관리자 화면) 7/23-7/23 </v>
      </c>
      <c r="AG95" s="4"/>
      <c r="AH95" s="4"/>
      <c r="AI95" s="4"/>
      <c r="AJ95" s="4"/>
      <c r="AK95" s="4"/>
      <c r="AL95" s="4"/>
      <c r="AM95" s="4"/>
      <c r="AN95" s="4"/>
      <c r="AO95" s="4"/>
      <c r="AP95" s="4"/>
      <c r="AQ95" s="4"/>
      <c r="AR95" s="4"/>
      <c r="AS95" s="4"/>
      <c r="AT95" s="4"/>
      <c r="AU95" s="4"/>
      <c r="AV95" s="4"/>
      <c r="AW95" s="4"/>
      <c r="AX95" s="4"/>
      <c r="AY95" s="4"/>
      <c r="AZ95" s="4"/>
      <c r="BA95" s="4"/>
      <c r="BB95" s="4"/>
      <c r="BC95" s="4"/>
      <c r="BD95" s="4"/>
    </row>
    <row r="96" spans="1:56" ht="16.5" outlineLevel="3">
      <c r="A96" s="116"/>
      <c r="B96" s="116"/>
      <c r="C96" s="116">
        <v>4</v>
      </c>
      <c r="D96" s="221" t="s">
        <v>1248</v>
      </c>
      <c r="E96" s="163"/>
      <c r="F96" s="163"/>
      <c r="G96" s="222"/>
      <c r="H96" s="163" t="s">
        <v>1244</v>
      </c>
      <c r="I96" s="163"/>
      <c r="J96" s="163"/>
      <c r="K96" s="163"/>
      <c r="L96" s="163"/>
      <c r="M96" s="260">
        <v>43669</v>
      </c>
      <c r="N96" s="260">
        <v>43669</v>
      </c>
      <c r="O96" s="165"/>
      <c r="P96" s="166">
        <v>1</v>
      </c>
      <c r="Q96" s="166">
        <v>1</v>
      </c>
      <c r="R96" s="167">
        <v>1</v>
      </c>
      <c r="S96" s="167">
        <v>1</v>
      </c>
      <c r="T96" s="164"/>
      <c r="U96" s="164"/>
      <c r="V96" s="168"/>
      <c r="W96" s="169">
        <v>0</v>
      </c>
      <c r="X96" s="170">
        <v>1</v>
      </c>
      <c r="Y96" s="219" t="s">
        <v>1132</v>
      </c>
      <c r="Z96" s="171"/>
      <c r="AA96" s="97">
        <v>1</v>
      </c>
      <c r="AB96" s="172">
        <v>1</v>
      </c>
      <c r="AC96" s="123"/>
      <c r="AD96" s="4"/>
      <c r="AE96" s="4"/>
      <c r="AF96" s="4" t="str">
        <f>"   " &amp; TEXT(AB96,"#0.00%") &amp; " " &amp; "유저 데이터 통계 및 그래프 적용" &amp; "(이승헌)" &amp; " " &amp; IF(M96="","",TEXT(M96,"M/D-")) &amp; IF(N96="","",TEXT(N96,"M/D")) &amp; " "</f>
        <v xml:space="preserve">   100.00% 유저 데이터 통계 및 그래프 적용(이승헌) 7/23-7/23 </v>
      </c>
      <c r="AG96" s="4"/>
      <c r="AH96" s="4"/>
      <c r="AI96" s="4"/>
      <c r="AJ96" s="4"/>
      <c r="AK96" s="4"/>
      <c r="AL96" s="4"/>
      <c r="AM96" s="4"/>
      <c r="AN96" s="4"/>
      <c r="AO96" s="4"/>
      <c r="AP96" s="4"/>
      <c r="AQ96" s="4"/>
      <c r="AR96" s="4"/>
      <c r="AS96" s="4"/>
      <c r="AT96" s="4"/>
      <c r="AU96" s="4"/>
      <c r="AV96" s="4"/>
      <c r="AW96" s="4"/>
      <c r="AX96" s="4"/>
      <c r="AY96" s="4"/>
      <c r="AZ96" s="4"/>
      <c r="BA96" s="4"/>
      <c r="BB96" s="4"/>
      <c r="BC96" s="4"/>
      <c r="BD96" s="4"/>
    </row>
    <row r="97" spans="1:56" ht="16.5" outlineLevel="3">
      <c r="A97" s="116"/>
      <c r="B97" s="116"/>
      <c r="C97" s="116">
        <v>4</v>
      </c>
      <c r="D97" s="221" t="s">
        <v>1260</v>
      </c>
      <c r="E97" s="163"/>
      <c r="F97" s="163"/>
      <c r="G97" s="222"/>
      <c r="H97" s="163" t="s">
        <v>1259</v>
      </c>
      <c r="I97" s="163"/>
      <c r="J97" s="163"/>
      <c r="K97" s="163"/>
      <c r="L97" s="163"/>
      <c r="M97" s="257"/>
      <c r="N97" s="257"/>
      <c r="O97" s="165"/>
      <c r="P97" s="166">
        <v>0</v>
      </c>
      <c r="Q97" s="166">
        <v>0</v>
      </c>
      <c r="R97" s="167">
        <v>0</v>
      </c>
      <c r="S97" s="167">
        <v>0</v>
      </c>
      <c r="T97" s="164"/>
      <c r="U97" s="164"/>
      <c r="V97" s="168">
        <v>0</v>
      </c>
      <c r="W97" s="169">
        <v>0</v>
      </c>
      <c r="X97" s="170">
        <v>1</v>
      </c>
      <c r="Y97" s="219"/>
      <c r="Z97" s="171"/>
      <c r="AA97" s="97">
        <v>0</v>
      </c>
      <c r="AB97" s="172">
        <v>0</v>
      </c>
      <c r="AC97" s="123"/>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row>
    <row r="98" spans="1:56" ht="16.5" outlineLevel="2">
      <c r="A98" s="116"/>
      <c r="B98" s="116" t="s">
        <v>976</v>
      </c>
      <c r="C98" s="116">
        <v>3</v>
      </c>
      <c r="D98" s="221" t="s">
        <v>1195</v>
      </c>
      <c r="E98" s="163"/>
      <c r="F98" s="163"/>
      <c r="G98" s="222" t="s">
        <v>1239</v>
      </c>
      <c r="H98" s="163"/>
      <c r="I98" s="163"/>
      <c r="J98" s="163"/>
      <c r="K98" s="163"/>
      <c r="L98" s="163"/>
      <c r="M98" s="264">
        <v>43665</v>
      </c>
      <c r="N98" s="264">
        <v>43668</v>
      </c>
      <c r="O98" s="165"/>
      <c r="P98" s="166">
        <v>8</v>
      </c>
      <c r="Q98" s="166">
        <v>8</v>
      </c>
      <c r="R98" s="167">
        <v>2</v>
      </c>
      <c r="S98" s="167">
        <v>2</v>
      </c>
      <c r="T98" s="164"/>
      <c r="U98" s="164"/>
      <c r="V98" s="168">
        <v>0</v>
      </c>
      <c r="W98" s="169">
        <v>0</v>
      </c>
      <c r="X98" s="170"/>
      <c r="Y98" s="165"/>
      <c r="Z98" s="171"/>
      <c r="AA98" s="97">
        <v>1</v>
      </c>
      <c r="AB98" s="172">
        <v>1</v>
      </c>
      <c r="AC98" s="123"/>
      <c r="AD98" s="4"/>
      <c r="AE98" s="4"/>
      <c r="AF98" s="4" t="str">
        <f>"  " &amp; TEXT(AB98,"#0.00%") &amp; " " &amp; "Web-NoticeBoard" &amp; " " &amp; IF(M98="","",TEXT(M98,"M/D-")) &amp; IF(N98="","",TEXT(N98,"M/D")) &amp; " "</f>
        <v xml:space="preserve">  100.00% Web-NoticeBoard 7/19-7/22 </v>
      </c>
      <c r="AG98" s="4"/>
      <c r="AH98" s="4"/>
      <c r="AI98" s="4"/>
      <c r="AJ98" s="4"/>
      <c r="AK98" s="4"/>
      <c r="AL98" s="4"/>
      <c r="AM98" s="4"/>
      <c r="AN98" s="4"/>
      <c r="AO98" s="4"/>
      <c r="AP98" s="4"/>
      <c r="AQ98" s="4"/>
      <c r="AR98" s="4"/>
      <c r="AS98" s="4"/>
      <c r="AT98" s="4"/>
      <c r="AU98" s="4"/>
      <c r="AV98" s="4"/>
      <c r="AW98" s="4"/>
      <c r="AX98" s="4"/>
      <c r="AY98" s="4"/>
      <c r="AZ98" s="4"/>
      <c r="BA98" s="4"/>
      <c r="BB98" s="4"/>
      <c r="BC98" s="4"/>
      <c r="BD98" s="4"/>
    </row>
    <row r="99" spans="1:56" ht="16.5" outlineLevel="3">
      <c r="A99" s="116"/>
      <c r="B99" s="116"/>
      <c r="C99" s="116">
        <v>4</v>
      </c>
      <c r="D99" s="221" t="s">
        <v>1249</v>
      </c>
      <c r="E99" s="163"/>
      <c r="F99" s="163"/>
      <c r="G99" s="222"/>
      <c r="H99" s="220" t="s">
        <v>1236</v>
      </c>
      <c r="I99" s="163"/>
      <c r="J99" s="163"/>
      <c r="K99" s="163"/>
      <c r="L99" s="163"/>
      <c r="M99" s="262">
        <v>43665</v>
      </c>
      <c r="N99" s="262">
        <v>43668</v>
      </c>
      <c r="O99" s="165"/>
      <c r="P99" s="166">
        <v>2</v>
      </c>
      <c r="Q99" s="166">
        <v>2</v>
      </c>
      <c r="R99" s="167">
        <v>2</v>
      </c>
      <c r="S99" s="167">
        <v>2</v>
      </c>
      <c r="T99" s="164"/>
      <c r="U99" s="164"/>
      <c r="V99" s="168"/>
      <c r="W99" s="169">
        <v>0</v>
      </c>
      <c r="X99" s="170">
        <v>1</v>
      </c>
      <c r="Y99" s="219" t="s">
        <v>1208</v>
      </c>
      <c r="Z99" s="171"/>
      <c r="AA99" s="97">
        <v>1</v>
      </c>
      <c r="AB99" s="172">
        <v>1</v>
      </c>
      <c r="AC99" s="123"/>
      <c r="AD99" s="4"/>
      <c r="AE99" s="4"/>
      <c r="AF99" s="4" t="str">
        <f>"  " &amp; TEXT(AB99,"#0.00%") &amp; " " &amp; "읽기" &amp; "(이남희)" &amp; " " &amp; IF(M99="","",TEXT(M99,"M/D-")) &amp; IF(N99="","",TEXT(N99,"M/D")) &amp; " "</f>
        <v xml:space="preserve">  100.00% 읽기(이남희) 7/19-7/22 </v>
      </c>
      <c r="AG99" s="4"/>
      <c r="AH99" s="4"/>
      <c r="AI99" s="4"/>
      <c r="AJ99" s="4"/>
      <c r="AK99" s="4"/>
      <c r="AL99" s="4"/>
      <c r="AM99" s="4"/>
      <c r="AN99" s="4"/>
      <c r="AO99" s="4"/>
      <c r="AP99" s="4"/>
      <c r="AQ99" s="4"/>
      <c r="AR99" s="4"/>
      <c r="AS99" s="4"/>
      <c r="AT99" s="4"/>
      <c r="AU99" s="4"/>
      <c r="AV99" s="4"/>
      <c r="AW99" s="4"/>
      <c r="AX99" s="4"/>
      <c r="AY99" s="4"/>
      <c r="AZ99" s="4"/>
      <c r="BA99" s="4"/>
      <c r="BB99" s="4"/>
      <c r="BC99" s="4"/>
      <c r="BD99" s="4"/>
    </row>
    <row r="100" spans="1:56" ht="16.5" outlineLevel="3">
      <c r="A100" s="116"/>
      <c r="B100" s="116"/>
      <c r="C100" s="116">
        <v>4</v>
      </c>
      <c r="D100" s="221" t="s">
        <v>1250</v>
      </c>
      <c r="E100" s="163"/>
      <c r="F100" s="163"/>
      <c r="G100" s="222"/>
      <c r="H100" s="220" t="s">
        <v>1235</v>
      </c>
      <c r="I100" s="163"/>
      <c r="J100" s="163"/>
      <c r="K100" s="163"/>
      <c r="L100" s="163"/>
      <c r="M100" s="262">
        <v>43665</v>
      </c>
      <c r="N100" s="262">
        <v>43668</v>
      </c>
      <c r="O100" s="165"/>
      <c r="P100" s="166">
        <v>2</v>
      </c>
      <c r="Q100" s="166">
        <v>2</v>
      </c>
      <c r="R100" s="167">
        <v>2</v>
      </c>
      <c r="S100" s="167">
        <v>2</v>
      </c>
      <c r="T100" s="164"/>
      <c r="U100" s="164"/>
      <c r="V100" s="168"/>
      <c r="W100" s="169">
        <v>0</v>
      </c>
      <c r="X100" s="170">
        <v>1</v>
      </c>
      <c r="Y100" s="219" t="s">
        <v>1208</v>
      </c>
      <c r="Z100" s="171"/>
      <c r="AA100" s="97">
        <v>1</v>
      </c>
      <c r="AB100" s="172">
        <v>1</v>
      </c>
      <c r="AC100" s="123"/>
      <c r="AD100" s="4"/>
      <c r="AE100" s="4"/>
      <c r="AF100" s="4" t="str">
        <f>"  " &amp; TEXT(AB100,"#0.00%") &amp; " " &amp; "쓰기" &amp; "(이남희)" &amp; " " &amp; IF(M100="","",TEXT(M100,"M/D-")) &amp; IF(N100="","",TEXT(N100,"M/D")) &amp; " "</f>
        <v xml:space="preserve">  100.00% 쓰기(이남희) 7/19-7/22 </v>
      </c>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row>
    <row r="101" spans="1:56" ht="16.5" outlineLevel="3">
      <c r="A101" s="116"/>
      <c r="B101" s="116"/>
      <c r="C101" s="116">
        <v>4</v>
      </c>
      <c r="D101" s="214" t="s">
        <v>1251</v>
      </c>
      <c r="E101" s="163"/>
      <c r="F101" s="163"/>
      <c r="G101" s="216"/>
      <c r="H101" s="220" t="s">
        <v>1237</v>
      </c>
      <c r="I101" s="163"/>
      <c r="J101" s="163"/>
      <c r="K101" s="163"/>
      <c r="L101" s="163"/>
      <c r="M101" s="262">
        <v>43665</v>
      </c>
      <c r="N101" s="262">
        <v>43668</v>
      </c>
      <c r="O101" s="165"/>
      <c r="P101" s="166">
        <v>2</v>
      </c>
      <c r="Q101" s="166">
        <v>2</v>
      </c>
      <c r="R101" s="167">
        <v>2</v>
      </c>
      <c r="S101" s="167">
        <v>2</v>
      </c>
      <c r="T101" s="164"/>
      <c r="U101" s="164"/>
      <c r="V101" s="168"/>
      <c r="W101" s="169">
        <v>0</v>
      </c>
      <c r="X101" s="170">
        <v>1</v>
      </c>
      <c r="Y101" s="219" t="s">
        <v>1208</v>
      </c>
      <c r="Z101" s="171"/>
      <c r="AA101" s="97">
        <v>1</v>
      </c>
      <c r="AB101" s="172">
        <v>1</v>
      </c>
      <c r="AC101" s="123"/>
      <c r="AD101" s="4"/>
      <c r="AE101" s="4"/>
      <c r="AF101" s="4" t="str">
        <f>"  " &amp; TEXT(AB101,"#0.00%") &amp; " " &amp; "업데이트" &amp; "(이남희)" &amp; " " &amp; IF(M101="","",TEXT(M101,"M/D-")) &amp; IF(N101="","",TEXT(N101,"M/D")) &amp; " "</f>
        <v xml:space="preserve">  100.00% 업데이트(이남희) 7/19-7/22 </v>
      </c>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row>
    <row r="102" spans="1:56" ht="16.5" outlineLevel="3">
      <c r="A102" s="116"/>
      <c r="B102" s="116"/>
      <c r="C102" s="116">
        <v>4</v>
      </c>
      <c r="D102" s="214" t="s">
        <v>1252</v>
      </c>
      <c r="E102" s="163"/>
      <c r="F102" s="163"/>
      <c r="G102" s="216"/>
      <c r="H102" s="220" t="s">
        <v>1238</v>
      </c>
      <c r="I102" s="163"/>
      <c r="J102" s="163"/>
      <c r="K102" s="163"/>
      <c r="L102" s="163"/>
      <c r="M102" s="262">
        <v>43665</v>
      </c>
      <c r="N102" s="262">
        <v>43668</v>
      </c>
      <c r="O102" s="165"/>
      <c r="P102" s="166">
        <v>2</v>
      </c>
      <c r="Q102" s="166">
        <v>2</v>
      </c>
      <c r="R102" s="167">
        <v>2</v>
      </c>
      <c r="S102" s="167">
        <v>2</v>
      </c>
      <c r="T102" s="164"/>
      <c r="U102" s="164"/>
      <c r="V102" s="168"/>
      <c r="W102" s="169">
        <v>0</v>
      </c>
      <c r="X102" s="170">
        <v>1</v>
      </c>
      <c r="Y102" s="219" t="s">
        <v>1208</v>
      </c>
      <c r="Z102" s="171"/>
      <c r="AA102" s="97">
        <v>1</v>
      </c>
      <c r="AB102" s="172">
        <v>1</v>
      </c>
      <c r="AC102" s="123"/>
      <c r="AD102" s="4"/>
      <c r="AE102" s="4"/>
      <c r="AF102" s="4" t="str">
        <f>"  " &amp; TEXT(AB102,"#0.00%") &amp; " " &amp; "삭제" &amp; "(이남희)" &amp; " " &amp; IF(M102="","",TEXT(M102,"M/D-")) &amp; IF(N102="","",TEXT(N102,"M/D")) &amp; " "</f>
        <v xml:space="preserve">  100.00% 삭제(이남희) 7/19-7/22 </v>
      </c>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row>
    <row r="103" spans="1:56" ht="16.5" outlineLevel="2">
      <c r="A103" s="116"/>
      <c r="B103" s="116" t="s">
        <v>976</v>
      </c>
      <c r="C103" s="116">
        <v>3</v>
      </c>
      <c r="D103" s="214" t="s">
        <v>1196</v>
      </c>
      <c r="E103" s="163"/>
      <c r="F103" s="163"/>
      <c r="G103" s="222" t="s">
        <v>1187</v>
      </c>
      <c r="H103" s="163"/>
      <c r="I103" s="163"/>
      <c r="J103" s="163"/>
      <c r="K103" s="163"/>
      <c r="L103" s="163"/>
      <c r="M103" s="264">
        <v>43665</v>
      </c>
      <c r="N103" s="264">
        <v>43665</v>
      </c>
      <c r="O103" s="165"/>
      <c r="P103" s="166">
        <v>1</v>
      </c>
      <c r="Q103" s="166">
        <v>1</v>
      </c>
      <c r="R103" s="167">
        <v>1</v>
      </c>
      <c r="S103" s="167">
        <v>1</v>
      </c>
      <c r="T103" s="164"/>
      <c r="U103" s="164"/>
      <c r="V103" s="168">
        <v>0</v>
      </c>
      <c r="W103" s="169">
        <v>0</v>
      </c>
      <c r="X103" s="170"/>
      <c r="Y103" s="165"/>
      <c r="Z103" s="171"/>
      <c r="AA103" s="97">
        <v>1</v>
      </c>
      <c r="AB103" s="172">
        <v>1</v>
      </c>
      <c r="AC103" s="123"/>
      <c r="AD103" s="4"/>
      <c r="AE103" s="4" t="str">
        <f>"      " &amp; TEXT(AB103,"#0.00%") &amp; " " &amp; "Web-Contact" &amp; " " &amp; IF(M103="","",TEXT(M103,"M/D-")) &amp; IF(N103="","",TEXT(N103,"M/D")) &amp; " "</f>
        <v xml:space="preserve">      100.00% Web-Contact 7/19-7/19 </v>
      </c>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row>
    <row r="104" spans="1:56" ht="16.5" outlineLevel="3">
      <c r="A104" s="116"/>
      <c r="B104" s="116"/>
      <c r="C104" s="116">
        <v>4</v>
      </c>
      <c r="D104" s="214" t="s">
        <v>1253</v>
      </c>
      <c r="E104" s="163"/>
      <c r="F104" s="163"/>
      <c r="G104" s="222"/>
      <c r="H104" s="163" t="s">
        <v>1234</v>
      </c>
      <c r="I104" s="163"/>
      <c r="J104" s="163"/>
      <c r="K104" s="163"/>
      <c r="L104" s="163"/>
      <c r="M104" s="261">
        <v>43665</v>
      </c>
      <c r="N104" s="261">
        <v>43665</v>
      </c>
      <c r="O104" s="165"/>
      <c r="P104" s="166">
        <v>1</v>
      </c>
      <c r="Q104" s="166">
        <v>1</v>
      </c>
      <c r="R104" s="167">
        <v>1</v>
      </c>
      <c r="S104" s="167">
        <v>1</v>
      </c>
      <c r="T104" s="164"/>
      <c r="U104" s="164"/>
      <c r="V104" s="168"/>
      <c r="W104" s="169">
        <v>0</v>
      </c>
      <c r="X104" s="170">
        <v>1</v>
      </c>
      <c r="Y104" s="219" t="s">
        <v>1175</v>
      </c>
      <c r="Z104" s="171"/>
      <c r="AA104" s="97">
        <v>1</v>
      </c>
      <c r="AB104" s="172">
        <v>1</v>
      </c>
      <c r="AC104" s="123"/>
      <c r="AD104" s="4"/>
      <c r="AE104" s="4" t="str">
        <f>"      " &amp; TEXT(AB104,"#0.00%") &amp; " " &amp; "Mail Service" &amp; "(백종화)" &amp; " " &amp; IF(M104="","",TEXT(M104,"M/D-")) &amp; IF(N104="","",TEXT(N104,"M/D")) &amp; " "</f>
        <v xml:space="preserve">      100.00% Mail Service(백종화) 7/19-7/19 </v>
      </c>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row>
    <row r="105" spans="1:56" ht="16.5" outlineLevel="2">
      <c r="A105" s="116"/>
      <c r="B105" s="116" t="s">
        <v>976</v>
      </c>
      <c r="C105" s="116">
        <v>3</v>
      </c>
      <c r="D105" s="214" t="s">
        <v>1197</v>
      </c>
      <c r="E105" s="163"/>
      <c r="F105" s="163"/>
      <c r="G105" s="222" t="s">
        <v>1306</v>
      </c>
      <c r="H105" s="163"/>
      <c r="I105" s="163"/>
      <c r="J105" s="163"/>
      <c r="K105" s="163"/>
      <c r="L105" s="163"/>
      <c r="M105" s="261">
        <v>43668</v>
      </c>
      <c r="N105" s="261">
        <v>43668</v>
      </c>
      <c r="O105" s="165"/>
      <c r="P105" s="166">
        <v>1</v>
      </c>
      <c r="Q105" s="166">
        <v>1</v>
      </c>
      <c r="R105" s="167">
        <v>1</v>
      </c>
      <c r="S105" s="167">
        <v>1</v>
      </c>
      <c r="T105" s="164"/>
      <c r="U105" s="164"/>
      <c r="V105" s="168">
        <v>0</v>
      </c>
      <c r="W105" s="169">
        <v>0</v>
      </c>
      <c r="X105" s="170"/>
      <c r="Y105" s="219"/>
      <c r="Z105" s="171"/>
      <c r="AA105" s="97">
        <v>1</v>
      </c>
      <c r="AB105" s="172">
        <v>1</v>
      </c>
      <c r="AC105" s="123"/>
      <c r="AD105" s="4"/>
      <c r="AE105" s="4"/>
      <c r="AF105" s="4" t="str">
        <f>"  " &amp; TEXT(AB105,"#0.00%") &amp; " " &amp; "Web-공통" &amp; " " &amp; IF(M105="","",TEXT(M105,"M/D-")) &amp; IF(N105="","",TEXT(N105,"M/D")) &amp; " "</f>
        <v xml:space="preserve">  100.00% Web-공통 7/22-7/22 </v>
      </c>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row>
    <row r="106" spans="1:56" ht="16.5" outlineLevel="3">
      <c r="A106" s="116"/>
      <c r="B106" s="116"/>
      <c r="C106" s="116">
        <v>4</v>
      </c>
      <c r="D106" s="214" t="s">
        <v>1307</v>
      </c>
      <c r="E106" s="163"/>
      <c r="F106" s="163"/>
      <c r="G106" s="222"/>
      <c r="H106" s="220" t="s">
        <v>1305</v>
      </c>
      <c r="I106" s="163"/>
      <c r="J106" s="163"/>
      <c r="K106" s="163"/>
      <c r="L106" s="163"/>
      <c r="M106" s="261">
        <v>43668</v>
      </c>
      <c r="N106" s="261">
        <v>43668</v>
      </c>
      <c r="O106" s="165"/>
      <c r="P106" s="166">
        <v>1</v>
      </c>
      <c r="Q106" s="166">
        <v>1</v>
      </c>
      <c r="R106" s="167">
        <v>1</v>
      </c>
      <c r="S106" s="167">
        <v>1</v>
      </c>
      <c r="T106" s="164"/>
      <c r="U106" s="164"/>
      <c r="V106" s="168"/>
      <c r="W106" s="169">
        <v>0</v>
      </c>
      <c r="X106" s="170">
        <v>1</v>
      </c>
      <c r="Y106" s="219" t="s">
        <v>1175</v>
      </c>
      <c r="Z106" s="171"/>
      <c r="AA106" s="97">
        <v>1</v>
      </c>
      <c r="AB106" s="172">
        <v>1</v>
      </c>
      <c r="AC106" s="123"/>
      <c r="AD106" s="4"/>
      <c r="AE106" s="4"/>
      <c r="AF106" s="4" t="str">
        <f>"  " &amp; TEXT(AB106,"#0.00%") &amp; " " &amp; "위젯" &amp; "(백종화)" &amp; " " &amp; IF(M106="","",TEXT(M106,"M/D-")) &amp; IF(N106="","",TEXT(N106,"M/D")) &amp; " "</f>
        <v xml:space="preserve">  100.00% 위젯(백종화) 7/22-7/22 </v>
      </c>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row>
    <row r="107" spans="1:56" ht="16.5" outlineLevel="3">
      <c r="A107" s="116"/>
      <c r="B107" s="116"/>
      <c r="C107" s="116">
        <v>0</v>
      </c>
      <c r="D107" s="214"/>
      <c r="E107" s="163"/>
      <c r="F107" s="163"/>
      <c r="G107" s="222"/>
      <c r="H107" s="163"/>
      <c r="I107" s="163"/>
      <c r="J107" s="163"/>
      <c r="K107" s="163"/>
      <c r="L107" s="163"/>
      <c r="M107" s="261"/>
      <c r="N107" s="261"/>
      <c r="O107" s="165"/>
      <c r="P107" s="166"/>
      <c r="Q107" s="166"/>
      <c r="R107" s="167"/>
      <c r="S107" s="167"/>
      <c r="T107" s="164"/>
      <c r="U107" s="164"/>
      <c r="V107" s="168"/>
      <c r="W107" s="169"/>
      <c r="X107" s="170"/>
      <c r="Y107" s="219"/>
      <c r="Z107" s="171"/>
      <c r="AA107" s="97"/>
      <c r="AB107" s="172"/>
      <c r="AC107" s="123"/>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row>
    <row r="108" spans="1:56" outlineLevel="2">
      <c r="A108" s="116"/>
      <c r="B108" s="116"/>
      <c r="C108" s="116">
        <v>3</v>
      </c>
      <c r="D108" s="214" t="s">
        <v>1308</v>
      </c>
      <c r="E108" s="163"/>
      <c r="F108" s="163"/>
      <c r="G108" s="222" t="s">
        <v>1079</v>
      </c>
      <c r="H108" s="163"/>
      <c r="I108" s="163"/>
      <c r="J108" s="163"/>
      <c r="K108" s="163"/>
      <c r="L108" s="163"/>
      <c r="M108" s="164"/>
      <c r="N108" s="164"/>
      <c r="O108" s="165"/>
      <c r="P108" s="166">
        <v>0</v>
      </c>
      <c r="Q108" s="166">
        <v>0</v>
      </c>
      <c r="R108" s="167">
        <v>1</v>
      </c>
      <c r="S108" s="167">
        <v>1</v>
      </c>
      <c r="T108" s="164"/>
      <c r="U108" s="164"/>
      <c r="V108" s="168">
        <v>0</v>
      </c>
      <c r="W108" s="169">
        <v>0</v>
      </c>
      <c r="X108" s="170">
        <v>1</v>
      </c>
      <c r="Y108" s="165" t="s">
        <v>1261</v>
      </c>
      <c r="Z108" s="171"/>
      <c r="AA108" s="97">
        <v>0</v>
      </c>
      <c r="AB108" s="172">
        <v>0</v>
      </c>
      <c r="AC108" s="123"/>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row>
    <row r="109" spans="1:56">
      <c r="A109" s="116"/>
      <c r="B109" s="116" t="s">
        <v>976</v>
      </c>
      <c r="C109" s="116">
        <v>1</v>
      </c>
      <c r="D109" s="214" t="s">
        <v>1025</v>
      </c>
      <c r="E109" s="163" t="s">
        <v>1016</v>
      </c>
      <c r="F109" s="163"/>
      <c r="G109" s="163"/>
      <c r="H109" s="163"/>
      <c r="I109" s="163"/>
      <c r="J109" s="163"/>
      <c r="K109" s="163"/>
      <c r="L109" s="163"/>
      <c r="M109" s="164"/>
      <c r="N109" s="164"/>
      <c r="O109" s="165"/>
      <c r="P109" s="166">
        <v>0</v>
      </c>
      <c r="Q109" s="166">
        <v>0</v>
      </c>
      <c r="R109" s="167">
        <v>2</v>
      </c>
      <c r="S109" s="167">
        <v>1</v>
      </c>
      <c r="T109" s="164"/>
      <c r="U109" s="164"/>
      <c r="V109" s="168">
        <v>0</v>
      </c>
      <c r="W109" s="169">
        <v>0</v>
      </c>
      <c r="X109" s="170"/>
      <c r="Y109" s="165"/>
      <c r="Z109" s="171"/>
      <c r="AA109" s="97">
        <v>0</v>
      </c>
      <c r="AB109" s="172">
        <v>0</v>
      </c>
      <c r="AC109" s="123"/>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row>
    <row r="110" spans="1:56" outlineLevel="1">
      <c r="A110" s="116"/>
      <c r="B110" s="116" t="s">
        <v>976</v>
      </c>
      <c r="C110" s="116">
        <v>2</v>
      </c>
      <c r="D110" s="214" t="s">
        <v>1096</v>
      </c>
      <c r="E110" s="163"/>
      <c r="F110" s="163" t="s">
        <v>1077</v>
      </c>
      <c r="G110" s="163"/>
      <c r="H110" s="163"/>
      <c r="I110" s="163"/>
      <c r="J110" s="163"/>
      <c r="K110" s="163"/>
      <c r="L110" s="163"/>
      <c r="M110" s="164"/>
      <c r="N110" s="164"/>
      <c r="O110" s="165"/>
      <c r="P110" s="166">
        <v>0</v>
      </c>
      <c r="Q110" s="166">
        <v>0</v>
      </c>
      <c r="R110" s="167">
        <v>2</v>
      </c>
      <c r="S110" s="167">
        <v>1</v>
      </c>
      <c r="T110" s="164"/>
      <c r="U110" s="164"/>
      <c r="V110" s="168">
        <v>0</v>
      </c>
      <c r="W110" s="169">
        <v>0</v>
      </c>
      <c r="X110" s="170"/>
      <c r="Y110" s="165"/>
      <c r="Z110" s="171"/>
      <c r="AA110" s="97">
        <v>0</v>
      </c>
      <c r="AB110" s="172">
        <v>0</v>
      </c>
      <c r="AC110" s="123"/>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row>
    <row r="111" spans="1:56" outlineLevel="2">
      <c r="A111" s="116"/>
      <c r="B111" s="116"/>
      <c r="C111" s="116">
        <v>3</v>
      </c>
      <c r="D111" s="214" t="s">
        <v>1097</v>
      </c>
      <c r="E111" s="163"/>
      <c r="F111" s="163"/>
      <c r="G111" s="216" t="s">
        <v>1080</v>
      </c>
      <c r="H111" s="163"/>
      <c r="I111" s="163"/>
      <c r="J111" s="163"/>
      <c r="K111" s="163"/>
      <c r="L111" s="163"/>
      <c r="M111" s="164"/>
      <c r="N111" s="164"/>
      <c r="O111" s="165"/>
      <c r="P111" s="166">
        <v>0</v>
      </c>
      <c r="Q111" s="166">
        <v>0</v>
      </c>
      <c r="R111" s="167">
        <v>2</v>
      </c>
      <c r="S111" s="167">
        <v>1</v>
      </c>
      <c r="T111" s="164"/>
      <c r="U111" s="164"/>
      <c r="V111" s="168">
        <v>0</v>
      </c>
      <c r="W111" s="169">
        <v>0</v>
      </c>
      <c r="X111" s="170">
        <v>1</v>
      </c>
      <c r="Y111" s="165"/>
      <c r="Z111" s="171"/>
      <c r="AA111" s="97">
        <v>0</v>
      </c>
      <c r="AB111" s="172">
        <v>0</v>
      </c>
      <c r="AC111" s="123"/>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row>
    <row r="112" spans="1:56" outlineLevel="2">
      <c r="A112" s="116"/>
      <c r="B112" s="116"/>
      <c r="C112" s="116">
        <v>3</v>
      </c>
      <c r="D112" s="214" t="s">
        <v>1098</v>
      </c>
      <c r="E112" s="163"/>
      <c r="F112" s="163"/>
      <c r="G112" s="216" t="s">
        <v>1081</v>
      </c>
      <c r="H112" s="163"/>
      <c r="I112" s="163"/>
      <c r="J112" s="163"/>
      <c r="K112" s="163"/>
      <c r="L112" s="163"/>
      <c r="M112" s="164"/>
      <c r="N112" s="164"/>
      <c r="O112" s="165"/>
      <c r="P112" s="166">
        <v>0</v>
      </c>
      <c r="Q112" s="166">
        <v>0</v>
      </c>
      <c r="R112" s="167">
        <v>1</v>
      </c>
      <c r="S112" s="167">
        <v>0</v>
      </c>
      <c r="T112" s="164"/>
      <c r="U112" s="164"/>
      <c r="V112" s="168">
        <v>0</v>
      </c>
      <c r="W112" s="169">
        <v>0</v>
      </c>
      <c r="X112" s="170">
        <v>1</v>
      </c>
      <c r="Y112" s="165"/>
      <c r="Z112" s="171"/>
      <c r="AA112" s="97">
        <v>0</v>
      </c>
      <c r="AB112" s="172">
        <v>0</v>
      </c>
      <c r="AC112" s="123"/>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row>
    <row r="113" spans="1:56" outlineLevel="2">
      <c r="A113" s="116"/>
      <c r="B113" s="116"/>
      <c r="C113" s="116">
        <v>3</v>
      </c>
      <c r="D113" s="214" t="s">
        <v>1099</v>
      </c>
      <c r="E113" s="163"/>
      <c r="F113" s="163"/>
      <c r="G113" s="216" t="s">
        <v>1082</v>
      </c>
      <c r="H113" s="163"/>
      <c r="I113" s="163"/>
      <c r="J113" s="163"/>
      <c r="K113" s="163"/>
      <c r="L113" s="163"/>
      <c r="M113" s="164"/>
      <c r="N113" s="164"/>
      <c r="O113" s="165"/>
      <c r="P113" s="166">
        <v>0</v>
      </c>
      <c r="Q113" s="166">
        <v>0</v>
      </c>
      <c r="R113" s="167">
        <v>1</v>
      </c>
      <c r="S113" s="167">
        <v>0</v>
      </c>
      <c r="T113" s="164"/>
      <c r="U113" s="164"/>
      <c r="V113" s="168">
        <v>0</v>
      </c>
      <c r="W113" s="169">
        <v>0</v>
      </c>
      <c r="X113" s="170">
        <v>1</v>
      </c>
      <c r="Y113" s="165"/>
      <c r="Z113" s="171"/>
      <c r="AA113" s="97">
        <v>0</v>
      </c>
      <c r="AB113" s="172">
        <v>0</v>
      </c>
      <c r="AC113" s="123"/>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row>
    <row r="114" spans="1:56" outlineLevel="2">
      <c r="A114" s="116"/>
      <c r="B114" s="116"/>
      <c r="C114" s="116">
        <v>3</v>
      </c>
      <c r="D114" s="214" t="s">
        <v>1100</v>
      </c>
      <c r="E114" s="163"/>
      <c r="F114" s="163"/>
      <c r="G114" s="216" t="s">
        <v>1083</v>
      </c>
      <c r="H114" s="163"/>
      <c r="I114" s="163"/>
      <c r="J114" s="163"/>
      <c r="K114" s="163"/>
      <c r="L114" s="163"/>
      <c r="M114" s="164"/>
      <c r="N114" s="164"/>
      <c r="O114" s="165"/>
      <c r="P114" s="166">
        <v>0</v>
      </c>
      <c r="Q114" s="166">
        <v>0</v>
      </c>
      <c r="R114" s="167">
        <v>1</v>
      </c>
      <c r="S114" s="167">
        <v>0</v>
      </c>
      <c r="T114" s="164"/>
      <c r="U114" s="164"/>
      <c r="V114" s="168">
        <v>0</v>
      </c>
      <c r="W114" s="169">
        <v>0</v>
      </c>
      <c r="X114" s="170">
        <v>1</v>
      </c>
      <c r="Y114" s="165"/>
      <c r="Z114" s="171"/>
      <c r="AA114" s="97">
        <v>0</v>
      </c>
      <c r="AB114" s="172">
        <v>0</v>
      </c>
      <c r="AC114" s="123"/>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row>
    <row r="115" spans="1:56" outlineLevel="2">
      <c r="A115" s="116"/>
      <c r="B115" s="116"/>
      <c r="C115" s="116">
        <v>3</v>
      </c>
      <c r="D115" s="214" t="s">
        <v>1101</v>
      </c>
      <c r="E115" s="163"/>
      <c r="F115" s="163"/>
      <c r="G115" s="216" t="s">
        <v>1084</v>
      </c>
      <c r="H115" s="163"/>
      <c r="I115" s="163"/>
      <c r="J115" s="163"/>
      <c r="K115" s="163"/>
      <c r="L115" s="163"/>
      <c r="M115" s="164"/>
      <c r="N115" s="164"/>
      <c r="O115" s="165"/>
      <c r="P115" s="166">
        <v>0</v>
      </c>
      <c r="Q115" s="166">
        <v>0</v>
      </c>
      <c r="R115" s="167">
        <v>1</v>
      </c>
      <c r="S115" s="167">
        <v>0</v>
      </c>
      <c r="T115" s="164"/>
      <c r="U115" s="164"/>
      <c r="V115" s="168">
        <v>0</v>
      </c>
      <c r="W115" s="169">
        <v>0</v>
      </c>
      <c r="X115" s="170">
        <v>1</v>
      </c>
      <c r="Y115" s="165"/>
      <c r="Z115" s="171"/>
      <c r="AA115" s="97">
        <v>0</v>
      </c>
      <c r="AB115" s="172">
        <v>0</v>
      </c>
      <c r="AC115" s="123"/>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row>
    <row r="116" spans="1:56" outlineLevel="2">
      <c r="A116" s="116"/>
      <c r="B116" s="116"/>
      <c r="C116" s="116">
        <v>0</v>
      </c>
      <c r="D116" s="215"/>
      <c r="E116" s="163"/>
      <c r="F116" s="163"/>
      <c r="G116" s="163"/>
      <c r="H116" s="163"/>
      <c r="I116" s="163"/>
      <c r="J116" s="163"/>
      <c r="K116" s="163"/>
      <c r="L116" s="163"/>
      <c r="M116" s="164"/>
      <c r="N116" s="164"/>
      <c r="O116" s="165"/>
      <c r="P116" s="166"/>
      <c r="Q116" s="166"/>
      <c r="R116" s="167">
        <v>0</v>
      </c>
      <c r="S116" s="167">
        <v>0</v>
      </c>
      <c r="T116" s="164"/>
      <c r="U116" s="164"/>
      <c r="V116" s="168"/>
      <c r="W116" s="169">
        <v>0</v>
      </c>
      <c r="X116" s="170"/>
      <c r="Y116" s="165"/>
      <c r="Z116" s="171"/>
      <c r="AA116" s="97"/>
      <c r="AB116" s="172"/>
      <c r="AC116" s="123"/>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row>
    <row r="117" spans="1:56">
      <c r="A117" s="116"/>
      <c r="B117" s="116" t="s">
        <v>976</v>
      </c>
      <c r="C117" s="116">
        <v>1</v>
      </c>
      <c r="D117" s="214" t="s">
        <v>1026</v>
      </c>
      <c r="E117" s="163" t="s">
        <v>1017</v>
      </c>
      <c r="F117" s="163"/>
      <c r="G117" s="163"/>
      <c r="H117" s="163"/>
      <c r="I117" s="163"/>
      <c r="J117" s="163"/>
      <c r="K117" s="163"/>
      <c r="L117" s="163"/>
      <c r="M117" s="164"/>
      <c r="N117" s="164"/>
      <c r="O117" s="165"/>
      <c r="P117" s="166">
        <v>0</v>
      </c>
      <c r="Q117" s="166">
        <v>0</v>
      </c>
      <c r="R117" s="167">
        <v>1</v>
      </c>
      <c r="S117" s="167">
        <v>0</v>
      </c>
      <c r="T117" s="164"/>
      <c r="U117" s="164"/>
      <c r="V117" s="168">
        <v>0</v>
      </c>
      <c r="W117" s="169">
        <v>0</v>
      </c>
      <c r="X117" s="170"/>
      <c r="Y117" s="165"/>
      <c r="Z117" s="171"/>
      <c r="AA117" s="97">
        <v>0</v>
      </c>
      <c r="AB117" s="172">
        <v>0</v>
      </c>
      <c r="AC117" s="123"/>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row>
    <row r="118" spans="1:56" outlineLevel="1">
      <c r="A118" s="116"/>
      <c r="B118" s="116" t="s">
        <v>976</v>
      </c>
      <c r="C118" s="116">
        <v>2</v>
      </c>
      <c r="D118" s="214" t="s">
        <v>1102</v>
      </c>
      <c r="E118" s="163"/>
      <c r="F118" s="163" t="s">
        <v>1017</v>
      </c>
      <c r="G118" s="163"/>
      <c r="H118" s="163"/>
      <c r="I118" s="163"/>
      <c r="J118" s="163"/>
      <c r="K118" s="163"/>
      <c r="L118" s="163"/>
      <c r="M118" s="164"/>
      <c r="N118" s="164"/>
      <c r="O118" s="165"/>
      <c r="P118" s="166">
        <v>0</v>
      </c>
      <c r="Q118" s="166">
        <v>0</v>
      </c>
      <c r="R118" s="167">
        <v>1</v>
      </c>
      <c r="S118" s="167">
        <v>0</v>
      </c>
      <c r="T118" s="164"/>
      <c r="U118" s="164"/>
      <c r="V118" s="168">
        <v>0</v>
      </c>
      <c r="W118" s="169">
        <v>0</v>
      </c>
      <c r="X118" s="170"/>
      <c r="Y118" s="165"/>
      <c r="Z118" s="171"/>
      <c r="AA118" s="97">
        <v>0</v>
      </c>
      <c r="AB118" s="172">
        <v>0</v>
      </c>
      <c r="AC118" s="123"/>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row>
    <row r="119" spans="1:56" outlineLevel="2">
      <c r="A119" s="116"/>
      <c r="B119" s="116"/>
      <c r="C119" s="116">
        <v>3</v>
      </c>
      <c r="D119" s="214" t="s">
        <v>1103</v>
      </c>
      <c r="E119" s="163"/>
      <c r="F119" s="163"/>
      <c r="G119" s="216" t="s">
        <v>1085</v>
      </c>
      <c r="H119" s="163"/>
      <c r="I119" s="163"/>
      <c r="J119" s="163"/>
      <c r="K119" s="163"/>
      <c r="L119" s="163"/>
      <c r="M119" s="164"/>
      <c r="N119" s="164"/>
      <c r="O119" s="165"/>
      <c r="P119" s="166">
        <v>0</v>
      </c>
      <c r="Q119" s="166">
        <v>0</v>
      </c>
      <c r="R119" s="167">
        <v>1</v>
      </c>
      <c r="S119" s="167">
        <v>0</v>
      </c>
      <c r="T119" s="164"/>
      <c r="U119" s="164"/>
      <c r="V119" s="168">
        <v>0</v>
      </c>
      <c r="W119" s="169">
        <v>0</v>
      </c>
      <c r="X119" s="170">
        <v>1</v>
      </c>
      <c r="Y119" s="165"/>
      <c r="Z119" s="171"/>
      <c r="AA119" s="97">
        <v>0</v>
      </c>
      <c r="AB119" s="172">
        <v>0</v>
      </c>
      <c r="AC119" s="123"/>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row>
    <row r="120" spans="1:56" outlineLevel="2">
      <c r="A120" s="116"/>
      <c r="B120" s="116"/>
      <c r="C120" s="116">
        <v>3</v>
      </c>
      <c r="D120" s="3" t="s">
        <v>1104</v>
      </c>
      <c r="E120" s="163"/>
      <c r="F120" s="163"/>
      <c r="G120" s="216" t="s">
        <v>1086</v>
      </c>
      <c r="H120" s="163"/>
      <c r="I120" s="163"/>
      <c r="J120" s="163"/>
      <c r="K120" s="163"/>
      <c r="L120" s="163"/>
      <c r="M120" s="164"/>
      <c r="N120" s="164"/>
      <c r="O120" s="165"/>
      <c r="P120" s="166">
        <v>0</v>
      </c>
      <c r="Q120" s="166">
        <v>0</v>
      </c>
      <c r="R120" s="167">
        <v>1</v>
      </c>
      <c r="S120" s="167">
        <v>0</v>
      </c>
      <c r="T120" s="164"/>
      <c r="U120" s="164"/>
      <c r="V120" s="168">
        <v>0</v>
      </c>
      <c r="W120" s="169">
        <v>0</v>
      </c>
      <c r="X120" s="170">
        <v>1</v>
      </c>
      <c r="Y120" s="165"/>
      <c r="Z120" s="171"/>
      <c r="AA120" s="97">
        <v>0</v>
      </c>
      <c r="AB120" s="172">
        <v>0</v>
      </c>
      <c r="AC120" s="123"/>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row>
    <row r="121" spans="1:56" outlineLevel="2">
      <c r="A121" s="116"/>
      <c r="B121" s="116"/>
      <c r="C121" s="116">
        <v>3</v>
      </c>
      <c r="D121" s="3" t="s">
        <v>1105</v>
      </c>
      <c r="E121" s="163"/>
      <c r="F121" s="163"/>
      <c r="G121" s="217" t="s">
        <v>1087</v>
      </c>
      <c r="H121" s="163"/>
      <c r="I121" s="163"/>
      <c r="J121" s="163"/>
      <c r="K121" s="163"/>
      <c r="L121" s="163"/>
      <c r="M121" s="164"/>
      <c r="N121" s="164"/>
      <c r="O121" s="165"/>
      <c r="P121" s="166">
        <v>0</v>
      </c>
      <c r="Q121" s="166">
        <v>0</v>
      </c>
      <c r="R121" s="167">
        <v>1</v>
      </c>
      <c r="S121" s="167">
        <v>0</v>
      </c>
      <c r="T121" s="164">
        <v>43330</v>
      </c>
      <c r="U121" s="164">
        <v>43334</v>
      </c>
      <c r="V121" s="168">
        <v>0</v>
      </c>
      <c r="W121" s="169">
        <v>3</v>
      </c>
      <c r="X121" s="170">
        <v>1</v>
      </c>
      <c r="Y121" s="165"/>
      <c r="Z121" s="171"/>
      <c r="AA121" s="97">
        <v>0</v>
      </c>
      <c r="AB121" s="172">
        <v>0</v>
      </c>
      <c r="AC121" s="123"/>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row>
    <row r="122" spans="1:56" outlineLevel="2">
      <c r="A122" s="116"/>
      <c r="B122" s="116"/>
      <c r="C122" s="116">
        <v>3</v>
      </c>
      <c r="D122" s="3" t="s">
        <v>1106</v>
      </c>
      <c r="E122" s="163"/>
      <c r="F122" s="163"/>
      <c r="G122" s="216" t="s">
        <v>1088</v>
      </c>
      <c r="H122" s="163"/>
      <c r="I122" s="163"/>
      <c r="J122" s="163"/>
      <c r="K122" s="163"/>
      <c r="L122" s="163"/>
      <c r="M122" s="164"/>
      <c r="N122" s="164"/>
      <c r="O122" s="165"/>
      <c r="P122" s="166">
        <v>0</v>
      </c>
      <c r="Q122" s="166">
        <v>0</v>
      </c>
      <c r="R122" s="167">
        <v>1</v>
      </c>
      <c r="S122" s="167">
        <v>0</v>
      </c>
      <c r="T122" s="164"/>
      <c r="U122" s="164"/>
      <c r="V122" s="168">
        <v>0</v>
      </c>
      <c r="W122" s="169">
        <v>0</v>
      </c>
      <c r="X122" s="170">
        <v>1</v>
      </c>
      <c r="Y122" s="165"/>
      <c r="Z122" s="171"/>
      <c r="AA122" s="97">
        <v>0</v>
      </c>
      <c r="AB122" s="172">
        <v>0</v>
      </c>
      <c r="AC122" s="123"/>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row>
    <row r="123" spans="1:56" ht="11.45" customHeight="1">
      <c r="A123" s="173"/>
      <c r="B123" s="173"/>
      <c r="C123" s="173"/>
      <c r="D123" s="218"/>
      <c r="E123" s="175"/>
      <c r="F123" s="175"/>
      <c r="G123" s="175"/>
      <c r="H123" s="175"/>
      <c r="I123" s="175"/>
      <c r="J123" s="175"/>
      <c r="K123" s="175"/>
      <c r="L123" s="175"/>
      <c r="M123" s="176"/>
      <c r="N123" s="176"/>
      <c r="O123" s="177"/>
      <c r="P123" s="178"/>
      <c r="Q123" s="178"/>
      <c r="R123" s="179"/>
      <c r="S123" s="179"/>
      <c r="T123" s="176"/>
      <c r="U123" s="176"/>
      <c r="V123" s="180"/>
      <c r="W123" s="181"/>
      <c r="X123" s="182"/>
      <c r="Y123" s="177"/>
      <c r="Z123" s="183"/>
      <c r="AA123" s="184"/>
      <c r="AB123" s="185"/>
      <c r="AC123" s="162"/>
      <c r="AD123" s="162"/>
      <c r="AE123" s="162"/>
      <c r="AF123" s="162"/>
      <c r="AG123" s="162"/>
      <c r="AH123" s="162"/>
      <c r="AI123" s="162"/>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row>
    <row r="124" spans="1:56">
      <c r="A124" s="116"/>
      <c r="B124" s="116"/>
      <c r="C124" s="116"/>
      <c r="D124" s="215"/>
      <c r="E124" s="163"/>
      <c r="F124" s="163"/>
      <c r="G124" s="163"/>
      <c r="H124" s="163"/>
      <c r="I124" s="163"/>
      <c r="J124" s="163"/>
      <c r="K124" s="163"/>
      <c r="L124" s="163"/>
      <c r="M124" s="164"/>
      <c r="N124" s="164"/>
      <c r="O124" s="165"/>
      <c r="P124" s="166"/>
      <c r="Q124" s="166"/>
      <c r="R124" s="167"/>
      <c r="S124" s="167"/>
      <c r="T124" s="164"/>
      <c r="U124" s="164"/>
      <c r="V124" s="168"/>
      <c r="W124" s="169"/>
      <c r="X124" s="170"/>
      <c r="Y124" s="165"/>
      <c r="Z124" s="171"/>
      <c r="AA124" s="97"/>
      <c r="AB124" s="172"/>
    </row>
    <row r="125" spans="1:56">
      <c r="A125" s="173"/>
      <c r="B125" s="173"/>
      <c r="C125" s="173"/>
      <c r="D125" s="218"/>
      <c r="E125" s="175"/>
      <c r="F125" s="175"/>
      <c r="G125" s="175"/>
      <c r="H125" s="175"/>
      <c r="I125" s="175"/>
      <c r="J125" s="175"/>
      <c r="K125" s="175"/>
      <c r="L125" s="175"/>
      <c r="M125" s="176"/>
      <c r="N125" s="176"/>
      <c r="O125" s="177"/>
      <c r="P125" s="178"/>
      <c r="Q125" s="178"/>
      <c r="R125" s="179"/>
      <c r="S125" s="179"/>
      <c r="T125" s="176"/>
      <c r="U125" s="176"/>
      <c r="V125" s="180"/>
      <c r="W125" s="181"/>
      <c r="X125" s="182"/>
      <c r="Y125" s="177"/>
      <c r="Z125" s="183"/>
      <c r="AA125" s="184"/>
      <c r="AB125" s="185"/>
    </row>
    <row r="126" spans="1:56">
      <c r="A126" s="116"/>
      <c r="B126" s="116"/>
      <c r="C126" s="116"/>
      <c r="D126" s="215"/>
      <c r="E126" s="163"/>
      <c r="F126" s="163"/>
      <c r="G126" s="163"/>
      <c r="H126" s="163"/>
      <c r="I126" s="163"/>
      <c r="J126" s="163"/>
      <c r="K126" s="163"/>
      <c r="L126" s="163"/>
      <c r="M126" s="164"/>
      <c r="N126" s="164"/>
      <c r="O126" s="165"/>
      <c r="P126" s="166"/>
      <c r="Q126" s="166"/>
      <c r="R126" s="167"/>
      <c r="S126" s="167"/>
      <c r="T126" s="164"/>
      <c r="U126" s="164"/>
      <c r="V126" s="168"/>
      <c r="W126" s="169"/>
      <c r="X126" s="170"/>
      <c r="Y126" s="165"/>
      <c r="Z126" s="171"/>
      <c r="AA126" s="97"/>
      <c r="AB126" s="172"/>
    </row>
    <row r="127" spans="1:56">
      <c r="A127" s="116"/>
      <c r="B127" s="116"/>
      <c r="C127" s="116"/>
      <c r="D127" s="215"/>
      <c r="E127" s="163"/>
      <c r="F127" s="163"/>
      <c r="G127" s="163"/>
      <c r="H127" s="163"/>
      <c r="I127" s="163"/>
      <c r="J127" s="163"/>
      <c r="K127" s="163"/>
      <c r="L127" s="163"/>
      <c r="M127" s="164"/>
      <c r="N127" s="164"/>
      <c r="O127" s="165"/>
      <c r="P127" s="166"/>
      <c r="Q127" s="166"/>
      <c r="R127" s="167"/>
      <c r="S127" s="167"/>
      <c r="T127" s="164"/>
      <c r="U127" s="164"/>
      <c r="V127" s="168"/>
      <c r="W127" s="169"/>
      <c r="X127" s="170"/>
      <c r="Y127" s="165"/>
      <c r="Z127" s="171"/>
      <c r="AA127" s="97"/>
      <c r="AB127" s="172"/>
    </row>
    <row r="128" spans="1:56">
      <c r="A128" s="116"/>
      <c r="B128" s="116"/>
      <c r="C128" s="116"/>
      <c r="D128" s="215"/>
      <c r="E128" s="163"/>
      <c r="F128" s="163"/>
      <c r="G128" s="163"/>
      <c r="H128" s="163"/>
      <c r="I128" s="163"/>
      <c r="J128" s="163"/>
      <c r="K128" s="163"/>
      <c r="L128" s="163"/>
      <c r="M128" s="164"/>
      <c r="N128" s="164"/>
      <c r="O128" s="165"/>
      <c r="P128" s="166"/>
      <c r="Q128" s="166"/>
      <c r="R128" s="167"/>
      <c r="S128" s="167"/>
      <c r="T128" s="164"/>
      <c r="U128" s="164"/>
      <c r="V128" s="168"/>
      <c r="W128" s="169"/>
      <c r="X128" s="170"/>
      <c r="Y128" s="165"/>
      <c r="Z128" s="171"/>
      <c r="AA128" s="97"/>
      <c r="AB128" s="172"/>
    </row>
    <row r="129" spans="1:28">
      <c r="A129" s="116"/>
      <c r="B129" s="116"/>
      <c r="C129" s="116"/>
      <c r="D129" s="215"/>
      <c r="E129" s="163"/>
      <c r="F129" s="163"/>
      <c r="G129" s="163"/>
      <c r="H129" s="163"/>
      <c r="I129" s="163"/>
      <c r="J129" s="163"/>
      <c r="K129" s="163"/>
      <c r="L129" s="163"/>
      <c r="M129" s="164"/>
      <c r="N129" s="164"/>
      <c r="O129" s="165"/>
      <c r="P129" s="166"/>
      <c r="Q129" s="166"/>
      <c r="R129" s="167"/>
      <c r="S129" s="167"/>
      <c r="T129" s="164"/>
      <c r="U129" s="164"/>
      <c r="V129" s="168"/>
      <c r="W129" s="169"/>
      <c r="X129" s="170"/>
      <c r="Y129" s="165"/>
      <c r="Z129" s="171"/>
      <c r="AA129" s="97"/>
      <c r="AB129" s="172"/>
    </row>
    <row r="130" spans="1:28">
      <c r="A130" s="116"/>
      <c r="B130" s="116"/>
      <c r="C130" s="116"/>
      <c r="D130" s="215"/>
      <c r="E130" s="163"/>
      <c r="F130" s="163"/>
      <c r="G130" s="163"/>
      <c r="H130" s="163"/>
      <c r="I130" s="163"/>
      <c r="J130" s="163"/>
      <c r="K130" s="163"/>
      <c r="L130" s="163"/>
      <c r="M130" s="164"/>
      <c r="N130" s="164"/>
      <c r="O130" s="165"/>
      <c r="P130" s="166"/>
      <c r="Q130" s="166"/>
      <c r="R130" s="167"/>
      <c r="S130" s="167"/>
      <c r="T130" s="164"/>
      <c r="U130" s="164"/>
      <c r="V130" s="168"/>
      <c r="W130" s="169"/>
      <c r="X130" s="170"/>
      <c r="Y130" s="165"/>
      <c r="Z130" s="171"/>
      <c r="AA130" s="97"/>
      <c r="AB130" s="172"/>
    </row>
    <row r="131" spans="1:28">
      <c r="A131" s="116"/>
      <c r="B131" s="116"/>
      <c r="C131" s="116"/>
      <c r="D131" s="215"/>
      <c r="E131" s="163"/>
      <c r="F131" s="163"/>
      <c r="G131" s="163"/>
      <c r="H131" s="163"/>
      <c r="I131" s="163"/>
      <c r="J131" s="163"/>
      <c r="K131" s="163"/>
      <c r="L131" s="163"/>
      <c r="M131" s="164"/>
      <c r="N131" s="164"/>
      <c r="O131" s="165"/>
      <c r="P131" s="166"/>
      <c r="Q131" s="166"/>
      <c r="R131" s="167"/>
      <c r="S131" s="167"/>
      <c r="T131" s="164"/>
      <c r="U131" s="164"/>
      <c r="V131" s="168"/>
      <c r="W131" s="169"/>
      <c r="X131" s="170"/>
      <c r="Y131" s="165"/>
      <c r="Z131" s="171"/>
      <c r="AA131" s="97"/>
      <c r="AB131" s="172"/>
    </row>
    <row r="132" spans="1:28">
      <c r="A132" s="116"/>
      <c r="B132" s="116"/>
      <c r="C132" s="116"/>
      <c r="D132" s="215"/>
      <c r="E132" s="163"/>
      <c r="F132" s="163"/>
      <c r="G132" s="163"/>
      <c r="H132" s="163"/>
      <c r="I132" s="163"/>
      <c r="J132" s="163"/>
      <c r="K132" s="163"/>
      <c r="L132" s="163"/>
      <c r="M132" s="164"/>
      <c r="N132" s="164"/>
      <c r="O132" s="165"/>
      <c r="P132" s="166"/>
      <c r="Q132" s="166"/>
      <c r="R132" s="167"/>
      <c r="S132" s="167"/>
      <c r="T132" s="164"/>
      <c r="U132" s="164"/>
      <c r="V132" s="168"/>
      <c r="W132" s="169"/>
      <c r="X132" s="170"/>
      <c r="Y132" s="165"/>
      <c r="Z132" s="171"/>
      <c r="AA132" s="97"/>
      <c r="AB132" s="172"/>
    </row>
    <row r="133" spans="1:28">
      <c r="A133" s="116"/>
      <c r="B133" s="116"/>
      <c r="C133" s="116"/>
      <c r="D133" s="215"/>
      <c r="E133" s="163"/>
      <c r="F133" s="163"/>
      <c r="G133" s="163"/>
      <c r="H133" s="163"/>
      <c r="I133" s="163"/>
      <c r="J133" s="163"/>
      <c r="K133" s="163"/>
      <c r="L133" s="163"/>
      <c r="M133" s="164"/>
      <c r="N133" s="164"/>
      <c r="O133" s="165"/>
      <c r="P133" s="166"/>
      <c r="Q133" s="166"/>
      <c r="R133" s="167"/>
      <c r="S133" s="167"/>
      <c r="T133" s="164"/>
      <c r="U133" s="164"/>
      <c r="V133" s="168"/>
      <c r="W133" s="169"/>
      <c r="X133" s="170"/>
      <c r="Y133" s="165"/>
      <c r="Z133" s="171"/>
      <c r="AA133" s="97"/>
      <c r="AB133" s="172"/>
    </row>
    <row r="134" spans="1:28">
      <c r="A134" s="116"/>
      <c r="B134" s="116"/>
      <c r="C134" s="116"/>
      <c r="D134" s="215"/>
      <c r="E134" s="163"/>
      <c r="F134" s="163"/>
      <c r="G134" s="163"/>
      <c r="H134" s="163"/>
      <c r="I134" s="163"/>
      <c r="J134" s="163"/>
      <c r="K134" s="163"/>
      <c r="L134" s="163"/>
      <c r="M134" s="164"/>
      <c r="N134" s="164"/>
      <c r="O134" s="165"/>
      <c r="P134" s="166"/>
      <c r="Q134" s="166"/>
      <c r="R134" s="167"/>
      <c r="S134" s="167"/>
      <c r="T134" s="164"/>
      <c r="U134" s="164"/>
      <c r="V134" s="168"/>
      <c r="W134" s="169"/>
      <c r="X134" s="170"/>
      <c r="Y134" s="165"/>
      <c r="Z134" s="171"/>
      <c r="AA134" s="97"/>
      <c r="AB134" s="172"/>
    </row>
    <row r="135" spans="1:28">
      <c r="A135" s="116"/>
      <c r="B135" s="116"/>
      <c r="C135" s="116"/>
      <c r="D135" s="215"/>
      <c r="E135" s="163"/>
      <c r="F135" s="163"/>
      <c r="G135" s="163"/>
      <c r="H135" s="163"/>
      <c r="I135" s="163"/>
      <c r="J135" s="163"/>
      <c r="K135" s="163"/>
      <c r="L135" s="163"/>
      <c r="M135" s="164"/>
      <c r="N135" s="164"/>
      <c r="O135" s="165"/>
      <c r="P135" s="166"/>
      <c r="Q135" s="166"/>
      <c r="R135" s="167"/>
      <c r="S135" s="167"/>
      <c r="T135" s="164"/>
      <c r="U135" s="164"/>
      <c r="V135" s="168"/>
      <c r="W135" s="169"/>
      <c r="X135" s="170"/>
      <c r="Y135" s="165"/>
      <c r="Z135" s="171"/>
      <c r="AA135" s="97"/>
      <c r="AB135" s="172"/>
    </row>
    <row r="136" spans="1:28">
      <c r="A136" s="116"/>
      <c r="B136" s="116"/>
      <c r="C136" s="116"/>
      <c r="D136" s="215"/>
      <c r="E136" s="163"/>
      <c r="F136" s="163"/>
      <c r="G136" s="163"/>
      <c r="H136" s="163"/>
      <c r="I136" s="163"/>
      <c r="J136" s="163"/>
      <c r="K136" s="163"/>
      <c r="L136" s="163"/>
      <c r="M136" s="164"/>
      <c r="N136" s="164"/>
      <c r="O136" s="165"/>
      <c r="P136" s="166"/>
      <c r="Q136" s="166"/>
      <c r="R136" s="167"/>
      <c r="S136" s="167"/>
      <c r="T136" s="164"/>
      <c r="U136" s="164"/>
      <c r="V136" s="168"/>
      <c r="W136" s="169"/>
      <c r="X136" s="170"/>
      <c r="Y136" s="165"/>
      <c r="Z136" s="171"/>
      <c r="AA136" s="97"/>
      <c r="AB136" s="172"/>
    </row>
    <row r="137" spans="1:28">
      <c r="A137" s="116"/>
      <c r="B137" s="116"/>
      <c r="C137" s="116"/>
      <c r="D137" s="215"/>
      <c r="E137" s="163"/>
      <c r="F137" s="163"/>
      <c r="G137" s="163"/>
      <c r="H137" s="163"/>
      <c r="I137" s="163"/>
      <c r="J137" s="163"/>
      <c r="K137" s="163"/>
      <c r="L137" s="163"/>
      <c r="M137" s="164"/>
      <c r="N137" s="164"/>
      <c r="O137" s="165"/>
      <c r="P137" s="166"/>
      <c r="Q137" s="166"/>
      <c r="R137" s="167"/>
      <c r="S137" s="167"/>
      <c r="T137" s="164"/>
      <c r="U137" s="164"/>
      <c r="V137" s="168"/>
      <c r="W137" s="169"/>
      <c r="X137" s="170"/>
      <c r="Y137" s="165"/>
      <c r="Z137" s="171"/>
      <c r="AA137" s="97"/>
      <c r="AB137" s="172"/>
    </row>
    <row r="138" spans="1:28">
      <c r="A138" s="116"/>
      <c r="B138" s="116"/>
      <c r="C138" s="116"/>
      <c r="D138" s="215"/>
      <c r="E138" s="163"/>
      <c r="F138" s="163"/>
      <c r="G138" s="163"/>
      <c r="H138" s="163"/>
      <c r="I138" s="163"/>
      <c r="J138" s="163"/>
      <c r="K138" s="163"/>
      <c r="L138" s="163"/>
      <c r="M138" s="164"/>
      <c r="N138" s="164"/>
      <c r="O138" s="165"/>
      <c r="P138" s="166"/>
      <c r="Q138" s="166"/>
      <c r="R138" s="167"/>
      <c r="S138" s="167"/>
      <c r="T138" s="164"/>
      <c r="U138" s="164"/>
      <c r="V138" s="168"/>
      <c r="W138" s="169"/>
      <c r="X138" s="170"/>
      <c r="Y138" s="165"/>
      <c r="Z138" s="171"/>
      <c r="AA138" s="97"/>
      <c r="AB138" s="172"/>
    </row>
    <row r="139" spans="1:28">
      <c r="A139" s="116"/>
      <c r="B139" s="116"/>
      <c r="C139" s="116"/>
      <c r="D139" s="215"/>
      <c r="E139" s="163"/>
      <c r="F139" s="163"/>
      <c r="G139" s="163"/>
      <c r="H139" s="163"/>
      <c r="I139" s="163"/>
      <c r="J139" s="163"/>
      <c r="K139" s="163"/>
      <c r="L139" s="163"/>
      <c r="M139" s="164"/>
      <c r="N139" s="164"/>
      <c r="O139" s="165"/>
      <c r="P139" s="166"/>
      <c r="Q139" s="166"/>
      <c r="R139" s="167"/>
      <c r="S139" s="167"/>
      <c r="T139" s="164"/>
      <c r="U139" s="164"/>
      <c r="V139" s="168"/>
      <c r="W139" s="169"/>
      <c r="X139" s="170"/>
      <c r="Y139" s="165"/>
      <c r="Z139" s="171"/>
      <c r="AA139" s="97"/>
      <c r="AB139" s="172"/>
    </row>
    <row r="140" spans="1:28">
      <c r="A140" s="116"/>
      <c r="B140" s="116"/>
      <c r="C140" s="116"/>
      <c r="D140" s="215"/>
      <c r="E140" s="163"/>
      <c r="F140" s="163"/>
      <c r="G140" s="163"/>
      <c r="H140" s="163"/>
      <c r="I140" s="163"/>
      <c r="J140" s="163"/>
      <c r="K140" s="163"/>
      <c r="L140" s="163"/>
      <c r="M140" s="164"/>
      <c r="N140" s="164"/>
      <c r="O140" s="165"/>
      <c r="P140" s="166"/>
      <c r="Q140" s="166"/>
      <c r="R140" s="167"/>
      <c r="S140" s="167"/>
      <c r="T140" s="164"/>
      <c r="U140" s="164"/>
      <c r="V140" s="168"/>
      <c r="W140" s="169"/>
      <c r="X140" s="170"/>
      <c r="Y140" s="165"/>
      <c r="Z140" s="171"/>
      <c r="AA140" s="97"/>
      <c r="AB140" s="172"/>
    </row>
    <row r="141" spans="1:28">
      <c r="A141" s="116"/>
      <c r="B141" s="116"/>
      <c r="C141" s="116"/>
      <c r="D141" s="215"/>
      <c r="E141" s="163"/>
      <c r="F141" s="163"/>
      <c r="G141" s="163"/>
      <c r="H141" s="163"/>
      <c r="I141" s="163"/>
      <c r="J141" s="163"/>
      <c r="K141" s="163"/>
      <c r="L141" s="163"/>
      <c r="M141" s="164"/>
      <c r="N141" s="164"/>
      <c r="O141" s="165"/>
      <c r="P141" s="166"/>
      <c r="Q141" s="166"/>
      <c r="R141" s="167"/>
      <c r="S141" s="167"/>
      <c r="T141" s="164"/>
      <c r="U141" s="164"/>
      <c r="V141" s="168"/>
      <c r="W141" s="169"/>
      <c r="X141" s="170"/>
      <c r="Y141" s="165"/>
      <c r="Z141" s="171"/>
      <c r="AA141" s="97"/>
      <c r="AB141" s="172"/>
    </row>
    <row r="142" spans="1:28">
      <c r="A142" s="116"/>
      <c r="B142" s="116"/>
      <c r="C142" s="116"/>
      <c r="D142" s="215"/>
      <c r="E142" s="163"/>
      <c r="F142" s="163"/>
      <c r="G142" s="163"/>
      <c r="H142" s="163"/>
      <c r="I142" s="163"/>
      <c r="J142" s="163"/>
      <c r="K142" s="163"/>
      <c r="L142" s="163"/>
      <c r="M142" s="164"/>
      <c r="N142" s="164"/>
      <c r="O142" s="165"/>
      <c r="P142" s="166"/>
      <c r="Q142" s="166"/>
      <c r="R142" s="167"/>
      <c r="S142" s="167"/>
      <c r="T142" s="164"/>
      <c r="U142" s="164"/>
      <c r="V142" s="168"/>
      <c r="W142" s="169"/>
      <c r="X142" s="170"/>
      <c r="Y142" s="165"/>
      <c r="Z142" s="171"/>
      <c r="AA142" s="97"/>
      <c r="AB142" s="172"/>
    </row>
    <row r="143" spans="1:28">
      <c r="A143" s="116"/>
      <c r="B143" s="116"/>
      <c r="C143" s="116"/>
      <c r="D143" s="215"/>
      <c r="E143" s="163"/>
      <c r="F143" s="163"/>
      <c r="G143" s="163"/>
      <c r="H143" s="163"/>
      <c r="I143" s="163"/>
      <c r="J143" s="163"/>
      <c r="K143" s="163"/>
      <c r="L143" s="163"/>
      <c r="M143" s="164"/>
      <c r="N143" s="164"/>
      <c r="O143" s="165"/>
      <c r="P143" s="166"/>
      <c r="Q143" s="166"/>
      <c r="R143" s="167"/>
      <c r="S143" s="167"/>
      <c r="T143" s="164"/>
      <c r="U143" s="164"/>
      <c r="V143" s="168"/>
      <c r="W143" s="169"/>
      <c r="X143" s="170"/>
      <c r="Y143" s="165"/>
      <c r="Z143" s="171"/>
      <c r="AA143" s="97"/>
      <c r="AB143" s="172"/>
    </row>
    <row r="144" spans="1:28">
      <c r="A144" s="116"/>
      <c r="B144" s="116"/>
      <c r="C144" s="116"/>
      <c r="D144" s="215"/>
      <c r="E144" s="163"/>
      <c r="F144" s="163"/>
      <c r="G144" s="163"/>
      <c r="H144" s="163"/>
      <c r="I144" s="163"/>
      <c r="J144" s="163"/>
      <c r="K144" s="163"/>
      <c r="L144" s="163"/>
      <c r="M144" s="164"/>
      <c r="N144" s="164"/>
      <c r="O144" s="165"/>
      <c r="P144" s="166"/>
      <c r="Q144" s="166"/>
      <c r="R144" s="167"/>
      <c r="S144" s="167"/>
      <c r="T144" s="164"/>
      <c r="U144" s="164"/>
      <c r="V144" s="168"/>
      <c r="W144" s="169"/>
      <c r="X144" s="170"/>
      <c r="Y144" s="165"/>
      <c r="Z144" s="171"/>
      <c r="AA144" s="97"/>
      <c r="AB144" s="172"/>
    </row>
    <row r="145" spans="1:28">
      <c r="A145" s="116"/>
      <c r="B145" s="116"/>
      <c r="C145" s="116"/>
      <c r="D145" s="215"/>
      <c r="E145" s="163"/>
      <c r="F145" s="163"/>
      <c r="G145" s="163"/>
      <c r="H145" s="163"/>
      <c r="I145" s="163"/>
      <c r="J145" s="163"/>
      <c r="K145" s="163"/>
      <c r="L145" s="163"/>
      <c r="M145" s="164"/>
      <c r="N145" s="164"/>
      <c r="O145" s="165"/>
      <c r="P145" s="166"/>
      <c r="Q145" s="166"/>
      <c r="R145" s="167"/>
      <c r="S145" s="167"/>
      <c r="T145" s="164"/>
      <c r="U145" s="164"/>
      <c r="V145" s="168"/>
      <c r="W145" s="169"/>
      <c r="X145" s="170"/>
      <c r="Y145" s="165"/>
      <c r="Z145" s="171"/>
      <c r="AA145" s="97"/>
      <c r="AB145" s="172"/>
    </row>
    <row r="146" spans="1:28">
      <c r="A146" s="116"/>
      <c r="B146" s="116"/>
      <c r="C146" s="116"/>
      <c r="D146" s="186"/>
      <c r="E146" s="163"/>
      <c r="F146" s="163"/>
      <c r="G146" s="163"/>
      <c r="H146" s="163"/>
      <c r="I146" s="163"/>
      <c r="J146" s="163"/>
      <c r="K146" s="163"/>
      <c r="L146" s="163"/>
      <c r="M146" s="164"/>
      <c r="N146" s="164"/>
      <c r="O146" s="165"/>
      <c r="P146" s="166"/>
      <c r="Q146" s="166"/>
      <c r="R146" s="167"/>
      <c r="S146" s="167"/>
      <c r="T146" s="164"/>
      <c r="U146" s="164"/>
      <c r="V146" s="168"/>
      <c r="W146" s="169"/>
      <c r="X146" s="170"/>
      <c r="Y146" s="165"/>
      <c r="Z146" s="171"/>
      <c r="AA146" s="97"/>
      <c r="AB146" s="172"/>
    </row>
    <row r="147" spans="1:28">
      <c r="A147" s="116"/>
      <c r="B147" s="116"/>
      <c r="C147" s="116"/>
      <c r="D147" s="186"/>
      <c r="E147" s="163"/>
      <c r="F147" s="163"/>
      <c r="G147" s="163"/>
      <c r="H147" s="163"/>
      <c r="I147" s="163"/>
      <c r="J147" s="163"/>
      <c r="K147" s="163"/>
      <c r="L147" s="163"/>
      <c r="M147" s="164"/>
      <c r="N147" s="164"/>
      <c r="O147" s="165"/>
      <c r="P147" s="166"/>
      <c r="Q147" s="166"/>
      <c r="R147" s="167"/>
      <c r="S147" s="167"/>
      <c r="T147" s="164"/>
      <c r="U147" s="164"/>
      <c r="V147" s="168"/>
      <c r="W147" s="169"/>
      <c r="X147" s="170"/>
      <c r="Y147" s="165"/>
      <c r="Z147" s="171"/>
      <c r="AA147" s="97"/>
      <c r="AB147" s="172"/>
    </row>
    <row r="148" spans="1:28">
      <c r="A148" s="116"/>
      <c r="B148" s="116"/>
      <c r="C148" s="116"/>
      <c r="D148" s="186"/>
      <c r="E148" s="163"/>
      <c r="F148" s="163"/>
      <c r="G148" s="163"/>
      <c r="H148" s="163"/>
      <c r="I148" s="163"/>
      <c r="J148" s="163"/>
      <c r="K148" s="163"/>
      <c r="L148" s="163"/>
      <c r="M148" s="164"/>
      <c r="N148" s="164"/>
      <c r="O148" s="165"/>
      <c r="P148" s="166"/>
      <c r="Q148" s="166"/>
      <c r="R148" s="167"/>
      <c r="S148" s="167"/>
      <c r="T148" s="164"/>
      <c r="U148" s="164"/>
      <c r="V148" s="168"/>
      <c r="W148" s="169"/>
      <c r="X148" s="170"/>
      <c r="Y148" s="165"/>
      <c r="Z148" s="171"/>
      <c r="AA148" s="97"/>
      <c r="AB148" s="172"/>
    </row>
    <row r="149" spans="1:28">
      <c r="A149" s="116"/>
      <c r="B149" s="116"/>
      <c r="C149" s="116"/>
      <c r="D149" s="215"/>
      <c r="E149" s="163"/>
      <c r="F149" s="163"/>
      <c r="G149" s="163"/>
      <c r="H149" s="163"/>
      <c r="I149" s="163"/>
      <c r="J149" s="163"/>
      <c r="K149" s="163"/>
      <c r="L149" s="163"/>
      <c r="M149" s="164"/>
      <c r="N149" s="164"/>
      <c r="O149" s="165"/>
      <c r="P149" s="166"/>
      <c r="Q149" s="166"/>
      <c r="R149" s="167"/>
      <c r="S149" s="167"/>
      <c r="T149" s="164"/>
      <c r="U149" s="164"/>
      <c r="V149" s="168"/>
      <c r="W149" s="169"/>
      <c r="X149" s="170"/>
      <c r="Y149" s="165"/>
      <c r="Z149" s="171"/>
      <c r="AA149" s="97"/>
      <c r="AB149" s="172"/>
    </row>
    <row r="150" spans="1:28">
      <c r="A150" s="116"/>
      <c r="B150" s="116"/>
      <c r="C150" s="116"/>
      <c r="D150" s="215"/>
      <c r="E150" s="163"/>
      <c r="F150" s="163"/>
      <c r="G150" s="163"/>
      <c r="H150" s="163"/>
      <c r="I150" s="163"/>
      <c r="J150" s="163"/>
      <c r="K150" s="163"/>
      <c r="L150" s="163"/>
      <c r="M150" s="164"/>
      <c r="N150" s="164"/>
      <c r="O150" s="165"/>
      <c r="P150" s="166"/>
      <c r="Q150" s="166"/>
      <c r="R150" s="167"/>
      <c r="S150" s="167"/>
      <c r="T150" s="164"/>
      <c r="U150" s="164"/>
      <c r="V150" s="168"/>
      <c r="W150" s="169"/>
      <c r="X150" s="170"/>
      <c r="Y150" s="165"/>
      <c r="Z150" s="171"/>
      <c r="AA150" s="97"/>
      <c r="AB150" s="172"/>
    </row>
    <row r="151" spans="1:28">
      <c r="A151" s="116"/>
      <c r="B151" s="116"/>
      <c r="C151" s="116"/>
      <c r="D151" s="215"/>
      <c r="E151" s="163"/>
      <c r="F151" s="163"/>
      <c r="G151" s="163"/>
      <c r="H151" s="163"/>
      <c r="I151" s="163"/>
      <c r="J151" s="163"/>
      <c r="K151" s="163"/>
      <c r="L151" s="163"/>
      <c r="M151" s="164"/>
      <c r="N151" s="164"/>
      <c r="O151" s="165"/>
      <c r="P151" s="166"/>
      <c r="Q151" s="166"/>
      <c r="R151" s="167"/>
      <c r="S151" s="167"/>
      <c r="T151" s="164"/>
      <c r="U151" s="164"/>
      <c r="V151" s="168"/>
      <c r="W151" s="169"/>
      <c r="X151" s="170"/>
      <c r="Y151" s="165"/>
      <c r="Z151" s="171"/>
      <c r="AA151" s="97"/>
      <c r="AB151" s="172"/>
    </row>
    <row r="152" spans="1:28">
      <c r="A152" s="116"/>
      <c r="B152" s="116"/>
      <c r="C152" s="116"/>
      <c r="D152" s="215"/>
      <c r="E152" s="163"/>
      <c r="F152" s="163"/>
      <c r="G152" s="163"/>
      <c r="H152" s="163"/>
      <c r="I152" s="163"/>
      <c r="J152" s="163"/>
      <c r="K152" s="163"/>
      <c r="L152" s="163"/>
      <c r="M152" s="164"/>
      <c r="N152" s="164"/>
      <c r="O152" s="165"/>
      <c r="P152" s="166"/>
      <c r="Q152" s="166"/>
      <c r="R152" s="167"/>
      <c r="S152" s="167"/>
      <c r="T152" s="164"/>
      <c r="U152" s="164"/>
      <c r="V152" s="168"/>
      <c r="W152" s="169"/>
      <c r="X152" s="170"/>
      <c r="Y152" s="165"/>
      <c r="Z152" s="171"/>
      <c r="AA152" s="97"/>
      <c r="AB152" s="172"/>
    </row>
    <row r="153" spans="1:28">
      <c r="A153" s="116"/>
      <c r="B153" s="116"/>
      <c r="C153" s="116"/>
      <c r="D153" s="215"/>
      <c r="E153" s="163"/>
      <c r="F153" s="163"/>
      <c r="G153" s="163"/>
      <c r="H153" s="163"/>
      <c r="I153" s="163"/>
      <c r="J153" s="163"/>
      <c r="K153" s="163"/>
      <c r="L153" s="163"/>
      <c r="M153" s="164"/>
      <c r="N153" s="164"/>
      <c r="O153" s="165"/>
      <c r="P153" s="166"/>
      <c r="Q153" s="166"/>
      <c r="R153" s="167"/>
      <c r="S153" s="167"/>
      <c r="T153" s="164"/>
      <c r="U153" s="164"/>
      <c r="V153" s="168"/>
      <c r="W153" s="169"/>
      <c r="X153" s="170"/>
      <c r="Y153" s="165"/>
      <c r="Z153" s="171"/>
      <c r="AA153" s="97"/>
      <c r="AB153" s="172"/>
    </row>
    <row r="154" spans="1:28">
      <c r="A154" s="116"/>
      <c r="B154" s="116"/>
      <c r="C154" s="116"/>
      <c r="D154" s="215"/>
      <c r="E154" s="163"/>
      <c r="F154" s="163"/>
      <c r="G154" s="163"/>
      <c r="H154" s="163"/>
      <c r="I154" s="163"/>
      <c r="J154" s="163"/>
      <c r="K154" s="163"/>
      <c r="L154" s="163"/>
      <c r="M154" s="164"/>
      <c r="N154" s="164"/>
      <c r="O154" s="165"/>
      <c r="P154" s="166"/>
      <c r="Q154" s="166"/>
      <c r="R154" s="167"/>
      <c r="S154" s="167"/>
      <c r="T154" s="164"/>
      <c r="U154" s="164"/>
      <c r="V154" s="168"/>
      <c r="W154" s="169"/>
      <c r="X154" s="170"/>
      <c r="Y154" s="165"/>
      <c r="Z154" s="171"/>
      <c r="AA154" s="97"/>
      <c r="AB154" s="172"/>
    </row>
    <row r="155" spans="1:28">
      <c r="A155" s="116"/>
      <c r="B155" s="116"/>
      <c r="C155" s="116"/>
      <c r="D155" s="215"/>
      <c r="E155" s="163"/>
      <c r="F155" s="163"/>
      <c r="G155" s="163"/>
      <c r="H155" s="163"/>
      <c r="I155" s="163"/>
      <c r="J155" s="163"/>
      <c r="K155" s="163"/>
      <c r="L155" s="163"/>
      <c r="M155" s="164"/>
      <c r="N155" s="164"/>
      <c r="O155" s="165"/>
      <c r="P155" s="166"/>
      <c r="Q155" s="166"/>
      <c r="R155" s="167"/>
      <c r="S155" s="167"/>
      <c r="T155" s="164"/>
      <c r="U155" s="164"/>
      <c r="V155" s="168"/>
      <c r="W155" s="169"/>
      <c r="X155" s="170"/>
      <c r="Y155" s="165"/>
      <c r="Z155" s="171"/>
      <c r="AA155" s="97"/>
      <c r="AB155" s="172"/>
    </row>
    <row r="156" spans="1:28">
      <c r="A156" s="116"/>
      <c r="B156" s="116"/>
      <c r="C156" s="116"/>
      <c r="D156" s="215"/>
      <c r="E156" s="163"/>
      <c r="F156" s="163"/>
      <c r="G156" s="163"/>
      <c r="H156" s="163"/>
      <c r="I156" s="163"/>
      <c r="J156" s="163"/>
      <c r="K156" s="163"/>
      <c r="L156" s="163"/>
      <c r="M156" s="164"/>
      <c r="N156" s="164"/>
      <c r="O156" s="165"/>
      <c r="P156" s="166"/>
      <c r="Q156" s="166"/>
      <c r="R156" s="167"/>
      <c r="S156" s="167"/>
      <c r="T156" s="164"/>
      <c r="U156" s="164"/>
      <c r="V156" s="168"/>
      <c r="W156" s="169"/>
      <c r="X156" s="170"/>
      <c r="Y156" s="165"/>
      <c r="Z156" s="171"/>
      <c r="AA156" s="97"/>
      <c r="AB156" s="172"/>
    </row>
    <row r="157" spans="1:28">
      <c r="A157" s="116"/>
      <c r="B157" s="116"/>
      <c r="C157" s="116"/>
      <c r="D157" s="215"/>
      <c r="E157" s="163"/>
      <c r="F157" s="163"/>
      <c r="G157" s="163"/>
      <c r="H157" s="163"/>
      <c r="I157" s="163"/>
      <c r="J157" s="163"/>
      <c r="K157" s="163"/>
      <c r="L157" s="163"/>
      <c r="M157" s="164"/>
      <c r="N157" s="164"/>
      <c r="O157" s="165"/>
      <c r="P157" s="166"/>
      <c r="Q157" s="166"/>
      <c r="R157" s="167"/>
      <c r="S157" s="167"/>
      <c r="T157" s="164"/>
      <c r="U157" s="164"/>
      <c r="V157" s="168"/>
      <c r="W157" s="169"/>
      <c r="X157" s="170"/>
      <c r="Y157" s="165"/>
      <c r="Z157" s="171"/>
      <c r="AA157" s="97"/>
      <c r="AB157" s="172"/>
    </row>
    <row r="158" spans="1:28">
      <c r="A158" s="116"/>
      <c r="B158" s="116"/>
      <c r="C158" s="116"/>
      <c r="D158" s="215"/>
      <c r="E158" s="163"/>
      <c r="F158" s="163"/>
      <c r="G158" s="163"/>
      <c r="H158" s="163"/>
      <c r="I158" s="163"/>
      <c r="J158" s="163"/>
      <c r="K158" s="163"/>
      <c r="L158" s="163"/>
      <c r="M158" s="164"/>
      <c r="N158" s="164"/>
      <c r="O158" s="165"/>
      <c r="P158" s="166"/>
      <c r="Q158" s="166"/>
      <c r="R158" s="167"/>
      <c r="S158" s="167"/>
      <c r="T158" s="164"/>
      <c r="U158" s="164"/>
      <c r="V158" s="168"/>
      <c r="W158" s="169"/>
      <c r="X158" s="170"/>
      <c r="Y158" s="165"/>
      <c r="Z158" s="171"/>
      <c r="AA158" s="97"/>
      <c r="AB158" s="172"/>
    </row>
    <row r="159" spans="1:28">
      <c r="A159" s="116"/>
      <c r="B159" s="116"/>
      <c r="C159" s="116"/>
      <c r="D159" s="215"/>
      <c r="E159" s="163"/>
      <c r="F159" s="163"/>
      <c r="G159" s="163"/>
      <c r="H159" s="163"/>
      <c r="I159" s="163"/>
      <c r="J159" s="163"/>
      <c r="K159" s="163"/>
      <c r="L159" s="163"/>
      <c r="M159" s="164"/>
      <c r="N159" s="164"/>
      <c r="O159" s="165"/>
      <c r="P159" s="166"/>
      <c r="Q159" s="166"/>
      <c r="R159" s="167"/>
      <c r="S159" s="167"/>
      <c r="T159" s="164"/>
      <c r="U159" s="164"/>
      <c r="V159" s="168"/>
      <c r="W159" s="169"/>
      <c r="X159" s="170"/>
      <c r="Y159" s="165"/>
      <c r="Z159" s="171"/>
      <c r="AA159" s="97"/>
      <c r="AB159" s="172"/>
    </row>
    <row r="160" spans="1:28">
      <c r="A160" s="116"/>
      <c r="B160" s="116"/>
      <c r="C160" s="116"/>
      <c r="D160" s="215"/>
      <c r="E160" s="163"/>
      <c r="F160" s="163"/>
      <c r="G160" s="163"/>
      <c r="H160" s="163"/>
      <c r="I160" s="163"/>
      <c r="J160" s="163"/>
      <c r="K160" s="163"/>
      <c r="L160" s="163"/>
      <c r="M160" s="164"/>
      <c r="N160" s="164"/>
      <c r="O160" s="165"/>
      <c r="P160" s="166"/>
      <c r="Q160" s="166"/>
      <c r="R160" s="167"/>
      <c r="S160" s="167"/>
      <c r="T160" s="164"/>
      <c r="U160" s="164"/>
      <c r="V160" s="168"/>
      <c r="W160" s="169"/>
      <c r="X160" s="170"/>
      <c r="Y160" s="165"/>
      <c r="Z160" s="171"/>
      <c r="AA160" s="97"/>
      <c r="AB160" s="172"/>
    </row>
    <row r="161" spans="1:28">
      <c r="A161" s="116"/>
      <c r="B161" s="116"/>
      <c r="C161" s="116"/>
      <c r="D161" s="186"/>
      <c r="E161" s="163"/>
      <c r="F161" s="163"/>
      <c r="G161" s="163"/>
      <c r="H161" s="163"/>
      <c r="I161" s="163"/>
      <c r="J161" s="163"/>
      <c r="K161" s="163"/>
      <c r="L161" s="163"/>
      <c r="M161" s="164"/>
      <c r="N161" s="164"/>
      <c r="O161" s="165"/>
      <c r="P161" s="166"/>
      <c r="Q161" s="166"/>
      <c r="R161" s="167"/>
      <c r="S161" s="167"/>
      <c r="T161" s="164"/>
      <c r="U161" s="164"/>
      <c r="V161" s="168"/>
      <c r="W161" s="169"/>
      <c r="X161" s="170"/>
      <c r="Y161" s="165"/>
      <c r="Z161" s="171"/>
      <c r="AA161" s="97"/>
      <c r="AB161" s="172"/>
    </row>
    <row r="162" spans="1:28">
      <c r="A162" s="116"/>
      <c r="B162" s="116"/>
      <c r="C162" s="116"/>
      <c r="D162" s="186"/>
      <c r="E162" s="163"/>
      <c r="F162" s="163"/>
      <c r="G162" s="163"/>
      <c r="H162" s="163"/>
      <c r="I162" s="163"/>
      <c r="J162" s="163"/>
      <c r="K162" s="163"/>
      <c r="L162" s="163"/>
      <c r="M162" s="164"/>
      <c r="N162" s="164"/>
      <c r="O162" s="165"/>
      <c r="P162" s="166"/>
      <c r="Q162" s="166"/>
      <c r="R162" s="167"/>
      <c r="S162" s="167"/>
      <c r="T162" s="164"/>
      <c r="U162" s="164"/>
      <c r="V162" s="168"/>
      <c r="W162" s="169"/>
      <c r="X162" s="170"/>
      <c r="Y162" s="165"/>
      <c r="Z162" s="171"/>
      <c r="AA162" s="97"/>
      <c r="AB162" s="172"/>
    </row>
    <row r="163" spans="1:28">
      <c r="A163" s="116"/>
      <c r="B163" s="116"/>
      <c r="C163" s="116"/>
      <c r="D163" s="215"/>
      <c r="E163" s="163"/>
      <c r="F163" s="163"/>
      <c r="G163" s="163"/>
      <c r="H163" s="163"/>
      <c r="I163" s="163"/>
      <c r="J163" s="163"/>
      <c r="K163" s="163"/>
      <c r="L163" s="163"/>
      <c r="M163" s="164"/>
      <c r="N163" s="164"/>
      <c r="O163" s="165"/>
      <c r="P163" s="166"/>
      <c r="Q163" s="166"/>
      <c r="R163" s="167"/>
      <c r="S163" s="167"/>
      <c r="T163" s="164"/>
      <c r="U163" s="164"/>
      <c r="V163" s="168"/>
      <c r="W163" s="169"/>
      <c r="X163" s="170"/>
      <c r="Y163" s="165"/>
      <c r="Z163" s="171"/>
      <c r="AA163" s="97"/>
      <c r="AB163" s="172"/>
    </row>
    <row r="164" spans="1:28">
      <c r="A164" s="116"/>
      <c r="B164" s="116"/>
      <c r="C164" s="116"/>
      <c r="D164" s="215"/>
      <c r="E164" s="163"/>
      <c r="F164" s="163"/>
      <c r="G164" s="163"/>
      <c r="H164" s="163"/>
      <c r="I164" s="163"/>
      <c r="J164" s="163"/>
      <c r="K164" s="163"/>
      <c r="L164" s="163"/>
      <c r="M164" s="164"/>
      <c r="N164" s="164"/>
      <c r="O164" s="165"/>
      <c r="P164" s="166"/>
      <c r="Q164" s="166"/>
      <c r="R164" s="167"/>
      <c r="S164" s="167"/>
      <c r="T164" s="164"/>
      <c r="U164" s="164"/>
      <c r="V164" s="168"/>
      <c r="W164" s="169"/>
      <c r="X164" s="170"/>
      <c r="Y164" s="165"/>
      <c r="Z164" s="171"/>
      <c r="AA164" s="97"/>
      <c r="AB164" s="172"/>
    </row>
    <row r="165" spans="1:28">
      <c r="A165" s="116"/>
      <c r="B165" s="116"/>
      <c r="C165" s="116"/>
      <c r="D165" s="215"/>
      <c r="E165" s="163"/>
      <c r="F165" s="163"/>
      <c r="G165" s="163"/>
      <c r="H165" s="163"/>
      <c r="I165" s="163"/>
      <c r="J165" s="163"/>
      <c r="K165" s="163"/>
      <c r="L165" s="163"/>
      <c r="M165" s="164"/>
      <c r="N165" s="164"/>
      <c r="O165" s="165"/>
      <c r="P165" s="166"/>
      <c r="Q165" s="166"/>
      <c r="R165" s="167"/>
      <c r="S165" s="167"/>
      <c r="T165" s="164"/>
      <c r="U165" s="164"/>
      <c r="V165" s="168"/>
      <c r="W165" s="169"/>
      <c r="X165" s="170"/>
      <c r="Y165" s="165"/>
      <c r="Z165" s="171"/>
      <c r="AA165" s="97"/>
      <c r="AB165" s="172"/>
    </row>
    <row r="166" spans="1:28">
      <c r="A166" s="173"/>
      <c r="B166" s="173"/>
      <c r="C166" s="190"/>
      <c r="D166" s="150"/>
      <c r="E166" s="191"/>
      <c r="F166" s="175"/>
      <c r="G166" s="175"/>
      <c r="H166" s="175"/>
      <c r="I166" s="175"/>
      <c r="J166" s="175"/>
      <c r="K166" s="175"/>
      <c r="L166" s="175"/>
      <c r="M166" s="176"/>
      <c r="N166" s="176"/>
      <c r="O166" s="177"/>
      <c r="P166" s="178"/>
      <c r="Q166" s="178"/>
      <c r="R166" s="179"/>
      <c r="S166" s="179"/>
      <c r="T166" s="176"/>
      <c r="U166" s="176"/>
      <c r="V166" s="180"/>
      <c r="W166" s="181"/>
      <c r="X166" s="182"/>
      <c r="Y166" s="177"/>
      <c r="Z166" s="183"/>
      <c r="AA166" s="184"/>
      <c r="AB166" s="185"/>
    </row>
    <row r="167" spans="1:28">
      <c r="A167" s="116"/>
      <c r="B167" s="116"/>
      <c r="C167" s="189"/>
      <c r="D167" s="192"/>
      <c r="E167" s="188"/>
      <c r="F167" s="163"/>
      <c r="G167" s="163"/>
      <c r="H167" s="163"/>
      <c r="I167" s="163"/>
      <c r="J167" s="163"/>
      <c r="K167" s="163"/>
      <c r="L167" s="163"/>
      <c r="M167" s="164"/>
      <c r="N167" s="164"/>
      <c r="O167" s="165"/>
      <c r="P167" s="166"/>
      <c r="Q167" s="166"/>
      <c r="R167" s="167"/>
      <c r="S167" s="167"/>
      <c r="T167" s="164"/>
      <c r="U167" s="164"/>
      <c r="V167" s="168"/>
      <c r="W167" s="169"/>
      <c r="X167" s="170"/>
      <c r="Y167" s="165"/>
      <c r="Z167" s="171"/>
      <c r="AA167" s="97"/>
      <c r="AB167" s="172"/>
    </row>
    <row r="168" spans="1:28">
      <c r="A168" s="116"/>
      <c r="B168" s="116"/>
      <c r="C168" s="189"/>
      <c r="D168" s="192"/>
      <c r="E168" s="188"/>
      <c r="F168" s="163"/>
      <c r="G168" s="163"/>
      <c r="H168" s="163"/>
      <c r="I168" s="163"/>
      <c r="J168" s="163"/>
      <c r="K168" s="163"/>
      <c r="L168" s="163"/>
      <c r="M168" s="164"/>
      <c r="N168" s="164"/>
      <c r="O168" s="165"/>
      <c r="P168" s="166"/>
      <c r="Q168" s="166"/>
      <c r="R168" s="167"/>
      <c r="S168" s="167"/>
      <c r="T168" s="164"/>
      <c r="U168" s="164"/>
      <c r="V168" s="168"/>
      <c r="W168" s="169"/>
      <c r="X168" s="170"/>
      <c r="Y168" s="165"/>
      <c r="Z168" s="171"/>
      <c r="AA168" s="97"/>
      <c r="AB168" s="172"/>
    </row>
    <row r="169" spans="1:28">
      <c r="A169" s="116"/>
      <c r="B169" s="116"/>
      <c r="C169" s="116"/>
      <c r="D169" s="174"/>
      <c r="E169" s="163"/>
      <c r="F169" s="163"/>
      <c r="G169" s="163"/>
      <c r="H169" s="163"/>
      <c r="I169" s="163"/>
      <c r="J169" s="163"/>
      <c r="K169" s="163"/>
      <c r="L169" s="163"/>
      <c r="M169" s="164"/>
      <c r="N169" s="164"/>
      <c r="O169" s="165"/>
      <c r="P169" s="166"/>
      <c r="Q169" s="166"/>
      <c r="R169" s="167"/>
      <c r="S169" s="167"/>
      <c r="T169" s="164"/>
      <c r="U169" s="164"/>
      <c r="V169" s="168"/>
      <c r="W169" s="169"/>
      <c r="X169" s="170"/>
      <c r="Y169" s="165"/>
      <c r="Z169" s="171"/>
      <c r="AA169" s="97"/>
      <c r="AB169" s="172"/>
    </row>
    <row r="170" spans="1:28">
      <c r="A170" s="116"/>
      <c r="B170" s="116"/>
      <c r="C170" s="116"/>
      <c r="D170" s="3"/>
      <c r="E170" s="163"/>
      <c r="F170" s="163"/>
      <c r="G170" s="163"/>
      <c r="H170" s="163"/>
      <c r="I170" s="163"/>
      <c r="J170" s="163"/>
      <c r="K170" s="163"/>
      <c r="L170" s="163"/>
      <c r="M170" s="164"/>
      <c r="N170" s="164"/>
      <c r="O170" s="165"/>
      <c r="P170" s="166"/>
      <c r="Q170" s="166"/>
      <c r="R170" s="167"/>
      <c r="S170" s="167"/>
      <c r="T170" s="164"/>
      <c r="U170" s="164"/>
      <c r="V170" s="168"/>
      <c r="W170" s="169"/>
      <c r="X170" s="170"/>
      <c r="Y170" s="165"/>
      <c r="Z170" s="171"/>
      <c r="AA170" s="97"/>
      <c r="AB170" s="172"/>
    </row>
    <row r="171" spans="1:28">
      <c r="A171" s="116"/>
      <c r="B171" s="116"/>
      <c r="C171" s="116"/>
      <c r="D171" s="3"/>
      <c r="E171" s="163"/>
      <c r="F171" s="163"/>
      <c r="G171" s="163"/>
      <c r="H171" s="163"/>
      <c r="I171" s="163"/>
      <c r="J171" s="163"/>
      <c r="K171" s="163"/>
      <c r="L171" s="163"/>
      <c r="M171" s="164"/>
      <c r="N171" s="164"/>
      <c r="O171" s="165"/>
      <c r="P171" s="166"/>
      <c r="Q171" s="166"/>
      <c r="R171" s="167"/>
      <c r="S171" s="167"/>
      <c r="T171" s="164"/>
      <c r="U171" s="164"/>
      <c r="V171" s="168"/>
      <c r="W171" s="169"/>
      <c r="X171" s="170"/>
      <c r="Y171" s="165"/>
      <c r="Z171" s="171"/>
      <c r="AA171" s="97"/>
      <c r="AB171" s="172"/>
    </row>
    <row r="172" spans="1:28">
      <c r="A172" s="116"/>
      <c r="B172" s="116"/>
      <c r="C172" s="116"/>
      <c r="D172" s="3"/>
      <c r="E172" s="163"/>
      <c r="F172" s="163"/>
      <c r="G172" s="163"/>
      <c r="H172" s="163"/>
      <c r="I172" s="163"/>
      <c r="J172" s="163"/>
      <c r="K172" s="163"/>
      <c r="L172" s="163"/>
      <c r="M172" s="164"/>
      <c r="N172" s="164"/>
      <c r="O172" s="165"/>
      <c r="P172" s="166"/>
      <c r="Q172" s="166"/>
      <c r="R172" s="167"/>
      <c r="S172" s="167"/>
      <c r="T172" s="164"/>
      <c r="U172" s="164"/>
      <c r="V172" s="168"/>
      <c r="W172" s="169"/>
      <c r="X172" s="170"/>
      <c r="Y172" s="165"/>
      <c r="Z172" s="171"/>
      <c r="AA172" s="97"/>
      <c r="AB172" s="172"/>
    </row>
    <row r="173" spans="1:28">
      <c r="A173" s="116"/>
      <c r="B173" s="116"/>
      <c r="C173" s="116"/>
      <c r="D173" s="3"/>
      <c r="E173" s="163"/>
      <c r="F173" s="163"/>
      <c r="G173" s="163"/>
      <c r="H173" s="163"/>
      <c r="I173" s="163"/>
      <c r="J173" s="163"/>
      <c r="K173" s="163"/>
      <c r="L173" s="163"/>
      <c r="M173" s="164"/>
      <c r="N173" s="164"/>
      <c r="O173" s="165"/>
      <c r="P173" s="166"/>
      <c r="Q173" s="166"/>
      <c r="R173" s="167"/>
      <c r="S173" s="167"/>
      <c r="T173" s="164"/>
      <c r="U173" s="164"/>
      <c r="V173" s="168"/>
      <c r="W173" s="169"/>
      <c r="X173" s="170"/>
      <c r="Y173" s="165"/>
      <c r="Z173" s="171"/>
      <c r="AA173" s="97"/>
      <c r="AB173" s="172"/>
    </row>
    <row r="174" spans="1:28">
      <c r="A174" s="116"/>
      <c r="B174" s="116"/>
      <c r="C174" s="116"/>
      <c r="D174" s="3"/>
      <c r="E174" s="163"/>
      <c r="F174" s="163"/>
      <c r="G174" s="163"/>
      <c r="H174" s="163"/>
      <c r="I174" s="163"/>
      <c r="J174" s="163"/>
      <c r="K174" s="163"/>
      <c r="L174" s="163"/>
      <c r="M174" s="164"/>
      <c r="N174" s="164"/>
      <c r="O174" s="165"/>
      <c r="P174" s="166"/>
      <c r="Q174" s="166"/>
      <c r="R174" s="167"/>
      <c r="S174" s="167"/>
      <c r="T174" s="164"/>
      <c r="U174" s="164"/>
      <c r="V174" s="168"/>
      <c r="W174" s="169"/>
      <c r="X174" s="170"/>
      <c r="Y174" s="165"/>
      <c r="Z174" s="171"/>
      <c r="AA174" s="97"/>
      <c r="AB174" s="172"/>
    </row>
    <row r="175" spans="1:28">
      <c r="A175" s="116"/>
      <c r="B175" s="116"/>
      <c r="C175" s="116"/>
      <c r="D175" s="3"/>
      <c r="E175" s="163"/>
      <c r="F175" s="163"/>
      <c r="G175" s="163"/>
      <c r="H175" s="163"/>
      <c r="I175" s="163"/>
      <c r="J175" s="163"/>
      <c r="K175" s="163"/>
      <c r="L175" s="163"/>
      <c r="M175" s="164"/>
      <c r="N175" s="164"/>
      <c r="O175" s="165"/>
      <c r="P175" s="166"/>
      <c r="Q175" s="166"/>
      <c r="R175" s="167"/>
      <c r="S175" s="167"/>
      <c r="T175" s="164"/>
      <c r="U175" s="164"/>
      <c r="V175" s="168"/>
      <c r="W175" s="169"/>
      <c r="X175" s="170"/>
      <c r="Y175" s="165"/>
      <c r="Z175" s="171"/>
      <c r="AA175" s="97"/>
      <c r="AB175" s="172"/>
    </row>
    <row r="176" spans="1:28">
      <c r="A176" s="116"/>
      <c r="B176" s="116"/>
      <c r="C176" s="116"/>
      <c r="D176" s="3"/>
      <c r="E176" s="163"/>
      <c r="F176" s="163"/>
      <c r="G176" s="163"/>
      <c r="H176" s="163"/>
      <c r="I176" s="163"/>
      <c r="J176" s="163"/>
      <c r="K176" s="163"/>
      <c r="L176" s="163"/>
      <c r="M176" s="164"/>
      <c r="N176" s="164"/>
      <c r="O176" s="165"/>
      <c r="P176" s="166"/>
      <c r="Q176" s="166"/>
      <c r="R176" s="167"/>
      <c r="S176" s="167"/>
      <c r="T176" s="164"/>
      <c r="U176" s="164"/>
      <c r="V176" s="168"/>
      <c r="W176" s="169"/>
      <c r="X176" s="170"/>
      <c r="Y176" s="165"/>
      <c r="Z176" s="171"/>
      <c r="AA176" s="97"/>
      <c r="AB176" s="172"/>
    </row>
    <row r="177" spans="1:28">
      <c r="A177" s="116"/>
      <c r="B177" s="116"/>
      <c r="C177" s="116"/>
      <c r="D177" s="3"/>
      <c r="E177" s="163"/>
      <c r="F177" s="163"/>
      <c r="G177" s="163"/>
      <c r="H177" s="163"/>
      <c r="I177" s="163"/>
      <c r="J177" s="163"/>
      <c r="K177" s="163"/>
      <c r="L177" s="163"/>
      <c r="M177" s="164"/>
      <c r="N177" s="164"/>
      <c r="O177" s="165"/>
      <c r="P177" s="166"/>
      <c r="Q177" s="166"/>
      <c r="R177" s="167"/>
      <c r="S177" s="167"/>
      <c r="T177" s="164"/>
      <c r="U177" s="164"/>
      <c r="V177" s="168"/>
      <c r="W177" s="169"/>
      <c r="X177" s="170"/>
      <c r="Y177" s="165"/>
      <c r="Z177" s="171"/>
      <c r="AA177" s="97"/>
      <c r="AB177" s="172"/>
    </row>
    <row r="178" spans="1:28">
      <c r="A178" s="116"/>
      <c r="B178" s="116"/>
      <c r="C178" s="116"/>
      <c r="D178" s="3"/>
      <c r="E178" s="163"/>
      <c r="F178" s="163"/>
      <c r="G178" s="163"/>
      <c r="H178" s="163"/>
      <c r="I178" s="163"/>
      <c r="J178" s="163"/>
      <c r="K178" s="163"/>
      <c r="L178" s="163"/>
      <c r="M178" s="164"/>
      <c r="N178" s="164"/>
      <c r="O178" s="165"/>
      <c r="P178" s="166"/>
      <c r="Q178" s="166"/>
      <c r="R178" s="167"/>
      <c r="S178" s="167"/>
      <c r="T178" s="164"/>
      <c r="U178" s="164"/>
      <c r="V178" s="168"/>
      <c r="W178" s="169"/>
      <c r="X178" s="170"/>
      <c r="Y178" s="165"/>
      <c r="Z178" s="171"/>
      <c r="AA178" s="97"/>
      <c r="AB178" s="172"/>
    </row>
    <row r="179" spans="1:28">
      <c r="A179" s="116"/>
      <c r="B179" s="116"/>
      <c r="C179" s="116"/>
      <c r="D179" s="3"/>
      <c r="E179" s="163"/>
      <c r="F179" s="163"/>
      <c r="G179" s="163"/>
      <c r="H179" s="163"/>
      <c r="I179" s="163"/>
      <c r="J179" s="163"/>
      <c r="K179" s="163"/>
      <c r="L179" s="163"/>
      <c r="M179" s="164"/>
      <c r="N179" s="164"/>
      <c r="O179" s="165"/>
      <c r="P179" s="166"/>
      <c r="Q179" s="166"/>
      <c r="R179" s="167"/>
      <c r="S179" s="167"/>
      <c r="T179" s="164"/>
      <c r="U179" s="164"/>
      <c r="V179" s="168"/>
      <c r="W179" s="169"/>
      <c r="X179" s="170"/>
      <c r="Y179" s="165"/>
      <c r="Z179" s="171"/>
      <c r="AA179" s="97"/>
      <c r="AB179" s="172"/>
    </row>
    <row r="180" spans="1:28">
      <c r="A180" s="116"/>
      <c r="B180" s="116"/>
      <c r="C180" s="116"/>
      <c r="D180" s="3"/>
      <c r="E180" s="163"/>
      <c r="F180" s="163"/>
      <c r="G180" s="163"/>
      <c r="H180" s="163"/>
      <c r="I180" s="163"/>
      <c r="J180" s="163"/>
      <c r="K180" s="163"/>
      <c r="L180" s="163"/>
      <c r="M180" s="164"/>
      <c r="N180" s="164"/>
      <c r="O180" s="165"/>
      <c r="P180" s="166"/>
      <c r="Q180" s="166"/>
      <c r="R180" s="167"/>
      <c r="S180" s="167"/>
      <c r="T180" s="164"/>
      <c r="U180" s="164"/>
      <c r="V180" s="168"/>
      <c r="W180" s="169"/>
      <c r="X180" s="170"/>
      <c r="Y180" s="165"/>
      <c r="Z180" s="171"/>
      <c r="AA180" s="97"/>
      <c r="AB180" s="172"/>
    </row>
    <row r="181" spans="1:28">
      <c r="A181" s="116"/>
      <c r="B181" s="116"/>
      <c r="C181" s="116"/>
      <c r="D181" s="3"/>
      <c r="E181" s="163"/>
      <c r="F181" s="163"/>
      <c r="G181" s="163"/>
      <c r="H181" s="163"/>
      <c r="I181" s="163"/>
      <c r="J181" s="163"/>
      <c r="K181" s="163"/>
      <c r="L181" s="163"/>
      <c r="M181" s="164"/>
      <c r="N181" s="164"/>
      <c r="O181" s="165"/>
      <c r="P181" s="166"/>
      <c r="Q181" s="166"/>
      <c r="R181" s="167"/>
      <c r="S181" s="167"/>
      <c r="T181" s="164"/>
      <c r="U181" s="164"/>
      <c r="V181" s="168"/>
      <c r="W181" s="169"/>
      <c r="X181" s="170"/>
      <c r="Y181" s="165"/>
      <c r="Z181" s="171"/>
      <c r="AA181" s="97"/>
      <c r="AB181" s="172"/>
    </row>
    <row r="182" spans="1:28">
      <c r="A182" s="116"/>
      <c r="B182" s="116"/>
      <c r="C182" s="116"/>
      <c r="D182" s="3"/>
      <c r="E182" s="163"/>
      <c r="F182" s="163"/>
      <c r="G182" s="163"/>
      <c r="H182" s="163"/>
      <c r="I182" s="163"/>
      <c r="J182" s="163"/>
      <c r="K182" s="163"/>
      <c r="L182" s="163"/>
      <c r="M182" s="164"/>
      <c r="N182" s="164"/>
      <c r="O182" s="165"/>
      <c r="P182" s="166"/>
      <c r="Q182" s="166"/>
      <c r="R182" s="167"/>
      <c r="S182" s="167"/>
      <c r="T182" s="164"/>
      <c r="U182" s="164"/>
      <c r="V182" s="168"/>
      <c r="W182" s="169"/>
      <c r="X182" s="170"/>
      <c r="Y182" s="165"/>
      <c r="Z182" s="171"/>
      <c r="AA182" s="97"/>
      <c r="AB182" s="172"/>
    </row>
    <row r="183" spans="1:28">
      <c r="A183" s="116"/>
      <c r="B183" s="116"/>
      <c r="C183" s="116"/>
      <c r="D183" s="3"/>
      <c r="E183" s="163"/>
      <c r="F183" s="163"/>
      <c r="G183" s="163"/>
      <c r="H183" s="163"/>
      <c r="I183" s="163"/>
      <c r="J183" s="163"/>
      <c r="K183" s="163"/>
      <c r="L183" s="163"/>
      <c r="M183" s="164"/>
      <c r="N183" s="164"/>
      <c r="O183" s="165"/>
      <c r="P183" s="166"/>
      <c r="Q183" s="166"/>
      <c r="R183" s="167"/>
      <c r="S183" s="167"/>
      <c r="T183" s="164"/>
      <c r="U183" s="164"/>
      <c r="V183" s="168"/>
      <c r="W183" s="169"/>
      <c r="X183" s="170"/>
      <c r="Y183" s="165"/>
      <c r="Z183" s="171"/>
      <c r="AA183" s="97"/>
      <c r="AB183" s="172"/>
    </row>
    <row r="184" spans="1:28">
      <c r="A184" s="116"/>
      <c r="B184" s="116"/>
      <c r="C184" s="116"/>
      <c r="D184" s="3"/>
      <c r="E184" s="163"/>
      <c r="F184" s="163"/>
      <c r="G184" s="163"/>
      <c r="H184" s="163"/>
      <c r="I184" s="163"/>
      <c r="J184" s="163"/>
      <c r="K184" s="163"/>
      <c r="L184" s="163"/>
      <c r="M184" s="164"/>
      <c r="N184" s="164"/>
      <c r="O184" s="165"/>
      <c r="P184" s="166"/>
      <c r="Q184" s="166"/>
      <c r="R184" s="167"/>
      <c r="S184" s="167"/>
      <c r="T184" s="164"/>
      <c r="U184" s="164"/>
      <c r="V184" s="168"/>
      <c r="W184" s="169"/>
      <c r="X184" s="170"/>
      <c r="Y184" s="165"/>
      <c r="Z184" s="171"/>
      <c r="AA184" s="97"/>
      <c r="AB184" s="172"/>
    </row>
    <row r="185" spans="1:28">
      <c r="A185" s="116"/>
      <c r="B185" s="116"/>
      <c r="C185" s="116"/>
      <c r="D185" s="3"/>
      <c r="E185" s="163"/>
      <c r="F185" s="163"/>
      <c r="G185" s="163"/>
      <c r="H185" s="163"/>
      <c r="I185" s="163"/>
      <c r="J185" s="163"/>
      <c r="K185" s="163"/>
      <c r="L185" s="163"/>
      <c r="M185" s="164"/>
      <c r="N185" s="164"/>
      <c r="O185" s="165"/>
      <c r="P185" s="166"/>
      <c r="Q185" s="166"/>
      <c r="R185" s="167"/>
      <c r="S185" s="167"/>
      <c r="T185" s="164"/>
      <c r="U185" s="164"/>
      <c r="V185" s="168"/>
      <c r="W185" s="169"/>
      <c r="X185" s="170"/>
      <c r="Y185" s="165"/>
      <c r="Z185" s="171"/>
      <c r="AA185" s="97"/>
      <c r="AB185" s="172"/>
    </row>
    <row r="186" spans="1:28">
      <c r="A186" s="116"/>
      <c r="B186" s="116"/>
      <c r="C186" s="116"/>
      <c r="D186" s="3"/>
      <c r="E186" s="163"/>
      <c r="F186" s="163"/>
      <c r="G186" s="163"/>
      <c r="H186" s="163"/>
      <c r="I186" s="163"/>
      <c r="J186" s="163"/>
      <c r="K186" s="163"/>
      <c r="L186" s="163"/>
      <c r="M186" s="164"/>
      <c r="N186" s="164"/>
      <c r="O186" s="165"/>
      <c r="P186" s="166"/>
      <c r="Q186" s="166"/>
      <c r="R186" s="167"/>
      <c r="S186" s="167"/>
      <c r="T186" s="164"/>
      <c r="U186" s="164"/>
      <c r="V186" s="168"/>
      <c r="W186" s="169"/>
      <c r="X186" s="170"/>
      <c r="Y186" s="165"/>
      <c r="Z186" s="171"/>
      <c r="AA186" s="97"/>
      <c r="AB186" s="172"/>
    </row>
    <row r="187" spans="1:28">
      <c r="A187" s="116"/>
      <c r="B187" s="116"/>
      <c r="C187" s="116"/>
      <c r="D187" s="3"/>
      <c r="E187" s="163"/>
      <c r="F187" s="163"/>
      <c r="G187" s="163"/>
      <c r="H187" s="163"/>
      <c r="I187" s="163"/>
      <c r="J187" s="163"/>
      <c r="K187" s="163"/>
      <c r="L187" s="163"/>
      <c r="M187" s="164"/>
      <c r="N187" s="164"/>
      <c r="O187" s="165"/>
      <c r="P187" s="166"/>
      <c r="Q187" s="166"/>
      <c r="R187" s="167"/>
      <c r="S187" s="167"/>
      <c r="T187" s="164"/>
      <c r="U187" s="164"/>
      <c r="V187" s="168"/>
      <c r="W187" s="169"/>
      <c r="X187" s="170"/>
      <c r="Y187" s="165"/>
      <c r="Z187" s="171"/>
      <c r="AA187" s="97"/>
      <c r="AB187" s="172"/>
    </row>
    <row r="188" spans="1:28">
      <c r="A188" s="116"/>
      <c r="B188" s="116"/>
      <c r="C188" s="116"/>
      <c r="D188" s="3"/>
      <c r="E188" s="163"/>
      <c r="F188" s="163"/>
      <c r="G188" s="163"/>
      <c r="H188" s="163"/>
      <c r="I188" s="163"/>
      <c r="J188" s="163"/>
      <c r="K188" s="163"/>
      <c r="L188" s="163"/>
      <c r="M188" s="164"/>
      <c r="N188" s="164"/>
      <c r="O188" s="165"/>
      <c r="P188" s="166"/>
      <c r="Q188" s="166"/>
      <c r="R188" s="167"/>
      <c r="S188" s="167"/>
      <c r="T188" s="164"/>
      <c r="U188" s="164"/>
      <c r="V188" s="168"/>
      <c r="W188" s="169"/>
      <c r="X188" s="170"/>
      <c r="Y188" s="165"/>
      <c r="Z188" s="171"/>
      <c r="AA188" s="97"/>
      <c r="AB188" s="172"/>
    </row>
    <row r="189" spans="1:28">
      <c r="A189" s="116"/>
      <c r="B189" s="116"/>
      <c r="C189" s="116"/>
      <c r="D189" s="3"/>
      <c r="E189" s="163"/>
      <c r="F189" s="163"/>
      <c r="G189" s="163"/>
      <c r="H189" s="163"/>
      <c r="I189" s="163"/>
      <c r="J189" s="163"/>
      <c r="K189" s="163"/>
      <c r="L189" s="163"/>
      <c r="M189" s="164"/>
      <c r="N189" s="164"/>
      <c r="O189" s="165"/>
      <c r="P189" s="166"/>
      <c r="Q189" s="166"/>
      <c r="R189" s="167"/>
      <c r="S189" s="167"/>
      <c r="T189" s="164"/>
      <c r="U189" s="164"/>
      <c r="V189" s="168"/>
      <c r="W189" s="169"/>
      <c r="X189" s="170"/>
      <c r="Y189" s="165"/>
      <c r="Z189" s="171"/>
      <c r="AA189" s="97"/>
      <c r="AB189" s="172"/>
    </row>
    <row r="190" spans="1:28">
      <c r="A190" s="116"/>
      <c r="B190" s="116"/>
      <c r="C190" s="116"/>
      <c r="D190" s="3"/>
      <c r="E190" s="163"/>
      <c r="F190" s="163"/>
      <c r="G190" s="163"/>
      <c r="H190" s="163"/>
      <c r="I190" s="163"/>
      <c r="J190" s="163"/>
      <c r="K190" s="163"/>
      <c r="L190" s="163"/>
      <c r="M190" s="164"/>
      <c r="N190" s="164"/>
      <c r="O190" s="165"/>
      <c r="P190" s="166"/>
      <c r="Q190" s="166"/>
      <c r="R190" s="167"/>
      <c r="S190" s="167"/>
      <c r="T190" s="164"/>
      <c r="U190" s="164"/>
      <c r="V190" s="168"/>
      <c r="W190" s="169"/>
      <c r="X190" s="170"/>
      <c r="Y190" s="165"/>
      <c r="Z190" s="171"/>
      <c r="AA190" s="97"/>
      <c r="AB190" s="172"/>
    </row>
    <row r="191" spans="1:28">
      <c r="A191" s="116"/>
      <c r="B191" s="116"/>
      <c r="C191" s="116"/>
      <c r="D191" s="3"/>
      <c r="E191" s="163"/>
      <c r="F191" s="163"/>
      <c r="G191" s="163"/>
      <c r="H191" s="163"/>
      <c r="I191" s="163"/>
      <c r="J191" s="163"/>
      <c r="K191" s="163"/>
      <c r="L191" s="163"/>
      <c r="M191" s="164"/>
      <c r="N191" s="164"/>
      <c r="O191" s="165"/>
      <c r="P191" s="166"/>
      <c r="Q191" s="166"/>
      <c r="R191" s="167"/>
      <c r="S191" s="167"/>
      <c r="T191" s="164"/>
      <c r="U191" s="164"/>
      <c r="V191" s="168"/>
      <c r="W191" s="169"/>
      <c r="X191" s="170"/>
      <c r="Y191" s="165"/>
      <c r="Z191" s="171"/>
      <c r="AA191" s="97"/>
      <c r="AB191" s="172"/>
    </row>
    <row r="192" spans="1:28">
      <c r="A192" s="116"/>
      <c r="B192" s="116"/>
      <c r="C192" s="116"/>
      <c r="D192" s="3"/>
      <c r="E192" s="163"/>
      <c r="F192" s="163"/>
      <c r="G192" s="163"/>
      <c r="H192" s="163"/>
      <c r="I192" s="163"/>
      <c r="J192" s="163"/>
      <c r="K192" s="163"/>
      <c r="L192" s="163"/>
      <c r="M192" s="164"/>
      <c r="N192" s="164"/>
      <c r="O192" s="165"/>
      <c r="P192" s="166"/>
      <c r="Q192" s="166"/>
      <c r="R192" s="167"/>
      <c r="S192" s="167"/>
      <c r="T192" s="164"/>
      <c r="U192" s="164"/>
      <c r="V192" s="168"/>
      <c r="W192" s="169"/>
      <c r="X192" s="170"/>
      <c r="Y192" s="165"/>
      <c r="Z192" s="171"/>
      <c r="AA192" s="97"/>
      <c r="AB192" s="172"/>
    </row>
    <row r="193" spans="1:28">
      <c r="A193" s="116"/>
      <c r="B193" s="116"/>
      <c r="C193" s="116"/>
      <c r="D193" s="3"/>
      <c r="E193" s="163"/>
      <c r="F193" s="163"/>
      <c r="G193" s="163"/>
      <c r="H193" s="163"/>
      <c r="I193" s="163"/>
      <c r="J193" s="163"/>
      <c r="K193" s="163"/>
      <c r="L193" s="163"/>
      <c r="M193" s="164"/>
      <c r="N193" s="164"/>
      <c r="O193" s="165"/>
      <c r="P193" s="166"/>
      <c r="Q193" s="166"/>
      <c r="R193" s="167"/>
      <c r="S193" s="167"/>
      <c r="T193" s="164"/>
      <c r="U193" s="164"/>
      <c r="V193" s="168"/>
      <c r="W193" s="169"/>
      <c r="X193" s="170"/>
      <c r="Y193" s="165"/>
      <c r="Z193" s="171"/>
      <c r="AA193" s="97"/>
      <c r="AB193" s="172"/>
    </row>
    <row r="194" spans="1:28">
      <c r="A194" s="116"/>
      <c r="B194" s="116"/>
      <c r="C194" s="116"/>
      <c r="D194" s="3"/>
      <c r="E194" s="163"/>
      <c r="F194" s="163"/>
      <c r="G194" s="163"/>
      <c r="H194" s="163"/>
      <c r="I194" s="163"/>
      <c r="J194" s="163"/>
      <c r="K194" s="163"/>
      <c r="L194" s="163"/>
      <c r="M194" s="164"/>
      <c r="N194" s="164"/>
      <c r="O194" s="165"/>
      <c r="P194" s="166"/>
      <c r="Q194" s="166"/>
      <c r="R194" s="167"/>
      <c r="S194" s="167"/>
      <c r="T194" s="164"/>
      <c r="U194" s="164"/>
      <c r="V194" s="168"/>
      <c r="W194" s="169"/>
      <c r="X194" s="170"/>
      <c r="Y194" s="165"/>
      <c r="Z194" s="171"/>
      <c r="AA194" s="97"/>
      <c r="AB194" s="172"/>
    </row>
    <row r="195" spans="1:28">
      <c r="A195" s="116"/>
      <c r="B195" s="116"/>
      <c r="C195" s="116"/>
      <c r="D195" s="3"/>
      <c r="E195" s="163"/>
      <c r="F195" s="163"/>
      <c r="G195" s="163"/>
      <c r="H195" s="163"/>
      <c r="I195" s="163"/>
      <c r="J195" s="163"/>
      <c r="K195" s="163"/>
      <c r="L195" s="163"/>
      <c r="M195" s="164"/>
      <c r="N195" s="164"/>
      <c r="O195" s="165"/>
      <c r="P195" s="166"/>
      <c r="Q195" s="166"/>
      <c r="R195" s="167"/>
      <c r="S195" s="167"/>
      <c r="T195" s="164"/>
      <c r="U195" s="164"/>
      <c r="V195" s="168"/>
      <c r="W195" s="169"/>
      <c r="X195" s="170"/>
      <c r="Y195" s="165"/>
      <c r="Z195" s="171"/>
      <c r="AA195" s="97"/>
      <c r="AB195" s="172"/>
    </row>
    <row r="196" spans="1:28">
      <c r="A196" s="116"/>
      <c r="B196" s="116"/>
      <c r="C196" s="116"/>
      <c r="D196" s="3"/>
      <c r="E196" s="163"/>
      <c r="F196" s="163"/>
      <c r="G196" s="163"/>
      <c r="H196" s="163"/>
      <c r="I196" s="163"/>
      <c r="J196" s="163"/>
      <c r="K196" s="163"/>
      <c r="L196" s="163"/>
      <c r="M196" s="164"/>
      <c r="N196" s="164"/>
      <c r="O196" s="165"/>
      <c r="P196" s="166"/>
      <c r="Q196" s="166"/>
      <c r="R196" s="167"/>
      <c r="S196" s="167"/>
      <c r="T196" s="164"/>
      <c r="U196" s="164"/>
      <c r="V196" s="168"/>
      <c r="W196" s="169"/>
      <c r="X196" s="170"/>
      <c r="Y196" s="165"/>
      <c r="Z196" s="171"/>
      <c r="AA196" s="97"/>
      <c r="AB196" s="172"/>
    </row>
    <row r="197" spans="1:28">
      <c r="A197" s="116"/>
      <c r="B197" s="116"/>
      <c r="C197" s="116"/>
      <c r="D197" s="3"/>
      <c r="E197" s="163"/>
      <c r="F197" s="163"/>
      <c r="G197" s="163"/>
      <c r="H197" s="163"/>
      <c r="I197" s="163"/>
      <c r="J197" s="163"/>
      <c r="K197" s="163"/>
      <c r="L197" s="163"/>
      <c r="M197" s="164"/>
      <c r="N197" s="164"/>
      <c r="O197" s="165"/>
      <c r="P197" s="166"/>
      <c r="Q197" s="166"/>
      <c r="R197" s="167"/>
      <c r="S197" s="167"/>
      <c r="T197" s="164"/>
      <c r="U197" s="164"/>
      <c r="V197" s="168"/>
      <c r="W197" s="169"/>
      <c r="X197" s="170"/>
      <c r="Y197" s="165"/>
      <c r="Z197" s="171"/>
      <c r="AA197" s="97"/>
      <c r="AB197" s="172"/>
    </row>
    <row r="198" spans="1:28">
      <c r="A198" s="116"/>
      <c r="B198" s="116"/>
      <c r="C198" s="116"/>
      <c r="D198" s="186"/>
      <c r="E198" s="163"/>
      <c r="F198" s="163"/>
      <c r="G198" s="163"/>
      <c r="H198" s="163"/>
      <c r="I198" s="163"/>
      <c r="J198" s="163"/>
      <c r="K198" s="163"/>
      <c r="L198" s="163"/>
      <c r="M198" s="164"/>
      <c r="N198" s="164"/>
      <c r="O198" s="165"/>
      <c r="P198" s="166"/>
      <c r="Q198" s="166"/>
      <c r="R198" s="167"/>
      <c r="S198" s="167"/>
      <c r="T198" s="164"/>
      <c r="U198" s="164"/>
      <c r="V198" s="168"/>
      <c r="W198" s="169"/>
      <c r="X198" s="170"/>
      <c r="Y198" s="165"/>
      <c r="Z198" s="171"/>
      <c r="AA198" s="97"/>
      <c r="AB198" s="172"/>
    </row>
    <row r="199" spans="1:28">
      <c r="A199" s="116"/>
      <c r="B199" s="116"/>
      <c r="C199" s="116"/>
      <c r="D199" s="3"/>
      <c r="E199" s="163"/>
      <c r="F199" s="163"/>
      <c r="G199" s="163"/>
      <c r="H199" s="163"/>
      <c r="I199" s="163"/>
      <c r="J199" s="163"/>
      <c r="K199" s="163"/>
      <c r="L199" s="163"/>
      <c r="M199" s="164"/>
      <c r="N199" s="164"/>
      <c r="O199" s="165"/>
      <c r="P199" s="166"/>
      <c r="Q199" s="166"/>
      <c r="R199" s="167"/>
      <c r="S199" s="167"/>
      <c r="T199" s="164"/>
      <c r="U199" s="164"/>
      <c r="V199" s="168"/>
      <c r="W199" s="169"/>
      <c r="X199" s="170"/>
      <c r="Y199" s="165"/>
      <c r="Z199" s="171"/>
      <c r="AA199" s="97"/>
      <c r="AB199" s="172"/>
    </row>
    <row r="200" spans="1:28">
      <c r="A200" s="116"/>
      <c r="B200" s="116"/>
      <c r="C200" s="116"/>
      <c r="D200" s="3"/>
      <c r="E200" s="163"/>
      <c r="F200" s="163"/>
      <c r="G200" s="163"/>
      <c r="H200" s="163"/>
      <c r="I200" s="163"/>
      <c r="J200" s="163"/>
      <c r="K200" s="163"/>
      <c r="L200" s="163"/>
      <c r="M200" s="164"/>
      <c r="N200" s="164"/>
      <c r="O200" s="165"/>
      <c r="P200" s="166"/>
      <c r="Q200" s="166"/>
      <c r="R200" s="167"/>
      <c r="S200" s="167"/>
      <c r="T200" s="164"/>
      <c r="U200" s="164"/>
      <c r="V200" s="168"/>
      <c r="W200" s="169"/>
      <c r="X200" s="170"/>
      <c r="Y200" s="165"/>
      <c r="Z200" s="171"/>
      <c r="AA200" s="97"/>
      <c r="AB200" s="172"/>
    </row>
    <row r="201" spans="1:28">
      <c r="A201" s="116"/>
      <c r="B201" s="116"/>
      <c r="C201" s="116"/>
      <c r="D201" s="3"/>
      <c r="E201" s="163"/>
      <c r="F201" s="163"/>
      <c r="G201" s="163"/>
      <c r="H201" s="163"/>
      <c r="I201" s="163"/>
      <c r="J201" s="163"/>
      <c r="K201" s="163"/>
      <c r="L201" s="163"/>
      <c r="M201" s="164"/>
      <c r="N201" s="164"/>
      <c r="O201" s="165"/>
      <c r="P201" s="166"/>
      <c r="Q201" s="166"/>
      <c r="R201" s="167"/>
      <c r="S201" s="167"/>
      <c r="T201" s="164"/>
      <c r="U201" s="164"/>
      <c r="V201" s="168"/>
      <c r="W201" s="169"/>
      <c r="X201" s="170"/>
      <c r="Y201" s="165"/>
      <c r="Z201" s="171"/>
      <c r="AA201" s="97"/>
      <c r="AB201" s="172"/>
    </row>
    <row r="202" spans="1:28">
      <c r="A202" s="116"/>
      <c r="B202" s="116"/>
      <c r="C202" s="116"/>
      <c r="D202" s="3"/>
      <c r="E202" s="163"/>
      <c r="F202" s="163"/>
      <c r="G202" s="163"/>
      <c r="H202" s="163"/>
      <c r="I202" s="163"/>
      <c r="J202" s="163"/>
      <c r="K202" s="163"/>
      <c r="L202" s="163"/>
      <c r="M202" s="164"/>
      <c r="N202" s="164"/>
      <c r="O202" s="165"/>
      <c r="P202" s="166"/>
      <c r="Q202" s="166"/>
      <c r="R202" s="167"/>
      <c r="S202" s="167"/>
      <c r="T202" s="164"/>
      <c r="U202" s="164"/>
      <c r="V202" s="168"/>
      <c r="W202" s="169"/>
      <c r="X202" s="170"/>
      <c r="Y202" s="165"/>
      <c r="Z202" s="171"/>
      <c r="AA202" s="97"/>
      <c r="AB202" s="172"/>
    </row>
    <row r="203" spans="1:28">
      <c r="A203" s="116"/>
      <c r="B203" s="116"/>
      <c r="C203" s="116"/>
      <c r="D203" s="3"/>
      <c r="E203" s="163"/>
      <c r="F203" s="163"/>
      <c r="G203" s="163"/>
      <c r="H203" s="163"/>
      <c r="I203" s="163"/>
      <c r="J203" s="163"/>
      <c r="K203" s="163"/>
      <c r="L203" s="163"/>
      <c r="M203" s="164"/>
      <c r="N203" s="164"/>
      <c r="O203" s="165"/>
      <c r="P203" s="166"/>
      <c r="Q203" s="166"/>
      <c r="R203" s="167"/>
      <c r="S203" s="167"/>
      <c r="T203" s="164"/>
      <c r="U203" s="164"/>
      <c r="V203" s="168"/>
      <c r="W203" s="169"/>
      <c r="X203" s="170"/>
      <c r="Y203" s="165"/>
      <c r="Z203" s="171"/>
      <c r="AA203" s="97"/>
      <c r="AB203" s="172"/>
    </row>
    <row r="204" spans="1:28">
      <c r="A204" s="116"/>
      <c r="B204" s="116"/>
      <c r="C204" s="116"/>
      <c r="D204" s="3"/>
      <c r="E204" s="163"/>
      <c r="F204" s="163"/>
      <c r="G204" s="163"/>
      <c r="H204" s="163"/>
      <c r="I204" s="163"/>
      <c r="J204" s="163"/>
      <c r="K204" s="163"/>
      <c r="L204" s="163"/>
      <c r="M204" s="164"/>
      <c r="N204" s="164"/>
      <c r="O204" s="165"/>
      <c r="P204" s="166"/>
      <c r="Q204" s="166"/>
      <c r="R204" s="167"/>
      <c r="S204" s="167"/>
      <c r="T204" s="164"/>
      <c r="U204" s="164"/>
      <c r="V204" s="168"/>
      <c r="W204" s="169"/>
      <c r="X204" s="170"/>
      <c r="Y204" s="165"/>
      <c r="Z204" s="171"/>
      <c r="AA204" s="97"/>
      <c r="AB204" s="172"/>
    </row>
    <row r="205" spans="1:28">
      <c r="A205" s="116"/>
      <c r="B205" s="116"/>
      <c r="C205" s="116"/>
      <c r="D205" s="3"/>
      <c r="E205" s="163"/>
      <c r="F205" s="163"/>
      <c r="G205" s="163"/>
      <c r="H205" s="163"/>
      <c r="I205" s="163"/>
      <c r="J205" s="163"/>
      <c r="K205" s="163"/>
      <c r="L205" s="163"/>
      <c r="M205" s="164"/>
      <c r="N205" s="164"/>
      <c r="O205" s="165"/>
      <c r="P205" s="166"/>
      <c r="Q205" s="166"/>
      <c r="R205" s="167"/>
      <c r="S205" s="167"/>
      <c r="T205" s="164"/>
      <c r="U205" s="164"/>
      <c r="V205" s="168"/>
      <c r="W205" s="169"/>
      <c r="X205" s="170"/>
      <c r="Y205" s="165"/>
      <c r="Z205" s="171"/>
      <c r="AA205" s="97"/>
      <c r="AB205" s="172"/>
    </row>
    <row r="206" spans="1:28">
      <c r="A206" s="116"/>
      <c r="B206" s="116"/>
      <c r="C206" s="116"/>
      <c r="D206" s="3"/>
      <c r="E206" s="163"/>
      <c r="F206" s="163"/>
      <c r="G206" s="163"/>
      <c r="H206" s="163"/>
      <c r="I206" s="163"/>
      <c r="J206" s="163"/>
      <c r="K206" s="163"/>
      <c r="L206" s="163"/>
      <c r="M206" s="164"/>
      <c r="N206" s="164"/>
      <c r="O206" s="165"/>
      <c r="P206" s="166"/>
      <c r="Q206" s="166"/>
      <c r="R206" s="167"/>
      <c r="S206" s="167"/>
      <c r="T206" s="164"/>
      <c r="U206" s="164"/>
      <c r="V206" s="168"/>
      <c r="W206" s="169"/>
      <c r="X206" s="170"/>
      <c r="Y206" s="165"/>
      <c r="Z206" s="171"/>
      <c r="AA206" s="97"/>
      <c r="AB206" s="172"/>
    </row>
    <row r="207" spans="1:28">
      <c r="A207" s="116"/>
      <c r="B207" s="116"/>
      <c r="C207" s="116"/>
      <c r="D207" s="3"/>
      <c r="E207" s="163"/>
      <c r="F207" s="163"/>
      <c r="G207" s="163"/>
      <c r="H207" s="163"/>
      <c r="I207" s="163"/>
      <c r="J207" s="163"/>
      <c r="K207" s="163"/>
      <c r="L207" s="163"/>
      <c r="M207" s="164"/>
      <c r="N207" s="164"/>
      <c r="O207" s="165"/>
      <c r="P207" s="166"/>
      <c r="Q207" s="166"/>
      <c r="R207" s="167"/>
      <c r="S207" s="167"/>
      <c r="T207" s="164"/>
      <c r="U207" s="164"/>
      <c r="V207" s="168"/>
      <c r="W207" s="169"/>
      <c r="X207" s="170"/>
      <c r="Y207" s="165"/>
      <c r="Z207" s="171"/>
      <c r="AA207" s="97"/>
      <c r="AB207" s="172"/>
    </row>
    <row r="208" spans="1:28">
      <c r="A208" s="116"/>
      <c r="B208" s="116"/>
      <c r="C208" s="116"/>
      <c r="D208" s="3"/>
      <c r="E208" s="163"/>
      <c r="F208" s="163"/>
      <c r="G208" s="163"/>
      <c r="H208" s="163"/>
      <c r="I208" s="163"/>
      <c r="J208" s="163"/>
      <c r="K208" s="163"/>
      <c r="L208" s="163"/>
      <c r="M208" s="164"/>
      <c r="N208" s="164"/>
      <c r="O208" s="165"/>
      <c r="P208" s="166"/>
      <c r="Q208" s="166"/>
      <c r="R208" s="167"/>
      <c r="S208" s="167"/>
      <c r="T208" s="164"/>
      <c r="U208" s="164"/>
      <c r="V208" s="168"/>
      <c r="W208" s="169"/>
      <c r="X208" s="170"/>
      <c r="Y208" s="165"/>
      <c r="Z208" s="171"/>
      <c r="AA208" s="97"/>
      <c r="AB208" s="172"/>
    </row>
    <row r="209" spans="1:28">
      <c r="A209" s="116"/>
      <c r="B209" s="116"/>
      <c r="C209" s="116"/>
      <c r="D209" s="3"/>
      <c r="E209" s="163"/>
      <c r="F209" s="163"/>
      <c r="G209" s="163"/>
      <c r="H209" s="163"/>
      <c r="I209" s="163"/>
      <c r="J209" s="163"/>
      <c r="K209" s="163"/>
      <c r="L209" s="163"/>
      <c r="M209" s="164"/>
      <c r="N209" s="164"/>
      <c r="O209" s="165"/>
      <c r="P209" s="166"/>
      <c r="Q209" s="166"/>
      <c r="R209" s="167"/>
      <c r="S209" s="167"/>
      <c r="T209" s="164"/>
      <c r="U209" s="164"/>
      <c r="V209" s="168"/>
      <c r="W209" s="169"/>
      <c r="X209" s="170"/>
      <c r="Y209" s="165"/>
      <c r="Z209" s="171"/>
      <c r="AA209" s="97"/>
      <c r="AB209" s="172"/>
    </row>
    <row r="210" spans="1:28">
      <c r="A210" s="116"/>
      <c r="B210" s="116"/>
      <c r="C210" s="116"/>
      <c r="D210" s="3"/>
      <c r="E210" s="163"/>
      <c r="F210" s="163"/>
      <c r="G210" s="163"/>
      <c r="H210" s="163"/>
      <c r="I210" s="163"/>
      <c r="J210" s="163"/>
      <c r="K210" s="163"/>
      <c r="L210" s="163"/>
      <c r="M210" s="164"/>
      <c r="N210" s="164"/>
      <c r="O210" s="165"/>
      <c r="P210" s="166"/>
      <c r="Q210" s="166"/>
      <c r="R210" s="167"/>
      <c r="S210" s="167"/>
      <c r="T210" s="164"/>
      <c r="U210" s="164"/>
      <c r="V210" s="168"/>
      <c r="W210" s="169"/>
      <c r="X210" s="170"/>
      <c r="Y210" s="165"/>
      <c r="Z210" s="171"/>
      <c r="AA210" s="97"/>
      <c r="AB210" s="172"/>
    </row>
    <row r="211" spans="1:28">
      <c r="A211" s="116"/>
      <c r="B211" s="116"/>
      <c r="C211" s="116"/>
      <c r="D211" s="3"/>
      <c r="E211" s="163"/>
      <c r="F211" s="163"/>
      <c r="G211" s="163"/>
      <c r="H211" s="163"/>
      <c r="I211" s="163"/>
      <c r="J211" s="163"/>
      <c r="K211" s="163"/>
      <c r="L211" s="163"/>
      <c r="M211" s="164"/>
      <c r="N211" s="164"/>
      <c r="O211" s="165"/>
      <c r="P211" s="166"/>
      <c r="Q211" s="166"/>
      <c r="R211" s="167"/>
      <c r="S211" s="167"/>
      <c r="T211" s="164"/>
      <c r="U211" s="164"/>
      <c r="V211" s="168"/>
      <c r="W211" s="169"/>
      <c r="X211" s="170"/>
      <c r="Y211" s="165"/>
      <c r="Z211" s="171"/>
      <c r="AA211" s="97"/>
      <c r="AB211" s="172"/>
    </row>
    <row r="212" spans="1:28">
      <c r="A212" s="116"/>
      <c r="B212" s="116"/>
      <c r="C212" s="116"/>
      <c r="D212" s="3"/>
      <c r="E212" s="163"/>
      <c r="F212" s="163"/>
      <c r="G212" s="163"/>
      <c r="H212" s="163"/>
      <c r="I212" s="163"/>
      <c r="J212" s="163"/>
      <c r="K212" s="163"/>
      <c r="L212" s="163"/>
      <c r="M212" s="164"/>
      <c r="N212" s="164"/>
      <c r="O212" s="165"/>
      <c r="P212" s="166"/>
      <c r="Q212" s="166"/>
      <c r="R212" s="167"/>
      <c r="S212" s="167"/>
      <c r="T212" s="164"/>
      <c r="U212" s="164"/>
      <c r="V212" s="168"/>
      <c r="W212" s="169"/>
      <c r="X212" s="170"/>
      <c r="Y212" s="165"/>
      <c r="Z212" s="171"/>
      <c r="AA212" s="97"/>
      <c r="AB212" s="172"/>
    </row>
    <row r="213" spans="1:28">
      <c r="A213" s="116"/>
      <c r="B213" s="116"/>
      <c r="C213" s="116"/>
      <c r="D213" s="3"/>
      <c r="E213" s="163"/>
      <c r="F213" s="163"/>
      <c r="G213" s="163"/>
      <c r="H213" s="163"/>
      <c r="I213" s="163"/>
      <c r="J213" s="163"/>
      <c r="K213" s="163"/>
      <c r="L213" s="163"/>
      <c r="M213" s="164"/>
      <c r="N213" s="164"/>
      <c r="O213" s="165"/>
      <c r="P213" s="166"/>
      <c r="Q213" s="166"/>
      <c r="R213" s="167"/>
      <c r="S213" s="167"/>
      <c r="T213" s="164"/>
      <c r="U213" s="164"/>
      <c r="V213" s="168"/>
      <c r="W213" s="169"/>
      <c r="X213" s="170"/>
      <c r="Y213" s="165"/>
      <c r="Z213" s="171"/>
      <c r="AA213" s="97"/>
      <c r="AB213" s="172"/>
    </row>
    <row r="214" spans="1:28">
      <c r="A214" s="116"/>
      <c r="B214" s="116"/>
      <c r="C214" s="116"/>
      <c r="D214" s="3"/>
      <c r="E214" s="163"/>
      <c r="F214" s="163"/>
      <c r="G214" s="163"/>
      <c r="H214" s="163"/>
      <c r="I214" s="163"/>
      <c r="J214" s="163"/>
      <c r="K214" s="163"/>
      <c r="L214" s="163"/>
      <c r="M214" s="164"/>
      <c r="N214" s="164"/>
      <c r="O214" s="165"/>
      <c r="P214" s="166"/>
      <c r="Q214" s="166"/>
      <c r="R214" s="167"/>
      <c r="S214" s="167"/>
      <c r="T214" s="164"/>
      <c r="U214" s="164"/>
      <c r="V214" s="168"/>
      <c r="W214" s="169"/>
      <c r="X214" s="170"/>
      <c r="Y214" s="165"/>
      <c r="Z214" s="171"/>
      <c r="AA214" s="97"/>
      <c r="AB214" s="172"/>
    </row>
    <row r="215" spans="1:28">
      <c r="A215" s="116"/>
      <c r="B215" s="116"/>
      <c r="C215" s="116"/>
      <c r="D215" s="3"/>
      <c r="E215" s="163"/>
      <c r="F215" s="163"/>
      <c r="G215" s="163"/>
      <c r="H215" s="163"/>
      <c r="I215" s="163"/>
      <c r="J215" s="163"/>
      <c r="K215" s="163"/>
      <c r="L215" s="163"/>
      <c r="M215" s="164"/>
      <c r="N215" s="164"/>
      <c r="O215" s="165"/>
      <c r="P215" s="166"/>
      <c r="Q215" s="166"/>
      <c r="R215" s="167"/>
      <c r="S215" s="167"/>
      <c r="T215" s="164"/>
      <c r="U215" s="164"/>
      <c r="V215" s="168"/>
      <c r="W215" s="169"/>
      <c r="X215" s="170"/>
      <c r="Y215" s="165"/>
      <c r="Z215" s="171"/>
      <c r="AA215" s="97"/>
      <c r="AB215" s="172"/>
    </row>
    <row r="216" spans="1:28">
      <c r="A216" s="116"/>
      <c r="B216" s="116"/>
      <c r="C216" s="116"/>
      <c r="D216" s="3"/>
      <c r="E216" s="163"/>
      <c r="F216" s="163"/>
      <c r="G216" s="163"/>
      <c r="H216" s="163"/>
      <c r="I216" s="163"/>
      <c r="J216" s="163"/>
      <c r="K216" s="163"/>
      <c r="L216" s="163"/>
      <c r="M216" s="164"/>
      <c r="N216" s="164"/>
      <c r="O216" s="165"/>
      <c r="P216" s="166"/>
      <c r="Q216" s="166"/>
      <c r="R216" s="167"/>
      <c r="S216" s="167"/>
      <c r="T216" s="164"/>
      <c r="U216" s="164"/>
      <c r="V216" s="168"/>
      <c r="W216" s="169"/>
      <c r="X216" s="170"/>
      <c r="Y216" s="165"/>
      <c r="Z216" s="171"/>
      <c r="AA216" s="97"/>
      <c r="AB216" s="172"/>
    </row>
    <row r="217" spans="1:28">
      <c r="A217" s="116"/>
      <c r="B217" s="116"/>
      <c r="C217" s="116"/>
      <c r="D217" s="3"/>
      <c r="E217" s="163"/>
      <c r="F217" s="163"/>
      <c r="G217" s="163"/>
      <c r="H217" s="163"/>
      <c r="I217" s="163"/>
      <c r="J217" s="163"/>
      <c r="K217" s="163"/>
      <c r="L217" s="163"/>
      <c r="M217" s="164"/>
      <c r="N217" s="164"/>
      <c r="O217" s="165"/>
      <c r="P217" s="166"/>
      <c r="Q217" s="166"/>
      <c r="R217" s="167"/>
      <c r="S217" s="167"/>
      <c r="T217" s="164"/>
      <c r="U217" s="164"/>
      <c r="V217" s="168"/>
      <c r="W217" s="169"/>
      <c r="X217" s="170"/>
      <c r="Y217" s="165"/>
      <c r="Z217" s="171"/>
      <c r="AA217" s="97"/>
      <c r="AB217" s="172"/>
    </row>
    <row r="218" spans="1:28">
      <c r="A218" s="116"/>
      <c r="B218" s="116"/>
      <c r="C218" s="116"/>
      <c r="D218" s="3"/>
      <c r="E218" s="163"/>
      <c r="F218" s="163"/>
      <c r="G218" s="163"/>
      <c r="H218" s="163"/>
      <c r="I218" s="163"/>
      <c r="J218" s="163"/>
      <c r="K218" s="163"/>
      <c r="L218" s="163"/>
      <c r="M218" s="164"/>
      <c r="N218" s="164"/>
      <c r="O218" s="165"/>
      <c r="P218" s="166"/>
      <c r="Q218" s="166"/>
      <c r="R218" s="167"/>
      <c r="S218" s="167"/>
      <c r="T218" s="164"/>
      <c r="U218" s="164"/>
      <c r="V218" s="168"/>
      <c r="W218" s="169"/>
      <c r="X218" s="170"/>
      <c r="Y218" s="165"/>
      <c r="Z218" s="171"/>
      <c r="AA218" s="97"/>
      <c r="AB218" s="172"/>
    </row>
    <row r="219" spans="1:28">
      <c r="A219" s="116"/>
      <c r="B219" s="116"/>
      <c r="C219" s="116"/>
      <c r="D219" s="3"/>
      <c r="E219" s="163"/>
      <c r="F219" s="163"/>
      <c r="G219" s="163"/>
      <c r="H219" s="163"/>
      <c r="I219" s="163"/>
      <c r="J219" s="163"/>
      <c r="K219" s="163"/>
      <c r="L219" s="163"/>
      <c r="M219" s="164"/>
      <c r="N219" s="164"/>
      <c r="O219" s="165"/>
      <c r="P219" s="166"/>
      <c r="Q219" s="166"/>
      <c r="R219" s="167"/>
      <c r="S219" s="167"/>
      <c r="T219" s="164"/>
      <c r="U219" s="164"/>
      <c r="V219" s="168"/>
      <c r="W219" s="169"/>
      <c r="X219" s="170"/>
      <c r="Y219" s="165"/>
      <c r="Z219" s="171"/>
      <c r="AA219" s="97"/>
      <c r="AB219" s="172"/>
    </row>
    <row r="220" spans="1:28">
      <c r="A220" s="116"/>
      <c r="B220" s="116"/>
      <c r="C220" s="116"/>
      <c r="D220" s="3"/>
      <c r="E220" s="163"/>
      <c r="F220" s="163"/>
      <c r="G220" s="163"/>
      <c r="H220" s="163"/>
      <c r="I220" s="163"/>
      <c r="J220" s="163"/>
      <c r="K220" s="163"/>
      <c r="L220" s="163"/>
      <c r="M220" s="164"/>
      <c r="N220" s="164"/>
      <c r="O220" s="165"/>
      <c r="P220" s="166"/>
      <c r="Q220" s="166"/>
      <c r="R220" s="167"/>
      <c r="S220" s="167"/>
      <c r="T220" s="164"/>
      <c r="U220" s="164"/>
      <c r="V220" s="168"/>
      <c r="W220" s="169"/>
      <c r="X220" s="170"/>
      <c r="Y220" s="165"/>
      <c r="Z220" s="171"/>
      <c r="AA220" s="97"/>
      <c r="AB220" s="172"/>
    </row>
    <row r="221" spans="1:28">
      <c r="A221" s="116"/>
      <c r="B221" s="116"/>
      <c r="C221" s="116"/>
      <c r="D221" s="3"/>
      <c r="E221" s="163"/>
      <c r="F221" s="163"/>
      <c r="G221" s="163"/>
      <c r="H221" s="163"/>
      <c r="I221" s="163"/>
      <c r="J221" s="163"/>
      <c r="K221" s="163"/>
      <c r="L221" s="163"/>
      <c r="M221" s="164"/>
      <c r="N221" s="164"/>
      <c r="O221" s="165"/>
      <c r="P221" s="166"/>
      <c r="Q221" s="166"/>
      <c r="R221" s="167"/>
      <c r="S221" s="167"/>
      <c r="T221" s="164"/>
      <c r="U221" s="164"/>
      <c r="V221" s="168"/>
      <c r="W221" s="169"/>
      <c r="X221" s="170"/>
      <c r="Y221" s="165"/>
      <c r="Z221" s="171"/>
      <c r="AA221" s="97"/>
      <c r="AB221" s="172"/>
    </row>
    <row r="222" spans="1:28">
      <c r="A222" s="116"/>
      <c r="B222" s="116"/>
      <c r="C222" s="116"/>
      <c r="D222" s="3"/>
      <c r="E222" s="163"/>
      <c r="F222" s="163"/>
      <c r="G222" s="163"/>
      <c r="H222" s="163"/>
      <c r="I222" s="163"/>
      <c r="J222" s="163"/>
      <c r="K222" s="163"/>
      <c r="L222" s="163"/>
      <c r="M222" s="164"/>
      <c r="N222" s="164"/>
      <c r="O222" s="165"/>
      <c r="P222" s="166"/>
      <c r="Q222" s="166"/>
      <c r="R222" s="167"/>
      <c r="S222" s="167"/>
      <c r="T222" s="164"/>
      <c r="U222" s="164"/>
      <c r="V222" s="168"/>
      <c r="W222" s="169"/>
      <c r="X222" s="170"/>
      <c r="Y222" s="165"/>
      <c r="Z222" s="171"/>
      <c r="AA222" s="97"/>
      <c r="AB222" s="172"/>
    </row>
    <row r="223" spans="1:28">
      <c r="A223" s="116"/>
      <c r="B223" s="116"/>
      <c r="C223" s="116"/>
      <c r="D223" s="3"/>
      <c r="E223" s="163"/>
      <c r="F223" s="163"/>
      <c r="G223" s="163"/>
      <c r="H223" s="163"/>
      <c r="I223" s="163"/>
      <c r="J223" s="163"/>
      <c r="K223" s="163"/>
      <c r="L223" s="163"/>
      <c r="M223" s="164"/>
      <c r="N223" s="164"/>
      <c r="O223" s="165"/>
      <c r="P223" s="166"/>
      <c r="Q223" s="166"/>
      <c r="R223" s="167"/>
      <c r="S223" s="167"/>
      <c r="T223" s="164"/>
      <c r="U223" s="164"/>
      <c r="V223" s="168"/>
      <c r="W223" s="169"/>
      <c r="X223" s="170"/>
      <c r="Y223" s="165"/>
      <c r="Z223" s="171"/>
      <c r="AA223" s="97"/>
      <c r="AB223" s="172"/>
    </row>
    <row r="224" spans="1:28">
      <c r="A224" s="116"/>
      <c r="B224" s="116"/>
      <c r="C224" s="116"/>
      <c r="D224" s="3"/>
      <c r="E224" s="163"/>
      <c r="F224" s="163"/>
      <c r="G224" s="163"/>
      <c r="H224" s="163"/>
      <c r="I224" s="163"/>
      <c r="J224" s="163"/>
      <c r="K224" s="163"/>
      <c r="L224" s="163"/>
      <c r="M224" s="164"/>
      <c r="N224" s="164"/>
      <c r="O224" s="165"/>
      <c r="P224" s="166"/>
      <c r="Q224" s="166"/>
      <c r="R224" s="167"/>
      <c r="S224" s="167"/>
      <c r="T224" s="164"/>
      <c r="U224" s="164"/>
      <c r="V224" s="168"/>
      <c r="W224" s="169"/>
      <c r="X224" s="170"/>
      <c r="Y224" s="165"/>
      <c r="Z224" s="171"/>
      <c r="AA224" s="97"/>
      <c r="AB224" s="172"/>
    </row>
    <row r="225" spans="1:28">
      <c r="A225" s="116"/>
      <c r="B225" s="116"/>
      <c r="C225" s="116"/>
      <c r="D225" s="3"/>
      <c r="E225" s="163"/>
      <c r="F225" s="163"/>
      <c r="G225" s="163"/>
      <c r="H225" s="163"/>
      <c r="I225" s="163"/>
      <c r="J225" s="163"/>
      <c r="K225" s="163"/>
      <c r="L225" s="163"/>
      <c r="M225" s="164"/>
      <c r="N225" s="164"/>
      <c r="O225" s="165"/>
      <c r="P225" s="166"/>
      <c r="Q225" s="166"/>
      <c r="R225" s="167"/>
      <c r="S225" s="167"/>
      <c r="T225" s="164"/>
      <c r="U225" s="164"/>
      <c r="V225" s="168"/>
      <c r="W225" s="169"/>
      <c r="X225" s="170"/>
      <c r="Y225" s="165"/>
      <c r="Z225" s="171"/>
      <c r="AA225" s="97"/>
      <c r="AB225" s="172"/>
    </row>
    <row r="226" spans="1:28">
      <c r="A226" s="116"/>
      <c r="B226" s="116"/>
      <c r="C226" s="116"/>
      <c r="D226" s="3"/>
      <c r="E226" s="163"/>
      <c r="F226" s="163"/>
      <c r="G226" s="163"/>
      <c r="H226" s="163"/>
      <c r="I226" s="163"/>
      <c r="J226" s="163"/>
      <c r="K226" s="163"/>
      <c r="L226" s="163"/>
      <c r="M226" s="164"/>
      <c r="N226" s="164"/>
      <c r="O226" s="165"/>
      <c r="P226" s="166"/>
      <c r="Q226" s="166"/>
      <c r="R226" s="167"/>
      <c r="S226" s="167"/>
      <c r="T226" s="164"/>
      <c r="U226" s="164"/>
      <c r="V226" s="168"/>
      <c r="W226" s="169"/>
      <c r="X226" s="170"/>
      <c r="Y226" s="165"/>
      <c r="Z226" s="171"/>
      <c r="AA226" s="97"/>
      <c r="AB226" s="172"/>
    </row>
    <row r="227" spans="1:28">
      <c r="A227" s="116"/>
      <c r="B227" s="116"/>
      <c r="C227" s="116"/>
      <c r="D227" s="3"/>
      <c r="E227" s="163"/>
      <c r="F227" s="163"/>
      <c r="G227" s="163"/>
      <c r="H227" s="163"/>
      <c r="I227" s="163"/>
      <c r="J227" s="163"/>
      <c r="K227" s="163"/>
      <c r="L227" s="163"/>
      <c r="M227" s="164"/>
      <c r="N227" s="164"/>
      <c r="O227" s="165"/>
      <c r="P227" s="166"/>
      <c r="Q227" s="166"/>
      <c r="R227" s="167"/>
      <c r="S227" s="167"/>
      <c r="T227" s="164"/>
      <c r="U227" s="164"/>
      <c r="V227" s="168"/>
      <c r="W227" s="169"/>
      <c r="X227" s="170"/>
      <c r="Y227" s="165"/>
      <c r="Z227" s="171"/>
      <c r="AA227" s="97"/>
      <c r="AB227" s="172"/>
    </row>
    <row r="228" spans="1:28">
      <c r="A228" s="116"/>
      <c r="B228" s="116"/>
      <c r="C228" s="116"/>
      <c r="D228" s="3"/>
      <c r="E228" s="163"/>
      <c r="F228" s="163"/>
      <c r="G228" s="163"/>
      <c r="H228" s="163"/>
      <c r="I228" s="163"/>
      <c r="J228" s="163"/>
      <c r="K228" s="163"/>
      <c r="L228" s="163"/>
      <c r="M228" s="164"/>
      <c r="N228" s="164"/>
      <c r="O228" s="165"/>
      <c r="P228" s="166"/>
      <c r="Q228" s="166"/>
      <c r="R228" s="167"/>
      <c r="S228" s="167"/>
      <c r="T228" s="164"/>
      <c r="U228" s="164"/>
      <c r="V228" s="168"/>
      <c r="W228" s="169"/>
      <c r="X228" s="170"/>
      <c r="Y228" s="165"/>
      <c r="Z228" s="171"/>
      <c r="AA228" s="97"/>
      <c r="AB228" s="172"/>
    </row>
    <row r="229" spans="1:28">
      <c r="A229" s="116"/>
      <c r="B229" s="116"/>
      <c r="C229" s="116"/>
      <c r="D229" s="3"/>
      <c r="E229" s="163"/>
      <c r="F229" s="163"/>
      <c r="G229" s="163"/>
      <c r="H229" s="163"/>
      <c r="I229" s="163"/>
      <c r="J229" s="163"/>
      <c r="K229" s="163"/>
      <c r="L229" s="163"/>
      <c r="M229" s="164"/>
      <c r="N229" s="164"/>
      <c r="O229" s="165"/>
      <c r="P229" s="166"/>
      <c r="Q229" s="166"/>
      <c r="R229" s="167"/>
      <c r="S229" s="167"/>
      <c r="T229" s="164"/>
      <c r="U229" s="164"/>
      <c r="V229" s="168"/>
      <c r="W229" s="169"/>
      <c r="X229" s="170"/>
      <c r="Y229" s="165"/>
      <c r="Z229" s="171"/>
      <c r="AA229" s="97"/>
      <c r="AB229" s="172"/>
    </row>
    <row r="230" spans="1:28">
      <c r="A230" s="116"/>
      <c r="B230" s="116"/>
      <c r="C230" s="116"/>
      <c r="D230" s="3"/>
      <c r="E230" s="163"/>
      <c r="F230" s="163"/>
      <c r="G230" s="163"/>
      <c r="H230" s="163"/>
      <c r="I230" s="163"/>
      <c r="J230" s="163"/>
      <c r="K230" s="163"/>
      <c r="L230" s="163"/>
      <c r="M230" s="164"/>
      <c r="N230" s="164"/>
      <c r="O230" s="165"/>
      <c r="P230" s="166"/>
      <c r="Q230" s="166"/>
      <c r="R230" s="167"/>
      <c r="S230" s="167"/>
      <c r="T230" s="164"/>
      <c r="U230" s="164"/>
      <c r="V230" s="168"/>
      <c r="W230" s="169"/>
      <c r="X230" s="170"/>
      <c r="Y230" s="165"/>
      <c r="Z230" s="171"/>
      <c r="AA230" s="97"/>
      <c r="AB230" s="172"/>
    </row>
    <row r="231" spans="1:28">
      <c r="A231" s="116"/>
      <c r="B231" s="116"/>
      <c r="C231" s="116"/>
      <c r="D231" s="3"/>
      <c r="E231" s="163"/>
      <c r="F231" s="163"/>
      <c r="G231" s="163"/>
      <c r="H231" s="163"/>
      <c r="I231" s="163"/>
      <c r="J231" s="163"/>
      <c r="K231" s="163"/>
      <c r="L231" s="163"/>
      <c r="M231" s="164"/>
      <c r="N231" s="164"/>
      <c r="O231" s="165"/>
      <c r="P231" s="166"/>
      <c r="Q231" s="166"/>
      <c r="R231" s="167"/>
      <c r="S231" s="167"/>
      <c r="T231" s="164"/>
      <c r="U231" s="164"/>
      <c r="V231" s="168"/>
      <c r="W231" s="169"/>
      <c r="X231" s="170"/>
      <c r="Y231" s="165"/>
      <c r="Z231" s="171"/>
      <c r="AA231" s="97"/>
      <c r="AB231" s="172"/>
    </row>
    <row r="232" spans="1:28">
      <c r="A232" s="116"/>
      <c r="B232" s="116"/>
      <c r="C232" s="116"/>
      <c r="D232" s="3"/>
      <c r="E232" s="163"/>
      <c r="F232" s="163"/>
      <c r="G232" s="163"/>
      <c r="H232" s="163"/>
      <c r="I232" s="163"/>
      <c r="J232" s="163"/>
      <c r="K232" s="163"/>
      <c r="L232" s="163"/>
      <c r="M232" s="164"/>
      <c r="N232" s="164"/>
      <c r="O232" s="165"/>
      <c r="P232" s="166"/>
      <c r="Q232" s="166"/>
      <c r="R232" s="167"/>
      <c r="S232" s="167"/>
      <c r="T232" s="164"/>
      <c r="U232" s="164"/>
      <c r="V232" s="168"/>
      <c r="W232" s="169"/>
      <c r="X232" s="170"/>
      <c r="Y232" s="165"/>
      <c r="Z232" s="171"/>
      <c r="AA232" s="97"/>
      <c r="AB232" s="172"/>
    </row>
    <row r="233" spans="1:28">
      <c r="A233" s="116"/>
      <c r="B233" s="116"/>
      <c r="C233" s="116"/>
      <c r="D233" s="3"/>
      <c r="E233" s="163"/>
      <c r="F233" s="163"/>
      <c r="G233" s="163"/>
      <c r="H233" s="163"/>
      <c r="I233" s="163"/>
      <c r="J233" s="163"/>
      <c r="K233" s="163"/>
      <c r="L233" s="163"/>
      <c r="M233" s="164"/>
      <c r="N233" s="164"/>
      <c r="O233" s="165"/>
      <c r="P233" s="166"/>
      <c r="Q233" s="166"/>
      <c r="R233" s="167"/>
      <c r="S233" s="167"/>
      <c r="T233" s="164"/>
      <c r="U233" s="164"/>
      <c r="V233" s="168"/>
      <c r="W233" s="169"/>
      <c r="X233" s="170"/>
      <c r="Y233" s="165"/>
      <c r="Z233" s="171"/>
      <c r="AA233" s="97"/>
      <c r="AB233" s="172"/>
    </row>
    <row r="234" spans="1:28">
      <c r="A234" s="116"/>
      <c r="B234" s="116"/>
      <c r="C234" s="116"/>
      <c r="D234" s="3"/>
      <c r="E234" s="163"/>
      <c r="F234" s="163"/>
      <c r="G234" s="163"/>
      <c r="H234" s="163"/>
      <c r="I234" s="163"/>
      <c r="J234" s="163"/>
      <c r="K234" s="163"/>
      <c r="L234" s="163"/>
      <c r="M234" s="164"/>
      <c r="N234" s="164"/>
      <c r="O234" s="165"/>
      <c r="P234" s="166"/>
      <c r="Q234" s="166"/>
      <c r="R234" s="167"/>
      <c r="S234" s="167"/>
      <c r="T234" s="164"/>
      <c r="U234" s="164"/>
      <c r="V234" s="168"/>
      <c r="W234" s="169"/>
      <c r="X234" s="170"/>
      <c r="Y234" s="165"/>
      <c r="Z234" s="171"/>
      <c r="AA234" s="97"/>
      <c r="AB234" s="172"/>
    </row>
    <row r="235" spans="1:28">
      <c r="A235" s="116"/>
      <c r="B235" s="116"/>
      <c r="C235" s="116"/>
      <c r="D235" s="3"/>
      <c r="E235" s="163"/>
      <c r="F235" s="163"/>
      <c r="G235" s="163"/>
      <c r="H235" s="163"/>
      <c r="I235" s="163"/>
      <c r="J235" s="163"/>
      <c r="K235" s="163"/>
      <c r="L235" s="163"/>
      <c r="M235" s="164"/>
      <c r="N235" s="164"/>
      <c r="O235" s="165"/>
      <c r="P235" s="166"/>
      <c r="Q235" s="166"/>
      <c r="R235" s="167"/>
      <c r="S235" s="167"/>
      <c r="T235" s="164"/>
      <c r="U235" s="164"/>
      <c r="V235" s="168"/>
      <c r="W235" s="169"/>
      <c r="X235" s="170"/>
      <c r="Y235" s="165"/>
      <c r="Z235" s="171"/>
      <c r="AA235" s="97"/>
      <c r="AB235" s="172"/>
    </row>
    <row r="236" spans="1:28">
      <c r="A236" s="116"/>
      <c r="B236" s="116"/>
      <c r="C236" s="116"/>
      <c r="D236" s="3"/>
      <c r="E236" s="163"/>
      <c r="F236" s="163"/>
      <c r="G236" s="163"/>
      <c r="H236" s="163"/>
      <c r="I236" s="163"/>
      <c r="J236" s="163"/>
      <c r="K236" s="163"/>
      <c r="L236" s="163"/>
      <c r="M236" s="164"/>
      <c r="N236" s="164"/>
      <c r="O236" s="165"/>
      <c r="P236" s="166"/>
      <c r="Q236" s="166"/>
      <c r="R236" s="167"/>
      <c r="S236" s="167"/>
      <c r="T236" s="164"/>
      <c r="U236" s="164"/>
      <c r="V236" s="168"/>
      <c r="W236" s="169"/>
      <c r="X236" s="170"/>
      <c r="Y236" s="165"/>
      <c r="Z236" s="171"/>
      <c r="AA236" s="97"/>
      <c r="AB236" s="172"/>
    </row>
    <row r="237" spans="1:28">
      <c r="A237" s="116"/>
      <c r="B237" s="116"/>
      <c r="C237" s="116"/>
      <c r="D237" s="3"/>
      <c r="E237" s="163"/>
      <c r="F237" s="163"/>
      <c r="G237" s="163"/>
      <c r="H237" s="163"/>
      <c r="I237" s="163"/>
      <c r="J237" s="163"/>
      <c r="K237" s="163"/>
      <c r="L237" s="163"/>
      <c r="M237" s="164"/>
      <c r="N237" s="164"/>
      <c r="O237" s="165"/>
      <c r="P237" s="166"/>
      <c r="Q237" s="166"/>
      <c r="R237" s="167"/>
      <c r="S237" s="167"/>
      <c r="T237" s="164"/>
      <c r="U237" s="164"/>
      <c r="V237" s="168"/>
      <c r="W237" s="169"/>
      <c r="X237" s="170"/>
      <c r="Y237" s="165"/>
      <c r="Z237" s="171"/>
      <c r="AA237" s="97"/>
      <c r="AB237" s="172"/>
    </row>
    <row r="238" spans="1:28">
      <c r="A238" s="116"/>
      <c r="B238" s="116"/>
      <c r="C238" s="116"/>
      <c r="D238" s="3"/>
      <c r="E238" s="163"/>
      <c r="F238" s="163"/>
      <c r="G238" s="163"/>
      <c r="H238" s="163"/>
      <c r="I238" s="163"/>
      <c r="J238" s="163"/>
      <c r="K238" s="163"/>
      <c r="L238" s="163"/>
      <c r="M238" s="164"/>
      <c r="N238" s="164"/>
      <c r="O238" s="165"/>
      <c r="P238" s="166"/>
      <c r="Q238" s="166"/>
      <c r="R238" s="167"/>
      <c r="S238" s="167"/>
      <c r="T238" s="164"/>
      <c r="U238" s="164"/>
      <c r="V238" s="168"/>
      <c r="W238" s="169"/>
      <c r="X238" s="170"/>
      <c r="Y238" s="165"/>
      <c r="Z238" s="171"/>
      <c r="AA238" s="97"/>
      <c r="AB238" s="172"/>
    </row>
    <row r="239" spans="1:28">
      <c r="A239" s="149"/>
      <c r="B239" s="149"/>
      <c r="C239" s="149"/>
      <c r="D239" s="150"/>
      <c r="E239" s="151"/>
      <c r="F239" s="151"/>
      <c r="G239" s="151"/>
      <c r="H239" s="151"/>
      <c r="I239" s="151"/>
      <c r="J239" s="151"/>
      <c r="K239" s="151"/>
      <c r="L239" s="151"/>
      <c r="M239" s="152"/>
      <c r="N239" s="152"/>
      <c r="O239" s="153"/>
      <c r="P239" s="154"/>
      <c r="Q239" s="154"/>
      <c r="R239" s="155"/>
      <c r="S239" s="155"/>
      <c r="T239" s="152"/>
      <c r="U239" s="152"/>
      <c r="V239" s="156"/>
      <c r="W239" s="157"/>
      <c r="X239" s="158"/>
      <c r="Y239" s="153"/>
      <c r="Z239" s="159"/>
      <c r="AA239" s="160"/>
      <c r="AB239" s="161"/>
    </row>
  </sheetData>
  <sheetProtection formatCells="0" formatColumns="0" formatRows="0" insertColumns="0" insertRows="0" insertHyperlinks="0" deleteColumns="0" deleteRows="0" sort="0" autoFilter="0" pivotTables="0"/>
  <dataConsolidate/>
  <mergeCells count="25">
    <mergeCell ref="AC3:AF3"/>
    <mergeCell ref="AC1:CA1"/>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5" type="noConversion"/>
  <conditionalFormatting sqref="D5:AB122">
    <cfRule type="expression" dxfId="1" priority="2">
      <formula>($B5="G")</formula>
    </cfRule>
    <cfRule type="expression" dxfId="0" priority="1">
      <formula>($AB5=1)</formula>
    </cfRule>
  </conditionalFormatting>
  <dataValidations count="1">
    <dataValidation type="list" allowBlank="1" showInputMessage="1" showErrorMessage="1" sqref="Y123:Y182">
      <formula1>$L$207</formula1>
    </dataValidation>
  </dataValidations>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'Team Members'!$C$3:$C$10</xm:f>
          </x14:formula1>
          <xm:sqref>Y5:Y122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B30" sqref="B30"/>
    </sheetView>
  </sheetViews>
  <sheetFormatPr defaultColWidth="10" defaultRowHeight="15"/>
  <cols>
    <col min="1" max="1" width="35.375" style="73" customWidth="1"/>
    <col min="2" max="2" width="13.25" style="71" customWidth="1"/>
    <col min="3" max="3" width="9.875" style="75" customWidth="1"/>
    <col min="4" max="4" width="31.375" style="75" customWidth="1"/>
    <col min="5" max="6" width="14.125" style="75" customWidth="1"/>
    <col min="7" max="7" width="28.375" style="75" customWidth="1"/>
    <col min="8" max="9" width="10" style="75"/>
    <col min="10" max="10" width="8.875" style="75" bestFit="1" customWidth="1"/>
    <col min="11" max="19" width="10" style="75"/>
    <col min="20" max="22" width="10" style="75" customWidth="1"/>
    <col min="23" max="23" width="10" style="75" hidden="1" customWidth="1"/>
    <col min="24" max="16384" width="10" style="75"/>
  </cols>
  <sheetData>
    <row r="1" spans="1:17" s="20" customFormat="1" ht="36.950000000000003" customHeight="1">
      <c r="A1" s="17" t="s">
        <v>1327</v>
      </c>
      <c r="B1" s="18"/>
      <c r="C1" s="18"/>
      <c r="D1" s="18"/>
      <c r="E1" s="18"/>
      <c r="F1" s="18"/>
      <c r="G1" s="18"/>
      <c r="H1" s="18"/>
      <c r="I1" s="18"/>
      <c r="J1" s="18"/>
      <c r="K1" s="18"/>
      <c r="L1" s="250"/>
      <c r="M1" s="251"/>
      <c r="N1" s="251"/>
      <c r="O1" s="19"/>
      <c r="P1" s="19"/>
      <c r="Q1" s="19"/>
    </row>
    <row r="2" spans="1:17" s="23" customFormat="1" ht="12.75">
      <c r="A2" s="21" t="s">
        <v>987</v>
      </c>
      <c r="B2" s="22"/>
    </row>
    <row r="3" spans="1:17" s="23" customFormat="1" ht="12.75">
      <c r="A3" s="21" t="s">
        <v>988</v>
      </c>
      <c r="B3" s="22"/>
    </row>
    <row r="4" spans="1:17" s="23" customFormat="1" ht="12.75">
      <c r="A4" s="252"/>
      <c r="B4" s="252"/>
      <c r="C4" s="24"/>
      <c r="D4" s="25"/>
      <c r="E4" s="25"/>
      <c r="F4" s="25"/>
    </row>
    <row r="5" spans="1:17" s="31" customFormat="1" ht="12.75">
      <c r="A5" s="26"/>
      <c r="B5" s="27"/>
      <c r="C5" s="28"/>
      <c r="D5" s="29"/>
      <c r="E5" s="30"/>
      <c r="F5" s="30"/>
      <c r="G5" s="30"/>
    </row>
    <row r="6" spans="1:17" s="31" customFormat="1" ht="12.75">
      <c r="A6" s="32" t="s">
        <v>989</v>
      </c>
      <c r="B6" s="33">
        <v>108</v>
      </c>
      <c r="C6" s="31" t="s">
        <v>1</v>
      </c>
      <c r="D6" s="249" t="s">
        <v>990</v>
      </c>
      <c r="E6" s="249"/>
      <c r="F6" s="249"/>
      <c r="G6" s="249"/>
    </row>
    <row r="7" spans="1:17" s="31" customFormat="1" ht="12.75">
      <c r="A7" s="34"/>
      <c r="B7" s="35"/>
      <c r="C7" s="36"/>
      <c r="D7" s="37"/>
      <c r="E7" s="37"/>
      <c r="F7" s="37"/>
      <c r="G7" s="37"/>
    </row>
    <row r="8" spans="1:17" s="31" customFormat="1" ht="12.75" customHeight="1">
      <c r="A8" s="38"/>
      <c r="B8" s="39"/>
      <c r="D8" s="40"/>
      <c r="E8" s="40"/>
      <c r="F8" s="40"/>
      <c r="G8" s="40"/>
      <c r="J8" s="41"/>
    </row>
    <row r="9" spans="1:17" s="31" customFormat="1" ht="12.75">
      <c r="A9" s="32" t="s">
        <v>991</v>
      </c>
      <c r="B9" s="33">
        <v>108</v>
      </c>
      <c r="C9" s="31" t="s">
        <v>1</v>
      </c>
      <c r="D9" s="248" t="s">
        <v>992</v>
      </c>
      <c r="E9" s="248"/>
      <c r="F9" s="248"/>
      <c r="G9" s="248"/>
    </row>
    <row r="10" spans="1:17" s="31" customFormat="1" ht="12.75">
      <c r="A10" s="42"/>
      <c r="B10" s="35"/>
      <c r="C10" s="36"/>
      <c r="D10" s="43"/>
      <c r="E10" s="43"/>
      <c r="F10" s="43"/>
      <c r="G10" s="43"/>
    </row>
    <row r="11" spans="1:17" s="31" customFormat="1" ht="13.5" customHeight="1">
      <c r="A11" s="44"/>
      <c r="B11" s="39"/>
      <c r="D11" s="40"/>
      <c r="E11" s="40"/>
      <c r="F11" s="40"/>
      <c r="G11" s="40"/>
    </row>
    <row r="12" spans="1:17" s="31" customFormat="1" ht="12.75" customHeight="1">
      <c r="A12" s="45" t="s">
        <v>1328</v>
      </c>
      <c r="B12" s="33">
        <v>107</v>
      </c>
      <c r="C12" s="31" t="s">
        <v>1</v>
      </c>
      <c r="D12" s="248" t="s">
        <v>1329</v>
      </c>
      <c r="E12" s="248"/>
      <c r="F12" s="248"/>
      <c r="G12" s="248"/>
    </row>
    <row r="13" spans="1:17" s="48" customFormat="1" ht="12.75">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986</v>
      </c>
      <c r="B15" s="33"/>
      <c r="C15" s="31" t="s">
        <v>1</v>
      </c>
      <c r="D15" s="248" t="s">
        <v>993</v>
      </c>
      <c r="E15" s="248"/>
      <c r="F15" s="248"/>
      <c r="G15" s="248"/>
    </row>
    <row r="16" spans="1:17" s="31" customFormat="1" ht="12.75">
      <c r="A16" s="46"/>
      <c r="B16" s="52"/>
      <c r="C16" s="53"/>
      <c r="D16" s="43"/>
      <c r="E16" s="43"/>
      <c r="F16" s="43"/>
      <c r="G16" s="43"/>
    </row>
    <row r="17" spans="1:7" s="48" customFormat="1" ht="12.75" customHeight="1">
      <c r="A17" s="54"/>
      <c r="B17" s="50"/>
      <c r="C17" s="51"/>
      <c r="D17" s="40"/>
      <c r="E17" s="40"/>
      <c r="F17" s="40"/>
      <c r="G17" s="40"/>
    </row>
    <row r="18" spans="1:7" s="31" customFormat="1" ht="12.75">
      <c r="A18" s="32" t="s">
        <v>994</v>
      </c>
      <c r="B18" s="55">
        <v>1</v>
      </c>
      <c r="D18" s="248" t="s">
        <v>995</v>
      </c>
      <c r="E18" s="248"/>
      <c r="F18" s="248"/>
      <c r="G18" s="248"/>
    </row>
    <row r="19" spans="1:7" s="31" customFormat="1" ht="12.75">
      <c r="A19" s="56"/>
      <c r="B19" s="52"/>
      <c r="C19" s="53"/>
      <c r="D19" s="43"/>
      <c r="E19" s="43"/>
      <c r="F19" s="43"/>
      <c r="G19" s="43"/>
    </row>
    <row r="20" spans="1:7" s="31" customFormat="1" ht="12.75" customHeight="1">
      <c r="A20" s="57"/>
      <c r="B20" s="27"/>
      <c r="C20" s="28"/>
      <c r="D20" s="40"/>
      <c r="E20" s="40"/>
      <c r="F20" s="40"/>
      <c r="G20" s="40"/>
    </row>
    <row r="21" spans="1:7" s="31" customFormat="1" ht="12.75">
      <c r="A21" s="32" t="s">
        <v>996</v>
      </c>
      <c r="B21" s="55">
        <v>0.9907407407407407</v>
      </c>
      <c r="D21" s="248" t="s">
        <v>997</v>
      </c>
      <c r="E21" s="248"/>
      <c r="F21" s="248"/>
      <c r="G21" s="248"/>
    </row>
    <row r="22" spans="1:7" s="31" customFormat="1" ht="12.75">
      <c r="A22" s="58"/>
      <c r="B22" s="59"/>
      <c r="C22" s="60"/>
      <c r="D22" s="43"/>
      <c r="E22" s="43"/>
      <c r="F22" s="43"/>
      <c r="G22" s="43"/>
    </row>
    <row r="23" spans="1:7" s="31" customFormat="1" ht="13.5" customHeight="1">
      <c r="A23" s="61"/>
      <c r="B23" s="62"/>
      <c r="C23" s="63"/>
      <c r="D23" s="64"/>
      <c r="E23" s="64"/>
      <c r="F23" s="64"/>
      <c r="G23" s="64"/>
    </row>
    <row r="24" spans="1:7" s="31" customFormat="1" ht="12.75">
      <c r="A24" s="32" t="s">
        <v>998</v>
      </c>
      <c r="B24" s="65">
        <f>ACTUAL_RATE-PLANNED_RATE</f>
        <v>-9.2592592592593004E-3</v>
      </c>
      <c r="D24" s="249" t="s">
        <v>999</v>
      </c>
      <c r="E24" s="249"/>
      <c r="F24" s="249"/>
      <c r="G24" s="249"/>
    </row>
    <row r="25" spans="1:7" s="31" customFormat="1" ht="12.75">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85"/>
  <sheetViews>
    <sheetView showGridLines="0" zoomScale="145" zoomScaleNormal="145" workbookViewId="0">
      <pane ySplit="6" topLeftCell="A7" activePane="bottomLeft" state="frozen"/>
      <selection pane="bottomLeft"/>
    </sheetView>
  </sheetViews>
  <sheetFormatPr defaultColWidth="9.125" defaultRowHeight="15" outlineLevelRow="2"/>
  <cols>
    <col min="1" max="1" width="20.625" style="187" customWidth="1"/>
    <col min="2" max="2" width="9.25" style="187" bestFit="1" customWidth="1"/>
    <col min="3" max="3" width="36.75" style="187" bestFit="1" customWidth="1"/>
    <col min="4" max="5" width="9.875" style="187" bestFit="1" customWidth="1"/>
    <col min="6" max="6" width="7.125" style="187" bestFit="1" customWidth="1"/>
    <col min="7" max="9" width="9" style="187" bestFit="1" customWidth="1"/>
    <col min="10" max="10" width="7.75" style="187" bestFit="1" customWidth="1"/>
    <col min="11" max="11" width="6" style="187" bestFit="1" customWidth="1"/>
    <col min="12" max="12" width="8.375" style="187" bestFit="1" customWidth="1"/>
    <col min="13" max="16384" width="9.125" style="187"/>
  </cols>
  <sheetData>
    <row r="1" spans="1:12" ht="36.950000000000003" customHeight="1">
      <c r="A1" s="78" t="s">
        <v>1282</v>
      </c>
    </row>
    <row r="2" spans="1:12">
      <c r="A2" s="187" t="s">
        <v>1283</v>
      </c>
    </row>
    <row r="3" spans="1:12">
      <c r="A3" s="187" t="s">
        <v>1284</v>
      </c>
    </row>
    <row r="6" spans="1:12" ht="45">
      <c r="A6" s="79" t="s">
        <v>1279</v>
      </c>
      <c r="B6" s="196" t="s">
        <v>353</v>
      </c>
      <c r="C6" s="196" t="s">
        <v>1285</v>
      </c>
      <c r="D6" s="196" t="s">
        <v>1001</v>
      </c>
      <c r="E6" s="196" t="s">
        <v>1002</v>
      </c>
      <c r="F6" s="196" t="s">
        <v>1278</v>
      </c>
      <c r="G6" s="196" t="s">
        <v>1286</v>
      </c>
      <c r="H6" s="196" t="s">
        <v>1287</v>
      </c>
      <c r="I6" s="196" t="s">
        <v>1288</v>
      </c>
      <c r="J6" s="196" t="s">
        <v>1289</v>
      </c>
      <c r="K6" s="196" t="s">
        <v>1290</v>
      </c>
      <c r="L6" s="197" t="s">
        <v>1291</v>
      </c>
    </row>
    <row r="7" spans="1:12" outlineLevel="2">
      <c r="A7" s="187" t="s">
        <v>1199</v>
      </c>
      <c r="B7" s="266" t="s">
        <v>1159</v>
      </c>
      <c r="C7" s="187" t="s">
        <v>1185</v>
      </c>
      <c r="D7" s="265">
        <v>43661</v>
      </c>
      <c r="E7" s="265">
        <v>43663</v>
      </c>
      <c r="F7" s="187">
        <v>1</v>
      </c>
      <c r="G7" s="187">
        <v>3</v>
      </c>
      <c r="H7" s="187">
        <v>3</v>
      </c>
      <c r="I7" s="187">
        <v>0</v>
      </c>
      <c r="J7" s="271">
        <v>1</v>
      </c>
      <c r="K7" s="271">
        <v>0</v>
      </c>
      <c r="L7" s="272">
        <f>K7-J7</f>
        <v>-1</v>
      </c>
    </row>
    <row r="8" spans="1:12" outlineLevel="2">
      <c r="A8" s="187" t="s">
        <v>1199</v>
      </c>
      <c r="B8" s="266" t="s">
        <v>1160</v>
      </c>
      <c r="C8" s="187" t="s">
        <v>1224</v>
      </c>
      <c r="D8" s="265">
        <v>43663</v>
      </c>
      <c r="E8" s="265">
        <v>43664</v>
      </c>
      <c r="F8" s="187">
        <v>1</v>
      </c>
      <c r="G8" s="187">
        <v>2</v>
      </c>
      <c r="H8" s="187">
        <v>2</v>
      </c>
      <c r="I8" s="187">
        <v>0</v>
      </c>
      <c r="J8" s="271">
        <v>1</v>
      </c>
      <c r="K8" s="271">
        <v>0</v>
      </c>
      <c r="L8" s="272">
        <f>K8-J8</f>
        <v>-1</v>
      </c>
    </row>
    <row r="9" spans="1:12" outlineLevel="2">
      <c r="A9" s="187" t="s">
        <v>1199</v>
      </c>
      <c r="B9" s="266" t="s">
        <v>1215</v>
      </c>
      <c r="C9" s="187" t="s">
        <v>1225</v>
      </c>
      <c r="D9" s="265">
        <v>43664</v>
      </c>
      <c r="E9" s="265">
        <v>43664</v>
      </c>
      <c r="F9" s="187">
        <v>1</v>
      </c>
      <c r="G9" s="187">
        <v>1</v>
      </c>
      <c r="H9" s="187">
        <v>1</v>
      </c>
      <c r="I9" s="187">
        <v>0</v>
      </c>
      <c r="J9" s="271">
        <v>1</v>
      </c>
      <c r="K9" s="271">
        <v>0</v>
      </c>
      <c r="L9" s="272">
        <f>K9-J9</f>
        <v>-1</v>
      </c>
    </row>
    <row r="10" spans="1:12" outlineLevel="2">
      <c r="A10" s="187" t="s">
        <v>1199</v>
      </c>
      <c r="B10" s="266" t="s">
        <v>1180</v>
      </c>
      <c r="C10" s="187" t="s">
        <v>1185</v>
      </c>
      <c r="D10" s="265">
        <v>43665</v>
      </c>
      <c r="E10" s="265">
        <v>43668</v>
      </c>
      <c r="F10" s="187">
        <v>1</v>
      </c>
      <c r="G10" s="187">
        <v>2</v>
      </c>
      <c r="H10" s="187">
        <v>2</v>
      </c>
      <c r="I10" s="187">
        <v>0</v>
      </c>
      <c r="J10" s="271">
        <v>1</v>
      </c>
      <c r="K10" s="271">
        <v>0</v>
      </c>
      <c r="L10" s="272">
        <f>K10-J10</f>
        <v>-1</v>
      </c>
    </row>
    <row r="11" spans="1:12" outlineLevel="2">
      <c r="A11" s="187" t="s">
        <v>1199</v>
      </c>
      <c r="B11" s="266" t="s">
        <v>1191</v>
      </c>
      <c r="C11" s="187" t="s">
        <v>1233</v>
      </c>
      <c r="D11" s="265">
        <v>43668</v>
      </c>
      <c r="E11" s="265">
        <v>43668</v>
      </c>
      <c r="F11" s="187">
        <v>1</v>
      </c>
      <c r="G11" s="187">
        <v>1</v>
      </c>
      <c r="H11" s="187">
        <v>1</v>
      </c>
      <c r="I11" s="187">
        <v>0</v>
      </c>
      <c r="J11" s="271">
        <v>1</v>
      </c>
      <c r="K11" s="271">
        <v>0</v>
      </c>
      <c r="L11" s="272">
        <f>K11-J11</f>
        <v>-1</v>
      </c>
    </row>
    <row r="12" spans="1:12" outlineLevel="1">
      <c r="A12" s="267" t="s">
        <v>1292</v>
      </c>
      <c r="B12" s="268"/>
      <c r="C12" s="269"/>
      <c r="D12" s="270"/>
      <c r="E12" s="270"/>
      <c r="F12" s="269"/>
      <c r="G12" s="269">
        <f>SUBTOTAL(9,G7:G11)</f>
        <v>9</v>
      </c>
      <c r="H12" s="269">
        <f>SUBTOTAL(9,H7:H11)</f>
        <v>9</v>
      </c>
      <c r="I12" s="269">
        <f>SUBTOTAL(9,I7:I11)</f>
        <v>0</v>
      </c>
      <c r="J12" s="273">
        <f>H12/G12</f>
        <v>1</v>
      </c>
      <c r="K12" s="273">
        <f>I12/G12</f>
        <v>0</v>
      </c>
      <c r="L12" s="274">
        <f>K12-J12</f>
        <v>-1</v>
      </c>
    </row>
    <row r="13" spans="1:12" outlineLevel="2">
      <c r="A13" s="187" t="s">
        <v>1175</v>
      </c>
      <c r="B13" s="266" t="s">
        <v>1074</v>
      </c>
      <c r="C13" s="187" t="s">
        <v>1176</v>
      </c>
      <c r="D13" s="265">
        <v>43657</v>
      </c>
      <c r="E13" s="265">
        <v>43658</v>
      </c>
      <c r="F13" s="187">
        <v>1</v>
      </c>
      <c r="G13" s="187">
        <v>2</v>
      </c>
      <c r="H13" s="187">
        <v>2</v>
      </c>
      <c r="I13" s="187">
        <v>0</v>
      </c>
      <c r="J13" s="271">
        <v>1</v>
      </c>
      <c r="K13" s="271">
        <v>0</v>
      </c>
      <c r="L13" s="272">
        <f>K13-J13</f>
        <v>-1</v>
      </c>
    </row>
    <row r="14" spans="1:12" outlineLevel="2">
      <c r="A14" s="187" t="s">
        <v>1175</v>
      </c>
      <c r="B14" s="266" t="s">
        <v>1075</v>
      </c>
      <c r="C14" s="187" t="s">
        <v>1177</v>
      </c>
      <c r="D14" s="265">
        <v>43661</v>
      </c>
      <c r="E14" s="265">
        <v>43661</v>
      </c>
      <c r="F14" s="187">
        <v>1</v>
      </c>
      <c r="G14" s="187">
        <v>1</v>
      </c>
      <c r="H14" s="187">
        <v>1</v>
      </c>
      <c r="I14" s="187">
        <v>0</v>
      </c>
      <c r="J14" s="271">
        <v>1</v>
      </c>
      <c r="K14" s="271">
        <v>0</v>
      </c>
      <c r="L14" s="272">
        <f>K14-J14</f>
        <v>-1</v>
      </c>
    </row>
    <row r="15" spans="1:12" outlineLevel="2">
      <c r="A15" s="187" t="s">
        <v>1175</v>
      </c>
      <c r="B15" s="266" t="s">
        <v>1273</v>
      </c>
      <c r="C15" s="187" t="s">
        <v>1274</v>
      </c>
      <c r="D15" s="265">
        <v>43662</v>
      </c>
      <c r="E15" s="265">
        <v>43662</v>
      </c>
      <c r="F15" s="187">
        <v>1</v>
      </c>
      <c r="G15" s="187">
        <v>1</v>
      </c>
      <c r="H15" s="187">
        <v>1</v>
      </c>
      <c r="I15" s="187">
        <v>0</v>
      </c>
      <c r="J15" s="271">
        <v>1</v>
      </c>
      <c r="K15" s="271">
        <v>0</v>
      </c>
      <c r="L15" s="272">
        <f>K15-J15</f>
        <v>-1</v>
      </c>
    </row>
    <row r="16" spans="1:12" outlineLevel="2">
      <c r="A16" s="187" t="s">
        <v>1175</v>
      </c>
      <c r="B16" s="266" t="s">
        <v>1253</v>
      </c>
      <c r="C16" s="187" t="s">
        <v>1234</v>
      </c>
      <c r="D16" s="265">
        <v>43665</v>
      </c>
      <c r="E16" s="265">
        <v>43665</v>
      </c>
      <c r="F16" s="187">
        <v>1</v>
      </c>
      <c r="G16" s="187">
        <v>1</v>
      </c>
      <c r="H16" s="187">
        <v>1</v>
      </c>
      <c r="I16" s="187">
        <v>0</v>
      </c>
      <c r="J16" s="271">
        <v>1</v>
      </c>
      <c r="K16" s="271">
        <v>0</v>
      </c>
      <c r="L16" s="272">
        <f>K16-J16</f>
        <v>-1</v>
      </c>
    </row>
    <row r="17" spans="1:12" outlineLevel="2">
      <c r="A17" s="187" t="s">
        <v>1175</v>
      </c>
      <c r="B17" s="266" t="s">
        <v>1227</v>
      </c>
      <c r="C17" s="187" t="s">
        <v>1221</v>
      </c>
      <c r="D17" s="265">
        <v>43663</v>
      </c>
      <c r="E17" s="265">
        <v>43664</v>
      </c>
      <c r="F17" s="187">
        <v>1</v>
      </c>
      <c r="G17" s="187">
        <v>2</v>
      </c>
      <c r="H17" s="187">
        <v>2</v>
      </c>
      <c r="I17" s="187">
        <v>0</v>
      </c>
      <c r="J17" s="271">
        <v>1</v>
      </c>
      <c r="K17" s="271">
        <v>0</v>
      </c>
      <c r="L17" s="272">
        <f>K17-J17</f>
        <v>-1</v>
      </c>
    </row>
    <row r="18" spans="1:12" outlineLevel="2">
      <c r="A18" s="187" t="s">
        <v>1175</v>
      </c>
      <c r="B18" s="266" t="s">
        <v>1228</v>
      </c>
      <c r="C18" s="187" t="s">
        <v>1220</v>
      </c>
      <c r="D18" s="265">
        <v>43663</v>
      </c>
      <c r="E18" s="265">
        <v>43664</v>
      </c>
      <c r="F18" s="187">
        <v>1</v>
      </c>
      <c r="G18" s="187">
        <v>2</v>
      </c>
      <c r="H18" s="187">
        <v>2</v>
      </c>
      <c r="I18" s="187">
        <v>0</v>
      </c>
      <c r="J18" s="271">
        <v>1</v>
      </c>
      <c r="K18" s="271">
        <v>0</v>
      </c>
      <c r="L18" s="272">
        <f>K18-J18</f>
        <v>-1</v>
      </c>
    </row>
    <row r="19" spans="1:12" outlineLevel="1">
      <c r="A19" s="267" t="s">
        <v>1293</v>
      </c>
      <c r="B19" s="268"/>
      <c r="C19" s="269"/>
      <c r="D19" s="270"/>
      <c r="E19" s="270"/>
      <c r="F19" s="269"/>
      <c r="G19" s="269">
        <f>SUBTOTAL(9,G13:G18)</f>
        <v>9</v>
      </c>
      <c r="H19" s="269">
        <f>SUBTOTAL(9,H13:H18)</f>
        <v>9</v>
      </c>
      <c r="I19" s="269">
        <f>SUBTOTAL(9,I13:I18)</f>
        <v>0</v>
      </c>
      <c r="J19" s="273">
        <f>H19/G19</f>
        <v>1</v>
      </c>
      <c r="K19" s="273">
        <f>I19/G19</f>
        <v>0</v>
      </c>
      <c r="L19" s="274">
        <f>K19-J19</f>
        <v>-1</v>
      </c>
    </row>
    <row r="20" spans="1:12" outlineLevel="2">
      <c r="A20" s="187" t="s">
        <v>1208</v>
      </c>
      <c r="B20" s="266" t="s">
        <v>1093</v>
      </c>
      <c r="C20" s="187" t="s">
        <v>1069</v>
      </c>
      <c r="D20" s="265">
        <v>43657</v>
      </c>
      <c r="E20" s="265">
        <v>43657</v>
      </c>
      <c r="F20" s="187">
        <v>1</v>
      </c>
      <c r="G20" s="187">
        <v>1</v>
      </c>
      <c r="H20" s="187">
        <v>1</v>
      </c>
      <c r="I20" s="187">
        <v>0</v>
      </c>
      <c r="J20" s="271">
        <v>1</v>
      </c>
      <c r="K20" s="271">
        <v>0</v>
      </c>
      <c r="L20" s="272">
        <f>K20-J20</f>
        <v>-1</v>
      </c>
    </row>
    <row r="21" spans="1:12" outlineLevel="2">
      <c r="A21" s="187" t="s">
        <v>1208</v>
      </c>
      <c r="B21" s="266" t="s">
        <v>1249</v>
      </c>
      <c r="C21" s="187" t="s">
        <v>1236</v>
      </c>
      <c r="D21" s="265">
        <v>43665</v>
      </c>
      <c r="E21" s="265">
        <v>43668</v>
      </c>
      <c r="F21" s="187">
        <v>1</v>
      </c>
      <c r="G21" s="187">
        <v>2</v>
      </c>
      <c r="H21" s="187">
        <v>2</v>
      </c>
      <c r="I21" s="187">
        <v>0</v>
      </c>
      <c r="J21" s="271">
        <v>1</v>
      </c>
      <c r="K21" s="271">
        <v>0</v>
      </c>
      <c r="L21" s="272">
        <f>K21-J21</f>
        <v>-1</v>
      </c>
    </row>
    <row r="22" spans="1:12" outlineLevel="2">
      <c r="A22" s="187" t="s">
        <v>1208</v>
      </c>
      <c r="B22" s="266" t="s">
        <v>1250</v>
      </c>
      <c r="C22" s="187" t="s">
        <v>1235</v>
      </c>
      <c r="D22" s="265">
        <v>43665</v>
      </c>
      <c r="E22" s="265">
        <v>43668</v>
      </c>
      <c r="F22" s="187">
        <v>1</v>
      </c>
      <c r="G22" s="187">
        <v>2</v>
      </c>
      <c r="H22" s="187">
        <v>2</v>
      </c>
      <c r="I22" s="187">
        <v>0</v>
      </c>
      <c r="J22" s="271">
        <v>1</v>
      </c>
      <c r="K22" s="271">
        <v>0</v>
      </c>
      <c r="L22" s="272">
        <f>K22-J22</f>
        <v>-1</v>
      </c>
    </row>
    <row r="23" spans="1:12" outlineLevel="2">
      <c r="A23" s="187" t="s">
        <v>1208</v>
      </c>
      <c r="B23" s="266" t="s">
        <v>1251</v>
      </c>
      <c r="C23" s="187" t="s">
        <v>1237</v>
      </c>
      <c r="D23" s="265">
        <v>43665</v>
      </c>
      <c r="E23" s="265">
        <v>43668</v>
      </c>
      <c r="F23" s="187">
        <v>1</v>
      </c>
      <c r="G23" s="187">
        <v>2</v>
      </c>
      <c r="H23" s="187">
        <v>2</v>
      </c>
      <c r="I23" s="187">
        <v>0</v>
      </c>
      <c r="J23" s="271">
        <v>1</v>
      </c>
      <c r="K23" s="271">
        <v>0</v>
      </c>
      <c r="L23" s="272">
        <f>K23-J23</f>
        <v>-1</v>
      </c>
    </row>
    <row r="24" spans="1:12" outlineLevel="2">
      <c r="A24" s="187" t="s">
        <v>1208</v>
      </c>
      <c r="B24" s="266" t="s">
        <v>1252</v>
      </c>
      <c r="C24" s="187" t="s">
        <v>1238</v>
      </c>
      <c r="D24" s="265">
        <v>43665</v>
      </c>
      <c r="E24" s="265">
        <v>43668</v>
      </c>
      <c r="F24" s="187">
        <v>1</v>
      </c>
      <c r="G24" s="187">
        <v>2</v>
      </c>
      <c r="H24" s="187">
        <v>2</v>
      </c>
      <c r="I24" s="187">
        <v>0</v>
      </c>
      <c r="J24" s="271">
        <v>1</v>
      </c>
      <c r="K24" s="271">
        <v>0</v>
      </c>
      <c r="L24" s="272">
        <f>K24-J24</f>
        <v>-1</v>
      </c>
    </row>
    <row r="25" spans="1:12" outlineLevel="2">
      <c r="A25" s="187" t="s">
        <v>1208</v>
      </c>
      <c r="B25" s="266" t="s">
        <v>1165</v>
      </c>
      <c r="C25" s="187" t="s">
        <v>1148</v>
      </c>
      <c r="D25" s="265">
        <v>43658</v>
      </c>
      <c r="E25" s="265">
        <v>43661</v>
      </c>
      <c r="F25" s="187">
        <v>1</v>
      </c>
      <c r="G25" s="187">
        <v>2</v>
      </c>
      <c r="H25" s="187">
        <v>2</v>
      </c>
      <c r="I25" s="187">
        <v>0</v>
      </c>
      <c r="J25" s="271">
        <v>1</v>
      </c>
      <c r="K25" s="271">
        <v>0</v>
      </c>
      <c r="L25" s="272">
        <f>K25-J25</f>
        <v>-1</v>
      </c>
    </row>
    <row r="26" spans="1:12" outlineLevel="2">
      <c r="A26" s="187" t="s">
        <v>1208</v>
      </c>
      <c r="B26" s="266" t="s">
        <v>1217</v>
      </c>
      <c r="C26" s="187" t="s">
        <v>1154</v>
      </c>
      <c r="D26" s="265">
        <v>43662</v>
      </c>
      <c r="E26" s="265">
        <v>43663</v>
      </c>
      <c r="F26" s="187">
        <v>1</v>
      </c>
      <c r="G26" s="187">
        <v>2</v>
      </c>
      <c r="H26" s="187">
        <v>2</v>
      </c>
      <c r="I26" s="187">
        <v>0</v>
      </c>
      <c r="J26" s="271">
        <v>1</v>
      </c>
      <c r="K26" s="271">
        <v>0</v>
      </c>
      <c r="L26" s="272">
        <f>K26-J26</f>
        <v>-1</v>
      </c>
    </row>
    <row r="27" spans="1:12" outlineLevel="2">
      <c r="A27" s="187" t="s">
        <v>1208</v>
      </c>
      <c r="B27" s="266" t="s">
        <v>1245</v>
      </c>
      <c r="C27" s="187" t="s">
        <v>1241</v>
      </c>
      <c r="D27" s="265">
        <v>43664</v>
      </c>
      <c r="E27" s="265">
        <v>43664</v>
      </c>
      <c r="F27" s="187">
        <v>1</v>
      </c>
      <c r="G27" s="187">
        <v>1</v>
      </c>
      <c r="H27" s="187">
        <v>1</v>
      </c>
      <c r="I27" s="187">
        <v>0</v>
      </c>
      <c r="J27" s="271">
        <v>1</v>
      </c>
      <c r="K27" s="271">
        <v>0</v>
      </c>
      <c r="L27" s="272">
        <f>K27-J27</f>
        <v>-1</v>
      </c>
    </row>
    <row r="28" spans="1:12" outlineLevel="2">
      <c r="A28" s="187" t="s">
        <v>1208</v>
      </c>
      <c r="B28" s="266" t="s">
        <v>1192</v>
      </c>
      <c r="C28" s="187" t="s">
        <v>1186</v>
      </c>
      <c r="D28" s="265">
        <v>43665</v>
      </c>
      <c r="E28" s="265">
        <v>43665</v>
      </c>
      <c r="F28" s="187">
        <v>1</v>
      </c>
      <c r="G28" s="187">
        <v>1</v>
      </c>
      <c r="H28" s="187">
        <v>1</v>
      </c>
      <c r="I28" s="187">
        <v>0</v>
      </c>
      <c r="J28" s="271">
        <v>1</v>
      </c>
      <c r="K28" s="271">
        <v>0</v>
      </c>
      <c r="L28" s="272">
        <f>K28-J28</f>
        <v>-1</v>
      </c>
    </row>
    <row r="29" spans="1:12" outlineLevel="1">
      <c r="A29" s="267" t="s">
        <v>1294</v>
      </c>
      <c r="B29" s="268"/>
      <c r="C29" s="269"/>
      <c r="D29" s="270"/>
      <c r="E29" s="270"/>
      <c r="F29" s="269"/>
      <c r="G29" s="269">
        <f>SUBTOTAL(9,G20:G28)</f>
        <v>15</v>
      </c>
      <c r="H29" s="269">
        <f>SUBTOTAL(9,H20:H28)</f>
        <v>15</v>
      </c>
      <c r="I29" s="269">
        <f>SUBTOTAL(9,I20:I28)</f>
        <v>0</v>
      </c>
      <c r="J29" s="273">
        <f>H29/G29</f>
        <v>1</v>
      </c>
      <c r="K29" s="273">
        <f>I29/G29</f>
        <v>0</v>
      </c>
      <c r="L29" s="274">
        <f>K29-J29</f>
        <v>-1</v>
      </c>
    </row>
    <row r="30" spans="1:12" outlineLevel="2">
      <c r="A30" s="187" t="s">
        <v>1132</v>
      </c>
      <c r="B30" s="266" t="s">
        <v>1067</v>
      </c>
      <c r="C30" s="187" t="s">
        <v>1058</v>
      </c>
      <c r="D30" s="265">
        <v>43656</v>
      </c>
      <c r="E30" s="265">
        <v>43658</v>
      </c>
      <c r="F30" s="187">
        <v>1</v>
      </c>
      <c r="G30" s="187">
        <v>3</v>
      </c>
      <c r="H30" s="187">
        <v>3</v>
      </c>
      <c r="I30" s="187">
        <v>0</v>
      </c>
      <c r="J30" s="271">
        <v>1</v>
      </c>
      <c r="K30" s="271">
        <v>0</v>
      </c>
      <c r="L30" s="272">
        <f>K30-J30</f>
        <v>-1</v>
      </c>
    </row>
    <row r="31" spans="1:12" outlineLevel="2">
      <c r="A31" s="187" t="s">
        <v>1132</v>
      </c>
      <c r="B31" s="266" t="s">
        <v>1076</v>
      </c>
      <c r="C31" s="187" t="s">
        <v>1178</v>
      </c>
      <c r="D31" s="265">
        <v>43658</v>
      </c>
      <c r="E31" s="265">
        <v>43658</v>
      </c>
      <c r="F31" s="187">
        <v>1</v>
      </c>
      <c r="G31" s="187">
        <v>1</v>
      </c>
      <c r="H31" s="187">
        <v>1</v>
      </c>
      <c r="I31" s="187">
        <v>0</v>
      </c>
      <c r="J31" s="271">
        <v>1</v>
      </c>
      <c r="K31" s="271">
        <v>0</v>
      </c>
      <c r="L31" s="272">
        <f>K31-J31</f>
        <v>-1</v>
      </c>
    </row>
    <row r="32" spans="1:12" outlineLevel="2">
      <c r="A32" s="187" t="s">
        <v>1132</v>
      </c>
      <c r="B32" s="266" t="s">
        <v>1257</v>
      </c>
      <c r="C32" s="187" t="s">
        <v>1255</v>
      </c>
      <c r="D32" s="265">
        <v>43661</v>
      </c>
      <c r="E32" s="265">
        <v>43661</v>
      </c>
      <c r="F32" s="187">
        <v>1</v>
      </c>
      <c r="G32" s="187">
        <v>1</v>
      </c>
      <c r="H32" s="187">
        <v>1</v>
      </c>
      <c r="I32" s="187">
        <v>0</v>
      </c>
      <c r="J32" s="271">
        <v>1</v>
      </c>
      <c r="K32" s="271">
        <v>0</v>
      </c>
      <c r="L32" s="272">
        <f>K32-J32</f>
        <v>-1</v>
      </c>
    </row>
    <row r="33" spans="1:12" outlineLevel="2">
      <c r="A33" s="187" t="s">
        <v>1132</v>
      </c>
      <c r="B33" s="266" t="s">
        <v>1090</v>
      </c>
      <c r="C33" s="187" t="s">
        <v>1272</v>
      </c>
      <c r="D33" s="265">
        <v>43669</v>
      </c>
      <c r="E33" s="265">
        <v>43669</v>
      </c>
      <c r="F33" s="187">
        <v>1</v>
      </c>
      <c r="G33" s="187">
        <v>1</v>
      </c>
      <c r="H33" s="187">
        <v>1</v>
      </c>
      <c r="I33" s="187">
        <v>0</v>
      </c>
      <c r="J33" s="271">
        <v>1</v>
      </c>
      <c r="K33" s="271">
        <v>0</v>
      </c>
      <c r="L33" s="272">
        <f>K33-J33</f>
        <v>-1</v>
      </c>
    </row>
    <row r="34" spans="1:12" outlineLevel="2">
      <c r="A34" s="187" t="s">
        <v>1132</v>
      </c>
      <c r="B34" s="266" t="s">
        <v>1094</v>
      </c>
      <c r="C34" s="187" t="s">
        <v>1070</v>
      </c>
      <c r="D34" s="265">
        <v>43661</v>
      </c>
      <c r="E34" s="265">
        <v>43661</v>
      </c>
      <c r="F34" s="187">
        <v>1</v>
      </c>
      <c r="G34" s="187">
        <v>1</v>
      </c>
      <c r="H34" s="187">
        <v>1</v>
      </c>
      <c r="I34" s="187">
        <v>0</v>
      </c>
      <c r="J34" s="271">
        <v>1</v>
      </c>
      <c r="K34" s="271">
        <v>0</v>
      </c>
      <c r="L34" s="272">
        <f>K34-J34</f>
        <v>-1</v>
      </c>
    </row>
    <row r="35" spans="1:12" outlineLevel="2">
      <c r="A35" s="187" t="s">
        <v>1132</v>
      </c>
      <c r="B35" s="266" t="s">
        <v>1247</v>
      </c>
      <c r="C35" s="187" t="s">
        <v>1243</v>
      </c>
      <c r="D35" s="265">
        <v>43668</v>
      </c>
      <c r="E35" s="265">
        <v>43668</v>
      </c>
      <c r="F35" s="187">
        <v>1</v>
      </c>
      <c r="G35" s="187">
        <v>1</v>
      </c>
      <c r="H35" s="187">
        <v>1</v>
      </c>
      <c r="I35" s="187">
        <v>0</v>
      </c>
      <c r="J35" s="271">
        <v>1</v>
      </c>
      <c r="K35" s="271">
        <v>0</v>
      </c>
      <c r="L35" s="272">
        <f>K35-J35</f>
        <v>-1</v>
      </c>
    </row>
    <row r="36" spans="1:12" outlineLevel="2">
      <c r="A36" s="187" t="s">
        <v>1132</v>
      </c>
      <c r="B36" s="266" t="s">
        <v>1248</v>
      </c>
      <c r="C36" s="187" t="s">
        <v>1244</v>
      </c>
      <c r="D36" s="265">
        <v>43669</v>
      </c>
      <c r="E36" s="265">
        <v>43669</v>
      </c>
      <c r="F36" s="187">
        <v>1</v>
      </c>
      <c r="G36" s="187">
        <v>1</v>
      </c>
      <c r="H36" s="187">
        <v>1</v>
      </c>
      <c r="I36" s="187">
        <v>0</v>
      </c>
      <c r="J36" s="271">
        <v>1</v>
      </c>
      <c r="K36" s="271">
        <v>0</v>
      </c>
      <c r="L36" s="272">
        <f>K36-J36</f>
        <v>-1</v>
      </c>
    </row>
    <row r="37" spans="1:12" outlineLevel="2">
      <c r="A37" s="187" t="s">
        <v>1132</v>
      </c>
      <c r="B37" s="266" t="s">
        <v>1223</v>
      </c>
      <c r="C37" s="187" t="s">
        <v>1210</v>
      </c>
      <c r="D37" s="265">
        <v>43663</v>
      </c>
      <c r="E37" s="265">
        <v>43665</v>
      </c>
      <c r="F37" s="187">
        <v>1</v>
      </c>
      <c r="G37" s="187">
        <v>3</v>
      </c>
      <c r="H37" s="187">
        <v>3</v>
      </c>
      <c r="I37" s="187">
        <v>0</v>
      </c>
      <c r="J37" s="271">
        <v>1</v>
      </c>
      <c r="K37" s="271">
        <v>0</v>
      </c>
      <c r="L37" s="272">
        <f>K37-J37</f>
        <v>-1</v>
      </c>
    </row>
    <row r="38" spans="1:12" outlineLevel="2">
      <c r="A38" s="187" t="s">
        <v>1132</v>
      </c>
      <c r="B38" s="266" t="s">
        <v>1218</v>
      </c>
      <c r="C38" s="187" t="s">
        <v>1211</v>
      </c>
      <c r="D38" s="265">
        <v>43663</v>
      </c>
      <c r="E38" s="265">
        <v>43665</v>
      </c>
      <c r="F38" s="187">
        <v>1</v>
      </c>
      <c r="G38" s="187">
        <v>3</v>
      </c>
      <c r="H38" s="187">
        <v>3</v>
      </c>
      <c r="I38" s="187">
        <v>0</v>
      </c>
      <c r="J38" s="271">
        <v>1</v>
      </c>
      <c r="K38" s="271">
        <v>0</v>
      </c>
      <c r="L38" s="272">
        <f>K38-J38</f>
        <v>-1</v>
      </c>
    </row>
    <row r="39" spans="1:12" outlineLevel="2">
      <c r="A39" s="187" t="s">
        <v>1132</v>
      </c>
      <c r="B39" s="266" t="s">
        <v>1170</v>
      </c>
      <c r="C39" s="187" t="s">
        <v>1152</v>
      </c>
      <c r="D39" s="265">
        <v>43662</v>
      </c>
      <c r="E39" s="265">
        <v>43662</v>
      </c>
      <c r="F39" s="187">
        <v>1</v>
      </c>
      <c r="G39" s="187">
        <v>1</v>
      </c>
      <c r="H39" s="187">
        <v>1</v>
      </c>
      <c r="I39" s="187">
        <v>0</v>
      </c>
      <c r="J39" s="271">
        <v>1</v>
      </c>
      <c r="K39" s="271">
        <v>0</v>
      </c>
      <c r="L39" s="272">
        <f>K39-J39</f>
        <v>-1</v>
      </c>
    </row>
    <row r="40" spans="1:12" outlineLevel="2">
      <c r="A40" s="187" t="s">
        <v>1132</v>
      </c>
      <c r="B40" s="266" t="s">
        <v>1171</v>
      </c>
      <c r="C40" s="187" t="s">
        <v>1153</v>
      </c>
      <c r="D40" s="265">
        <v>43662</v>
      </c>
      <c r="E40" s="265">
        <v>43662</v>
      </c>
      <c r="F40" s="187">
        <v>1</v>
      </c>
      <c r="G40" s="187">
        <v>1</v>
      </c>
      <c r="H40" s="187">
        <v>1</v>
      </c>
      <c r="I40" s="187">
        <v>0</v>
      </c>
      <c r="J40" s="271">
        <v>1</v>
      </c>
      <c r="K40" s="271">
        <v>0</v>
      </c>
      <c r="L40" s="272">
        <f>K40-J40</f>
        <v>-1</v>
      </c>
    </row>
    <row r="41" spans="1:12" outlineLevel="2">
      <c r="A41" s="187" t="s">
        <v>1132</v>
      </c>
      <c r="B41" s="266" t="s">
        <v>1190</v>
      </c>
      <c r="C41" s="187" t="s">
        <v>1212</v>
      </c>
      <c r="D41" s="265">
        <v>43663</v>
      </c>
      <c r="E41" s="265">
        <v>43665</v>
      </c>
      <c r="F41" s="187">
        <v>1</v>
      </c>
      <c r="G41" s="187">
        <v>3</v>
      </c>
      <c r="H41" s="187">
        <v>3</v>
      </c>
      <c r="I41" s="187">
        <v>0</v>
      </c>
      <c r="J41" s="271">
        <v>1</v>
      </c>
      <c r="K41" s="271">
        <v>0</v>
      </c>
      <c r="L41" s="272">
        <f>K41-J41</f>
        <v>-1</v>
      </c>
    </row>
    <row r="42" spans="1:12" outlineLevel="2">
      <c r="A42" s="187" t="s">
        <v>1132</v>
      </c>
      <c r="B42" s="266" t="s">
        <v>1232</v>
      </c>
      <c r="C42" s="187" t="s">
        <v>1214</v>
      </c>
      <c r="D42" s="265">
        <v>43663</v>
      </c>
      <c r="E42" s="265">
        <v>43665</v>
      </c>
      <c r="F42" s="187">
        <v>1</v>
      </c>
      <c r="G42" s="187">
        <v>3</v>
      </c>
      <c r="H42" s="187">
        <v>3</v>
      </c>
      <c r="I42" s="187">
        <v>0</v>
      </c>
      <c r="J42" s="271">
        <v>1</v>
      </c>
      <c r="K42" s="271">
        <v>0</v>
      </c>
      <c r="L42" s="272">
        <f>K42-J42</f>
        <v>-1</v>
      </c>
    </row>
    <row r="43" spans="1:12" outlineLevel="1">
      <c r="A43" s="267" t="s">
        <v>1295</v>
      </c>
      <c r="B43" s="268"/>
      <c r="C43" s="269"/>
      <c r="D43" s="270"/>
      <c r="E43" s="270"/>
      <c r="F43" s="269"/>
      <c r="G43" s="269">
        <f>SUBTOTAL(9,G30:G42)</f>
        <v>23</v>
      </c>
      <c r="H43" s="269">
        <f>SUBTOTAL(9,H30:H42)</f>
        <v>23</v>
      </c>
      <c r="I43" s="269">
        <f>SUBTOTAL(9,I30:I42)</f>
        <v>0</v>
      </c>
      <c r="J43" s="273">
        <f>H43/G43</f>
        <v>1</v>
      </c>
      <c r="K43" s="273">
        <f>I43/G43</f>
        <v>0</v>
      </c>
      <c r="L43" s="274">
        <f>K43-J43</f>
        <v>-1</v>
      </c>
    </row>
    <row r="44" spans="1:12" outlineLevel="2">
      <c r="A44" s="187" t="s">
        <v>1130</v>
      </c>
      <c r="B44" s="266" t="s">
        <v>1052</v>
      </c>
      <c r="C44" s="187" t="s">
        <v>1046</v>
      </c>
      <c r="D44" s="265">
        <v>43654</v>
      </c>
      <c r="E44" s="265">
        <v>43654</v>
      </c>
      <c r="F44" s="187">
        <v>1</v>
      </c>
      <c r="G44" s="187">
        <v>1</v>
      </c>
      <c r="H44" s="187">
        <v>1</v>
      </c>
      <c r="I44" s="187">
        <v>0</v>
      </c>
      <c r="J44" s="271">
        <v>1</v>
      </c>
      <c r="K44" s="271">
        <v>0</v>
      </c>
      <c r="L44" s="272">
        <f>K44-J44</f>
        <v>-1</v>
      </c>
    </row>
    <row r="45" spans="1:12" outlineLevel="2">
      <c r="A45" s="187" t="s">
        <v>1130</v>
      </c>
      <c r="B45" s="266" t="s">
        <v>1053</v>
      </c>
      <c r="C45" s="187" t="s">
        <v>1047</v>
      </c>
      <c r="D45" s="265">
        <v>43655</v>
      </c>
      <c r="E45" s="265">
        <v>43655</v>
      </c>
      <c r="F45" s="187">
        <v>1</v>
      </c>
      <c r="G45" s="187">
        <v>1</v>
      </c>
      <c r="H45" s="187">
        <v>1</v>
      </c>
      <c r="I45" s="187">
        <v>0</v>
      </c>
      <c r="J45" s="271">
        <v>1</v>
      </c>
      <c r="K45" s="271">
        <v>0</v>
      </c>
      <c r="L45" s="272">
        <f>K45-J45</f>
        <v>-1</v>
      </c>
    </row>
    <row r="46" spans="1:12" outlineLevel="2">
      <c r="A46" s="187" t="s">
        <v>1130</v>
      </c>
      <c r="B46" s="266" t="s">
        <v>1054</v>
      </c>
      <c r="C46" s="187" t="s">
        <v>1048</v>
      </c>
      <c r="D46" s="265">
        <v>43655</v>
      </c>
      <c r="E46" s="265">
        <v>43655</v>
      </c>
      <c r="F46" s="187">
        <v>1</v>
      </c>
      <c r="G46" s="187">
        <v>1</v>
      </c>
      <c r="H46" s="187">
        <v>1</v>
      </c>
      <c r="I46" s="187">
        <v>0</v>
      </c>
      <c r="J46" s="271">
        <v>1</v>
      </c>
      <c r="K46" s="271">
        <v>0</v>
      </c>
      <c r="L46" s="272">
        <f>K46-J46</f>
        <v>-1</v>
      </c>
    </row>
    <row r="47" spans="1:12" outlineLevel="2">
      <c r="A47" s="187" t="s">
        <v>1130</v>
      </c>
      <c r="B47" s="266" t="s">
        <v>1055</v>
      </c>
      <c r="C47" s="187" t="s">
        <v>1049</v>
      </c>
      <c r="D47" s="265">
        <v>43655</v>
      </c>
      <c r="E47" s="265">
        <v>43655</v>
      </c>
      <c r="F47" s="187">
        <v>1</v>
      </c>
      <c r="G47" s="187">
        <v>1</v>
      </c>
      <c r="H47" s="187">
        <v>1</v>
      </c>
      <c r="I47" s="187">
        <v>0</v>
      </c>
      <c r="J47" s="271">
        <v>1</v>
      </c>
      <c r="K47" s="271">
        <v>0</v>
      </c>
      <c r="L47" s="272">
        <f>K47-J47</f>
        <v>-1</v>
      </c>
    </row>
    <row r="48" spans="1:12" outlineLevel="2">
      <c r="A48" s="187" t="s">
        <v>1130</v>
      </c>
      <c r="B48" s="266" t="s">
        <v>1061</v>
      </c>
      <c r="C48" s="187" t="s">
        <v>1046</v>
      </c>
      <c r="D48" s="265">
        <v>43656</v>
      </c>
      <c r="E48" s="265">
        <v>43656</v>
      </c>
      <c r="F48" s="187">
        <v>1</v>
      </c>
      <c r="G48" s="187">
        <v>1</v>
      </c>
      <c r="H48" s="187">
        <v>1</v>
      </c>
      <c r="I48" s="187">
        <v>0</v>
      </c>
      <c r="J48" s="271">
        <v>1</v>
      </c>
      <c r="K48" s="271">
        <v>0</v>
      </c>
      <c r="L48" s="272">
        <f>K48-J48</f>
        <v>-1</v>
      </c>
    </row>
    <row r="49" spans="1:12" outlineLevel="2">
      <c r="A49" s="187" t="s">
        <v>1130</v>
      </c>
      <c r="B49" s="266" t="s">
        <v>1062</v>
      </c>
      <c r="C49" s="187" t="s">
        <v>1048</v>
      </c>
      <c r="D49" s="265">
        <v>43656</v>
      </c>
      <c r="E49" s="265">
        <v>43656</v>
      </c>
      <c r="F49" s="187">
        <v>1</v>
      </c>
      <c r="G49" s="187">
        <v>1</v>
      </c>
      <c r="H49" s="187">
        <v>1</v>
      </c>
      <c r="I49" s="187">
        <v>0</v>
      </c>
      <c r="J49" s="271">
        <v>1</v>
      </c>
      <c r="K49" s="271">
        <v>0</v>
      </c>
      <c r="L49" s="272">
        <f>K49-J49</f>
        <v>-1</v>
      </c>
    </row>
    <row r="50" spans="1:12" outlineLevel="2">
      <c r="A50" s="187" t="s">
        <v>1130</v>
      </c>
      <c r="B50" s="266" t="s">
        <v>1063</v>
      </c>
      <c r="C50" s="187" t="s">
        <v>1049</v>
      </c>
      <c r="D50" s="265">
        <v>43656</v>
      </c>
      <c r="E50" s="265">
        <v>43656</v>
      </c>
      <c r="F50" s="187">
        <v>1</v>
      </c>
      <c r="G50" s="187">
        <v>1</v>
      </c>
      <c r="H50" s="187">
        <v>1</v>
      </c>
      <c r="I50" s="187">
        <v>0</v>
      </c>
      <c r="J50" s="271">
        <v>1</v>
      </c>
      <c r="K50" s="271">
        <v>0</v>
      </c>
      <c r="L50" s="272">
        <f>K50-J50</f>
        <v>-1</v>
      </c>
    </row>
    <row r="51" spans="1:12" outlineLevel="2">
      <c r="A51" s="187" t="s">
        <v>1130</v>
      </c>
      <c r="B51" s="266" t="s">
        <v>1066</v>
      </c>
      <c r="C51" s="187" t="s">
        <v>1057</v>
      </c>
      <c r="D51" s="265">
        <v>43656</v>
      </c>
      <c r="E51" s="265">
        <v>43658</v>
      </c>
      <c r="F51" s="187">
        <v>1</v>
      </c>
      <c r="G51" s="187">
        <v>3</v>
      </c>
      <c r="H51" s="187">
        <v>3</v>
      </c>
      <c r="I51" s="187">
        <v>0</v>
      </c>
      <c r="J51" s="271">
        <v>1</v>
      </c>
      <c r="K51" s="271">
        <v>0</v>
      </c>
      <c r="L51" s="272">
        <f>K51-J51</f>
        <v>-1</v>
      </c>
    </row>
    <row r="52" spans="1:12" outlineLevel="2">
      <c r="A52" s="187" t="s">
        <v>1130</v>
      </c>
      <c r="B52" s="266" t="s">
        <v>1095</v>
      </c>
      <c r="C52" s="187" t="s">
        <v>1071</v>
      </c>
      <c r="D52" s="265">
        <v>43661</v>
      </c>
      <c r="E52" s="265">
        <v>43661</v>
      </c>
      <c r="F52" s="187">
        <v>1</v>
      </c>
      <c r="G52" s="187">
        <v>1</v>
      </c>
      <c r="H52" s="187">
        <v>1</v>
      </c>
      <c r="I52" s="187">
        <v>0</v>
      </c>
      <c r="J52" s="271">
        <v>1</v>
      </c>
      <c r="K52" s="271">
        <v>0</v>
      </c>
      <c r="L52" s="272">
        <f>K52-J52</f>
        <v>-1</v>
      </c>
    </row>
    <row r="53" spans="1:12" outlineLevel="2">
      <c r="A53" s="187" t="s">
        <v>1130</v>
      </c>
      <c r="B53" s="266" t="s">
        <v>1173</v>
      </c>
      <c r="C53" s="187" t="s">
        <v>1150</v>
      </c>
      <c r="D53" s="265">
        <v>43657</v>
      </c>
      <c r="E53" s="265">
        <v>43658</v>
      </c>
      <c r="F53" s="187">
        <v>1</v>
      </c>
      <c r="G53" s="187">
        <v>2</v>
      </c>
      <c r="H53" s="187">
        <v>2</v>
      </c>
      <c r="I53" s="187">
        <v>0</v>
      </c>
      <c r="J53" s="271">
        <v>1</v>
      </c>
      <c r="K53" s="271">
        <v>0</v>
      </c>
      <c r="L53" s="272">
        <f>K53-J53</f>
        <v>-1</v>
      </c>
    </row>
    <row r="54" spans="1:12" outlineLevel="2">
      <c r="A54" s="187" t="s">
        <v>1130</v>
      </c>
      <c r="B54" s="266" t="s">
        <v>1179</v>
      </c>
      <c r="C54" s="187" t="s">
        <v>1213</v>
      </c>
      <c r="D54" s="265">
        <v>43658</v>
      </c>
      <c r="E54" s="265">
        <v>43661</v>
      </c>
      <c r="F54" s="187">
        <v>1</v>
      </c>
      <c r="G54" s="187">
        <v>2</v>
      </c>
      <c r="H54" s="187">
        <v>2</v>
      </c>
      <c r="I54" s="187">
        <v>0</v>
      </c>
      <c r="J54" s="271">
        <v>1</v>
      </c>
      <c r="K54" s="271">
        <v>0</v>
      </c>
      <c r="L54" s="272">
        <f>K54-J54</f>
        <v>-1</v>
      </c>
    </row>
    <row r="55" spans="1:12" outlineLevel="2">
      <c r="A55" s="187" t="s">
        <v>1130</v>
      </c>
      <c r="B55" s="266" t="s">
        <v>1229</v>
      </c>
      <c r="C55" s="187" t="s">
        <v>1188</v>
      </c>
      <c r="D55" s="265">
        <v>43661</v>
      </c>
      <c r="E55" s="265">
        <v>43662</v>
      </c>
      <c r="F55" s="187">
        <v>1</v>
      </c>
      <c r="G55" s="187">
        <v>2</v>
      </c>
      <c r="H55" s="187">
        <v>2</v>
      </c>
      <c r="I55" s="187">
        <v>0</v>
      </c>
      <c r="J55" s="271">
        <v>1</v>
      </c>
      <c r="K55" s="271">
        <v>0</v>
      </c>
      <c r="L55" s="272">
        <f>K55-J55</f>
        <v>-1</v>
      </c>
    </row>
    <row r="56" spans="1:12" outlineLevel="2">
      <c r="A56" s="187" t="s">
        <v>1130</v>
      </c>
      <c r="B56" s="266" t="s">
        <v>1230</v>
      </c>
      <c r="C56" s="187" t="s">
        <v>1182</v>
      </c>
      <c r="D56" s="265">
        <v>43662</v>
      </c>
      <c r="E56" s="265">
        <v>43662</v>
      </c>
      <c r="F56" s="187">
        <v>1</v>
      </c>
      <c r="G56" s="187">
        <v>1</v>
      </c>
      <c r="H56" s="187">
        <v>1</v>
      </c>
      <c r="I56" s="187">
        <v>0</v>
      </c>
      <c r="J56" s="271">
        <v>1</v>
      </c>
      <c r="K56" s="271">
        <v>0</v>
      </c>
      <c r="L56" s="272">
        <f>K56-J56</f>
        <v>-1</v>
      </c>
    </row>
    <row r="57" spans="1:12" outlineLevel="2">
      <c r="A57" s="187" t="s">
        <v>1130</v>
      </c>
      <c r="B57" s="266" t="s">
        <v>1231</v>
      </c>
      <c r="C57" s="187" t="s">
        <v>1189</v>
      </c>
      <c r="D57" s="265">
        <v>43663</v>
      </c>
      <c r="E57" s="265">
        <v>43664</v>
      </c>
      <c r="F57" s="187">
        <v>1</v>
      </c>
      <c r="G57" s="187">
        <v>2</v>
      </c>
      <c r="H57" s="187">
        <v>2</v>
      </c>
      <c r="I57" s="187">
        <v>0</v>
      </c>
      <c r="J57" s="271">
        <v>1</v>
      </c>
      <c r="K57" s="271">
        <v>0</v>
      </c>
      <c r="L57" s="272">
        <f>K57-J57</f>
        <v>-1</v>
      </c>
    </row>
    <row r="58" spans="1:12" outlineLevel="2">
      <c r="A58" s="187" t="s">
        <v>1130</v>
      </c>
      <c r="B58" s="266" t="s">
        <v>1246</v>
      </c>
      <c r="C58" s="187" t="s">
        <v>1242</v>
      </c>
      <c r="D58" s="265">
        <v>43664</v>
      </c>
      <c r="E58" s="265">
        <v>43665</v>
      </c>
      <c r="F58" s="187">
        <v>1</v>
      </c>
      <c r="G58" s="187">
        <v>2</v>
      </c>
      <c r="H58" s="187">
        <v>2</v>
      </c>
      <c r="I58" s="187">
        <v>0</v>
      </c>
      <c r="J58" s="271">
        <v>1</v>
      </c>
      <c r="K58" s="271">
        <v>0</v>
      </c>
      <c r="L58" s="272">
        <f>K58-J58</f>
        <v>-1</v>
      </c>
    </row>
    <row r="59" spans="1:12" outlineLevel="1">
      <c r="A59" s="267" t="s">
        <v>1296</v>
      </c>
      <c r="B59" s="268"/>
      <c r="C59" s="269"/>
      <c r="D59" s="270"/>
      <c r="E59" s="270"/>
      <c r="F59" s="269"/>
      <c r="G59" s="269">
        <f>SUBTOTAL(9,G44:G58)</f>
        <v>22</v>
      </c>
      <c r="H59" s="269">
        <f>SUBTOTAL(9,H44:H58)</f>
        <v>22</v>
      </c>
      <c r="I59" s="269">
        <f>SUBTOTAL(9,I44:I58)</f>
        <v>0</v>
      </c>
      <c r="J59" s="273">
        <f>H59/G59</f>
        <v>1</v>
      </c>
      <c r="K59" s="273">
        <f>I59/G59</f>
        <v>0</v>
      </c>
      <c r="L59" s="274">
        <f>K59-J59</f>
        <v>-1</v>
      </c>
    </row>
    <row r="60" spans="1:12" outlineLevel="2">
      <c r="A60" s="187" t="s">
        <v>1128</v>
      </c>
      <c r="B60" s="266" t="s">
        <v>1065</v>
      </c>
      <c r="C60" s="187" t="s">
        <v>1059</v>
      </c>
      <c r="D60" s="265">
        <v>43656</v>
      </c>
      <c r="E60" s="265">
        <v>43658</v>
      </c>
      <c r="F60" s="187">
        <v>1</v>
      </c>
      <c r="G60" s="187">
        <v>3</v>
      </c>
      <c r="H60" s="187">
        <v>3</v>
      </c>
      <c r="I60" s="187">
        <v>0</v>
      </c>
      <c r="J60" s="271">
        <v>1</v>
      </c>
      <c r="K60" s="271">
        <v>0</v>
      </c>
      <c r="L60" s="272">
        <f>K60-J60</f>
        <v>-1</v>
      </c>
    </row>
    <row r="61" spans="1:12" outlineLevel="2">
      <c r="A61" s="187" t="s">
        <v>1128</v>
      </c>
      <c r="B61" s="266" t="s">
        <v>1254</v>
      </c>
      <c r="C61" s="187" t="s">
        <v>1256</v>
      </c>
      <c r="D61" s="265">
        <v>43661</v>
      </c>
      <c r="E61" s="265">
        <v>43661</v>
      </c>
      <c r="F61" s="187">
        <v>1</v>
      </c>
      <c r="G61" s="187">
        <v>1</v>
      </c>
      <c r="H61" s="187">
        <v>1</v>
      </c>
      <c r="I61" s="187">
        <v>0</v>
      </c>
      <c r="J61" s="271">
        <v>1</v>
      </c>
      <c r="K61" s="271">
        <v>0</v>
      </c>
      <c r="L61" s="272">
        <f>K61-J61</f>
        <v>-1</v>
      </c>
    </row>
    <row r="62" spans="1:12" outlineLevel="2">
      <c r="A62" s="187" t="s">
        <v>1128</v>
      </c>
      <c r="B62" s="266" t="s">
        <v>1091</v>
      </c>
      <c r="C62" s="187" t="s">
        <v>1078</v>
      </c>
      <c r="D62" s="265">
        <v>43662</v>
      </c>
      <c r="E62" s="265">
        <v>43662</v>
      </c>
      <c r="F62" s="187">
        <v>1</v>
      </c>
      <c r="G62" s="187">
        <v>1</v>
      </c>
      <c r="H62" s="187">
        <v>1</v>
      </c>
      <c r="I62" s="187">
        <v>0</v>
      </c>
      <c r="J62" s="271">
        <v>1</v>
      </c>
      <c r="K62" s="271">
        <v>0</v>
      </c>
      <c r="L62" s="272">
        <f>K62-J62</f>
        <v>-1</v>
      </c>
    </row>
    <row r="63" spans="1:12" outlineLevel="2">
      <c r="A63" s="187" t="s">
        <v>1128</v>
      </c>
      <c r="B63" s="266" t="s">
        <v>1269</v>
      </c>
      <c r="C63" s="187" t="s">
        <v>1072</v>
      </c>
      <c r="D63" s="265">
        <v>43662</v>
      </c>
      <c r="E63" s="265">
        <v>43662</v>
      </c>
      <c r="F63" s="187">
        <v>1</v>
      </c>
      <c r="G63" s="187">
        <v>1</v>
      </c>
      <c r="H63" s="187">
        <v>1</v>
      </c>
      <c r="I63" s="187">
        <v>0</v>
      </c>
      <c r="J63" s="271">
        <v>1</v>
      </c>
      <c r="K63" s="271">
        <v>0</v>
      </c>
      <c r="L63" s="272">
        <f>K63-J63</f>
        <v>-1</v>
      </c>
    </row>
    <row r="64" spans="1:12" outlineLevel="2">
      <c r="A64" s="187" t="s">
        <v>1128</v>
      </c>
      <c r="B64" s="266" t="s">
        <v>1162</v>
      </c>
      <c r="C64" s="187" t="s">
        <v>1151</v>
      </c>
      <c r="D64" s="265">
        <v>43662</v>
      </c>
      <c r="E64" s="265">
        <v>43662</v>
      </c>
      <c r="F64" s="187">
        <v>1</v>
      </c>
      <c r="G64" s="187">
        <v>1</v>
      </c>
      <c r="H64" s="187">
        <v>1</v>
      </c>
      <c r="I64" s="187">
        <v>0</v>
      </c>
      <c r="J64" s="271">
        <v>1</v>
      </c>
      <c r="K64" s="271">
        <v>0</v>
      </c>
      <c r="L64" s="272">
        <f>K64-J64</f>
        <v>-1</v>
      </c>
    </row>
    <row r="65" spans="1:12" outlineLevel="2">
      <c r="A65" s="187" t="s">
        <v>1128</v>
      </c>
      <c r="B65" s="266" t="s">
        <v>1163</v>
      </c>
      <c r="C65" s="187" t="s">
        <v>1209</v>
      </c>
      <c r="D65" s="265">
        <v>43664</v>
      </c>
      <c r="E65" s="265">
        <v>43664</v>
      </c>
      <c r="F65" s="187">
        <v>1</v>
      </c>
      <c r="G65" s="187">
        <v>1</v>
      </c>
      <c r="H65" s="187">
        <v>1</v>
      </c>
      <c r="I65" s="187">
        <v>0</v>
      </c>
      <c r="J65" s="271">
        <v>1</v>
      </c>
      <c r="K65" s="271">
        <v>0</v>
      </c>
      <c r="L65" s="272">
        <f>K65-J65</f>
        <v>-1</v>
      </c>
    </row>
    <row r="66" spans="1:12" outlineLevel="2">
      <c r="A66" s="187" t="s">
        <v>1128</v>
      </c>
      <c r="B66" s="266" t="s">
        <v>1216</v>
      </c>
      <c r="C66" s="187" t="s">
        <v>1147</v>
      </c>
      <c r="D66" s="265">
        <v>43663</v>
      </c>
      <c r="E66" s="265">
        <v>43663</v>
      </c>
      <c r="F66" s="187">
        <v>1</v>
      </c>
      <c r="G66" s="187">
        <v>1</v>
      </c>
      <c r="H66" s="187">
        <v>1</v>
      </c>
      <c r="I66" s="187">
        <v>0</v>
      </c>
      <c r="J66" s="271">
        <v>1</v>
      </c>
      <c r="K66" s="271">
        <v>0</v>
      </c>
      <c r="L66" s="272">
        <f>K66-J66</f>
        <v>-1</v>
      </c>
    </row>
    <row r="67" spans="1:12" outlineLevel="2">
      <c r="A67" s="187" t="s">
        <v>1128</v>
      </c>
      <c r="B67" s="266" t="s">
        <v>1226</v>
      </c>
      <c r="C67" s="187" t="s">
        <v>1219</v>
      </c>
      <c r="D67" s="265">
        <v>43663</v>
      </c>
      <c r="E67" s="265">
        <v>43663</v>
      </c>
      <c r="F67" s="187">
        <v>1</v>
      </c>
      <c r="G67" s="187">
        <v>1</v>
      </c>
      <c r="H67" s="187">
        <v>1</v>
      </c>
      <c r="I67" s="187">
        <v>0</v>
      </c>
      <c r="J67" s="271">
        <v>1</v>
      </c>
      <c r="K67" s="271">
        <v>0</v>
      </c>
      <c r="L67" s="272">
        <f>K67-J67</f>
        <v>-1</v>
      </c>
    </row>
    <row r="68" spans="1:12" outlineLevel="2">
      <c r="A68" s="187" t="s">
        <v>1128</v>
      </c>
      <c r="B68" s="266" t="s">
        <v>1167</v>
      </c>
      <c r="C68" s="187" t="s">
        <v>1149</v>
      </c>
      <c r="D68" s="265">
        <v>43664</v>
      </c>
      <c r="E68" s="265">
        <v>43664</v>
      </c>
      <c r="F68" s="187">
        <v>1</v>
      </c>
      <c r="G68" s="187">
        <v>1</v>
      </c>
      <c r="H68" s="187">
        <v>1</v>
      </c>
      <c r="I68" s="187">
        <v>0</v>
      </c>
      <c r="J68" s="271">
        <v>1</v>
      </c>
      <c r="K68" s="271">
        <v>0</v>
      </c>
      <c r="L68" s="272">
        <f>K68-J68</f>
        <v>-1</v>
      </c>
    </row>
    <row r="69" spans="1:12" outlineLevel="2">
      <c r="A69" s="187" t="s">
        <v>1128</v>
      </c>
      <c r="B69" s="266" t="s">
        <v>1168</v>
      </c>
      <c r="C69" s="187" t="s">
        <v>1222</v>
      </c>
      <c r="D69" s="265">
        <v>43664</v>
      </c>
      <c r="E69" s="265">
        <v>43668</v>
      </c>
      <c r="F69" s="187">
        <v>1</v>
      </c>
      <c r="G69" s="187">
        <v>3</v>
      </c>
      <c r="H69" s="187">
        <v>3</v>
      </c>
      <c r="I69" s="187">
        <v>0</v>
      </c>
      <c r="J69" s="271">
        <v>1</v>
      </c>
      <c r="K69" s="271">
        <v>0</v>
      </c>
      <c r="L69" s="272">
        <f>K69-J69</f>
        <v>-1</v>
      </c>
    </row>
    <row r="70" spans="1:12" outlineLevel="1">
      <c r="A70" s="267" t="s">
        <v>1297</v>
      </c>
      <c r="B70" s="268"/>
      <c r="C70" s="269"/>
      <c r="D70" s="270"/>
      <c r="E70" s="270"/>
      <c r="F70" s="269"/>
      <c r="G70" s="269">
        <f>SUBTOTAL(9,G60:G69)</f>
        <v>14</v>
      </c>
      <c r="H70" s="269">
        <f>SUBTOTAL(9,H60:H69)</f>
        <v>14</v>
      </c>
      <c r="I70" s="269">
        <f>SUBTOTAL(9,I60:I69)</f>
        <v>0</v>
      </c>
      <c r="J70" s="273">
        <f>H70/G70</f>
        <v>1</v>
      </c>
      <c r="K70" s="273">
        <f>I70/G70</f>
        <v>0</v>
      </c>
      <c r="L70" s="274">
        <f>K70-J70</f>
        <v>-1</v>
      </c>
    </row>
    <row r="71" spans="1:12" outlineLevel="2">
      <c r="A71" s="187" t="s">
        <v>1261</v>
      </c>
      <c r="B71" s="266" t="s">
        <v>955</v>
      </c>
      <c r="C71" s="187" t="s">
        <v>1018</v>
      </c>
      <c r="D71" s="265">
        <v>43647</v>
      </c>
      <c r="E71" s="265">
        <v>43647</v>
      </c>
      <c r="F71" s="187">
        <v>1</v>
      </c>
      <c r="G71" s="187">
        <v>1</v>
      </c>
      <c r="H71" s="187">
        <v>1</v>
      </c>
      <c r="I71" s="187">
        <v>0</v>
      </c>
      <c r="J71" s="271">
        <v>1</v>
      </c>
      <c r="K71" s="271">
        <v>0</v>
      </c>
      <c r="L71" s="272">
        <f>K71-J71</f>
        <v>-1</v>
      </c>
    </row>
    <row r="72" spans="1:12" outlineLevel="2">
      <c r="A72" s="187" t="s">
        <v>1261</v>
      </c>
      <c r="B72" s="266" t="s">
        <v>957</v>
      </c>
      <c r="C72" s="187" t="s">
        <v>1019</v>
      </c>
      <c r="D72" s="265">
        <v>43647</v>
      </c>
      <c r="E72" s="265">
        <v>43647</v>
      </c>
      <c r="F72" s="187">
        <v>1</v>
      </c>
      <c r="G72" s="187">
        <v>1</v>
      </c>
      <c r="H72" s="187">
        <v>1</v>
      </c>
      <c r="I72" s="187">
        <v>0</v>
      </c>
      <c r="J72" s="271">
        <v>1</v>
      </c>
      <c r="K72" s="271">
        <v>0</v>
      </c>
      <c r="L72" s="272">
        <f>K72-J72</f>
        <v>-1</v>
      </c>
    </row>
    <row r="73" spans="1:12" outlineLevel="2">
      <c r="A73" s="187" t="s">
        <v>1261</v>
      </c>
      <c r="B73" s="266" t="s">
        <v>981</v>
      </c>
      <c r="C73" s="187" t="s">
        <v>1020</v>
      </c>
      <c r="D73" s="265">
        <v>43648</v>
      </c>
      <c r="E73" s="265">
        <v>43648</v>
      </c>
      <c r="F73" s="187">
        <v>1</v>
      </c>
      <c r="G73" s="187">
        <v>1</v>
      </c>
      <c r="H73" s="187">
        <v>1</v>
      </c>
      <c r="I73" s="187">
        <v>0</v>
      </c>
      <c r="J73" s="271">
        <v>1</v>
      </c>
      <c r="K73" s="271">
        <v>0</v>
      </c>
      <c r="L73" s="272">
        <f>K73-J73</f>
        <v>-1</v>
      </c>
    </row>
    <row r="74" spans="1:12" outlineLevel="2">
      <c r="A74" s="187" t="s">
        <v>1261</v>
      </c>
      <c r="B74" s="266" t="s">
        <v>958</v>
      </c>
      <c r="C74" s="187" t="s">
        <v>1021</v>
      </c>
      <c r="D74" s="265">
        <v>43648</v>
      </c>
      <c r="E74" s="265">
        <v>43648</v>
      </c>
      <c r="F74" s="187">
        <v>1</v>
      </c>
      <c r="G74" s="187">
        <v>1</v>
      </c>
      <c r="H74" s="187">
        <v>1</v>
      </c>
      <c r="I74" s="187">
        <v>0</v>
      </c>
      <c r="J74" s="271">
        <v>1</v>
      </c>
      <c r="K74" s="271">
        <v>0</v>
      </c>
      <c r="L74" s="272">
        <f>K74-J74</f>
        <v>-1</v>
      </c>
    </row>
    <row r="75" spans="1:12" outlineLevel="2">
      <c r="A75" s="187" t="s">
        <v>1261</v>
      </c>
      <c r="B75" s="266" t="s">
        <v>983</v>
      </c>
      <c r="C75" s="187" t="s">
        <v>1022</v>
      </c>
      <c r="D75" s="265">
        <v>43648</v>
      </c>
      <c r="E75" s="265">
        <v>43648</v>
      </c>
      <c r="F75" s="187">
        <v>1</v>
      </c>
      <c r="G75" s="187">
        <v>1</v>
      </c>
      <c r="H75" s="187">
        <v>1</v>
      </c>
      <c r="I75" s="187">
        <v>0</v>
      </c>
      <c r="J75" s="271">
        <v>1</v>
      </c>
      <c r="K75" s="271">
        <v>0</v>
      </c>
      <c r="L75" s="272">
        <f>K75-J75</f>
        <v>-1</v>
      </c>
    </row>
    <row r="76" spans="1:12" outlineLevel="2">
      <c r="A76" s="187" t="s">
        <v>1261</v>
      </c>
      <c r="B76" s="266" t="s">
        <v>1037</v>
      </c>
      <c r="C76" s="187" t="s">
        <v>1029</v>
      </c>
      <c r="D76" s="265">
        <v>43649</v>
      </c>
      <c r="E76" s="265">
        <v>43649</v>
      </c>
      <c r="F76" s="187">
        <v>1</v>
      </c>
      <c r="G76" s="187">
        <v>1</v>
      </c>
      <c r="H76" s="187">
        <v>1</v>
      </c>
      <c r="I76" s="187">
        <v>0</v>
      </c>
      <c r="J76" s="271">
        <v>1</v>
      </c>
      <c r="K76" s="271">
        <v>0</v>
      </c>
      <c r="L76" s="272">
        <f>K76-J76</f>
        <v>-1</v>
      </c>
    </row>
    <row r="77" spans="1:12" outlineLevel="2">
      <c r="A77" s="187" t="s">
        <v>1261</v>
      </c>
      <c r="B77" s="266" t="s">
        <v>1038</v>
      </c>
      <c r="C77" s="187" t="s">
        <v>1027</v>
      </c>
      <c r="D77" s="265">
        <v>43650</v>
      </c>
      <c r="E77" s="265">
        <v>43650</v>
      </c>
      <c r="F77" s="187">
        <v>1</v>
      </c>
      <c r="G77" s="187">
        <v>1</v>
      </c>
      <c r="H77" s="187">
        <v>1</v>
      </c>
      <c r="I77" s="187">
        <v>0</v>
      </c>
      <c r="J77" s="271">
        <v>1</v>
      </c>
      <c r="K77" s="271">
        <v>0</v>
      </c>
      <c r="L77" s="272">
        <f>K77-J77</f>
        <v>-1</v>
      </c>
    </row>
    <row r="78" spans="1:12" outlineLevel="2">
      <c r="A78" s="187" t="s">
        <v>1261</v>
      </c>
      <c r="B78" s="266" t="s">
        <v>1039</v>
      </c>
      <c r="C78" s="187" t="s">
        <v>1030</v>
      </c>
      <c r="D78" s="265">
        <v>43650</v>
      </c>
      <c r="E78" s="265">
        <v>43650</v>
      </c>
      <c r="F78" s="187">
        <v>1</v>
      </c>
      <c r="G78" s="187">
        <v>1</v>
      </c>
      <c r="H78" s="187">
        <v>1</v>
      </c>
      <c r="I78" s="187">
        <v>0</v>
      </c>
      <c r="J78" s="271">
        <v>1</v>
      </c>
      <c r="K78" s="271">
        <v>0</v>
      </c>
      <c r="L78" s="272">
        <f>K78-J78</f>
        <v>-1</v>
      </c>
    </row>
    <row r="79" spans="1:12" outlineLevel="2">
      <c r="A79" s="187" t="s">
        <v>1261</v>
      </c>
      <c r="B79" s="266" t="s">
        <v>1040</v>
      </c>
      <c r="C79" s="187" t="s">
        <v>1031</v>
      </c>
      <c r="D79" s="265">
        <v>43650</v>
      </c>
      <c r="E79" s="265">
        <v>43651</v>
      </c>
      <c r="F79" s="187">
        <v>1</v>
      </c>
      <c r="G79" s="187">
        <v>2</v>
      </c>
      <c r="H79" s="187">
        <v>2</v>
      </c>
      <c r="I79" s="187">
        <v>0</v>
      </c>
      <c r="J79" s="271">
        <v>1</v>
      </c>
      <c r="K79" s="271">
        <v>0</v>
      </c>
      <c r="L79" s="272">
        <f>K79-J79</f>
        <v>-1</v>
      </c>
    </row>
    <row r="80" spans="1:12" outlineLevel="2">
      <c r="A80" s="187" t="s">
        <v>1261</v>
      </c>
      <c r="B80" s="266" t="s">
        <v>1041</v>
      </c>
      <c r="C80" s="187" t="s">
        <v>1032</v>
      </c>
      <c r="D80" s="265">
        <v>43651</v>
      </c>
      <c r="E80" s="265">
        <v>43651</v>
      </c>
      <c r="F80" s="187">
        <v>1</v>
      </c>
      <c r="G80" s="187">
        <v>1</v>
      </c>
      <c r="H80" s="187">
        <v>1</v>
      </c>
      <c r="I80" s="187">
        <v>0</v>
      </c>
      <c r="J80" s="271">
        <v>1</v>
      </c>
      <c r="K80" s="271">
        <v>0</v>
      </c>
      <c r="L80" s="272">
        <f>K80-J80</f>
        <v>-1</v>
      </c>
    </row>
    <row r="81" spans="1:12" outlineLevel="2">
      <c r="A81" s="187" t="s">
        <v>1261</v>
      </c>
      <c r="B81" s="266" t="s">
        <v>1042</v>
      </c>
      <c r="C81" s="187" t="s">
        <v>1033</v>
      </c>
      <c r="D81" s="265">
        <v>43654</v>
      </c>
      <c r="E81" s="265">
        <v>43654</v>
      </c>
      <c r="F81" s="187">
        <v>1</v>
      </c>
      <c r="G81" s="187">
        <v>1</v>
      </c>
      <c r="H81" s="187">
        <v>1</v>
      </c>
      <c r="I81" s="187">
        <v>0</v>
      </c>
      <c r="J81" s="271">
        <v>1</v>
      </c>
      <c r="K81" s="271">
        <v>0</v>
      </c>
      <c r="L81" s="272">
        <f>K81-J81</f>
        <v>-1</v>
      </c>
    </row>
    <row r="82" spans="1:12" outlineLevel="2">
      <c r="A82" s="187" t="s">
        <v>1261</v>
      </c>
      <c r="B82" s="266" t="s">
        <v>1043</v>
      </c>
      <c r="C82" s="187" t="s">
        <v>1034</v>
      </c>
      <c r="D82" s="265">
        <v>43654</v>
      </c>
      <c r="E82" s="265">
        <v>43654</v>
      </c>
      <c r="F82" s="187">
        <v>1</v>
      </c>
      <c r="G82" s="187">
        <v>1</v>
      </c>
      <c r="H82" s="187">
        <v>1</v>
      </c>
      <c r="I82" s="187">
        <v>0</v>
      </c>
      <c r="J82" s="271">
        <v>1</v>
      </c>
      <c r="K82" s="271">
        <v>0</v>
      </c>
      <c r="L82" s="272">
        <f>K82-J82</f>
        <v>-1</v>
      </c>
    </row>
    <row r="83" spans="1:12" outlineLevel="2">
      <c r="A83" s="187" t="s">
        <v>1261</v>
      </c>
      <c r="B83" s="266" t="s">
        <v>1044</v>
      </c>
      <c r="C83" s="187" t="s">
        <v>1035</v>
      </c>
      <c r="D83" s="265">
        <v>43654</v>
      </c>
      <c r="E83" s="265">
        <v>43654</v>
      </c>
      <c r="F83" s="187">
        <v>1</v>
      </c>
      <c r="G83" s="187">
        <v>1</v>
      </c>
      <c r="H83" s="187">
        <v>1</v>
      </c>
      <c r="I83" s="187">
        <v>0</v>
      </c>
      <c r="J83" s="271">
        <v>1</v>
      </c>
      <c r="K83" s="271">
        <v>0</v>
      </c>
      <c r="L83" s="272">
        <f>K83-J83</f>
        <v>-1</v>
      </c>
    </row>
    <row r="84" spans="1:12" outlineLevel="1">
      <c r="A84" s="267" t="s">
        <v>1298</v>
      </c>
      <c r="B84" s="268"/>
      <c r="C84" s="269"/>
      <c r="D84" s="270"/>
      <c r="E84" s="270"/>
      <c r="F84" s="269"/>
      <c r="G84" s="269">
        <f>SUBTOTAL(9,G71:G83)</f>
        <v>14</v>
      </c>
      <c r="H84" s="269">
        <f>SUBTOTAL(9,H71:H83)</f>
        <v>14</v>
      </c>
      <c r="I84" s="269">
        <f>SUBTOTAL(9,I71:I83)</f>
        <v>0</v>
      </c>
      <c r="J84" s="273">
        <f>H84/G84</f>
        <v>1</v>
      </c>
      <c r="K84" s="273">
        <f>I84/G84</f>
        <v>0</v>
      </c>
      <c r="L84" s="274">
        <f>K84-J84</f>
        <v>-1</v>
      </c>
    </row>
    <row r="85" spans="1:12">
      <c r="A85" s="267" t="s">
        <v>1299</v>
      </c>
      <c r="B85" s="268"/>
      <c r="C85" s="269"/>
      <c r="D85" s="270"/>
      <c r="E85" s="270"/>
      <c r="F85" s="269"/>
      <c r="G85" s="269">
        <f>SUBTOTAL(9,G7:G83)</f>
        <v>106</v>
      </c>
      <c r="H85" s="269">
        <f>SUBTOTAL(9,H7:H83)</f>
        <v>106</v>
      </c>
      <c r="I85" s="269">
        <f>SUBTOTAL(9,I7:I83)</f>
        <v>0</v>
      </c>
      <c r="J85" s="273">
        <f>H85/G85</f>
        <v>1</v>
      </c>
      <c r="K85" s="273">
        <f>I85/G85</f>
        <v>0</v>
      </c>
      <c r="L85" s="274">
        <f>K85-J85</f>
        <v>-1</v>
      </c>
    </row>
  </sheetData>
  <sortState ref="A7:M77">
    <sortCondition ref="A7:A49"/>
    <sortCondition ref="B7:B49"/>
  </sortState>
  <dataConsolidate/>
  <phoneticPr fontId="2" type="noConversion"/>
  <hyperlinks>
    <hyperlink ref="B71" location="Schedule!$D$7" display="1.1.1"/>
    <hyperlink ref="B72" location="Schedule!$D$10" display="2.1.1"/>
    <hyperlink ref="B73" location="Schedule!$D$11" display="2.1.2"/>
    <hyperlink ref="B74" location="Schedule!$D$13" display="2.2.1"/>
    <hyperlink ref="B75" location="Schedule!$D$14" display="2.2.2"/>
    <hyperlink ref="B76" location="Schedule!$D$17" display="3.1.1"/>
    <hyperlink ref="B77" location="Schedule!$D$18" display="3.1.2"/>
    <hyperlink ref="B78" location="Schedule!$D$19" display="3.1.3"/>
    <hyperlink ref="B79" location="Schedule!$D$20" display="3.1.4"/>
    <hyperlink ref="B80" location="Schedule!$D$21" display="3.1.5"/>
    <hyperlink ref="B81" location="Schedule!$D$22" display="3.1.6"/>
    <hyperlink ref="B82" location="Schedule!$D$23" display="3.1.7"/>
    <hyperlink ref="B83" location="Schedule!$D$24" display="3.1.8"/>
    <hyperlink ref="B44" location="Schedule!$D$27" display="3.2.1.1"/>
    <hyperlink ref="B45" location="Schedule!$D$28" display="3.2.1.2"/>
    <hyperlink ref="B46" location="Schedule!$D$29" display="3.2.1.3"/>
    <hyperlink ref="B47" location="Schedule!$D$30" display="3.2.1.4"/>
    <hyperlink ref="B48" location="Schedule!$D$32" display="3.2.2.1"/>
    <hyperlink ref="B49" location="Schedule!$D$33" display="3.2.2.2"/>
    <hyperlink ref="B50" location="Schedule!$D$34" display="3.2.2.3"/>
    <hyperlink ref="B60" location="Schedule!$D$36" display="3.2.3.1"/>
    <hyperlink ref="B51" location="Schedule!$D$37" display="3.2.3.2"/>
    <hyperlink ref="B30" location="Schedule!$D$38" display="3.2.3.3"/>
    <hyperlink ref="B13" location="Schedule!$D$41" display="4.1.1"/>
    <hyperlink ref="B14" location="Schedule!$D$42" display="4.1.2"/>
    <hyperlink ref="B31" location="Schedule!$D$43" display="4.1.3"/>
    <hyperlink ref="B61" location="Schedule!$D$44" display="4.1.4"/>
    <hyperlink ref="B32" location="Schedule!$D$45" display="4.1.5"/>
    <hyperlink ref="B33" location="Schedule!$D$47" display="4.2.1"/>
    <hyperlink ref="B62" location="Schedule!$D$48" display="4.2.2"/>
    <hyperlink ref="B20" location="Schedule!$D$50" display="4.2.4"/>
    <hyperlink ref="B34" location="Schedule!$D$51" display="4.2.5"/>
    <hyperlink ref="B52" location="Schedule!$D$52" display="4.2.6"/>
    <hyperlink ref="B63" location="Schedule!$D$53" display="4.2.7"/>
    <hyperlink ref="B15" location="Schedule!$D$54" display="4.2.8"/>
    <hyperlink ref="B7" location="Schedule!$D$57" display="4.3.1.1"/>
    <hyperlink ref="B8" location="Schedule!$D$58" display="4.3.1.2"/>
    <hyperlink ref="B9" location="Schedule!$D$59" display="4.3.1.3"/>
    <hyperlink ref="B64" location="Schedule!$D$61" display="4.3.2.1"/>
    <hyperlink ref="B65" location="Schedule!$D$62" display="4.3.2.2"/>
    <hyperlink ref="B66" location="Schedule!$D$63" display="4.3.2.3"/>
    <hyperlink ref="B67" location="Schedule!$D$64" display="4.3.2.4"/>
    <hyperlink ref="B17" location="Schedule!$D$65" display="4.3.2.5"/>
    <hyperlink ref="B18" location="Schedule!$D$66" display="4.3.2.6"/>
    <hyperlink ref="B25" location="Schedule!$D$68" display="4.3.3.1"/>
    <hyperlink ref="B26" location="Schedule!$D$69" display="4.3.3.2"/>
    <hyperlink ref="B37" location="Schedule!$D$70" display="4.3.3.3"/>
    <hyperlink ref="B68" location="Schedule!$D$72" display="4.3.4.1"/>
    <hyperlink ref="B69" location="Schedule!$D$73" display="4.3.4.2"/>
    <hyperlink ref="B38" location="Schedule!$D$74" display="4.3.4.3"/>
    <hyperlink ref="B39" location="Schedule!$D$76" display="4.3.5.1"/>
    <hyperlink ref="B40" location="Schedule!$D$77" display="4.3.5.2"/>
    <hyperlink ref="B41" location="Schedule!$D$78" display="4.3.5.3"/>
    <hyperlink ref="B53" location="Schedule!$D$80" display="4.3.6.1"/>
    <hyperlink ref="B54" location="Schedule!$D$81" display="4.3.6.2"/>
    <hyperlink ref="B55" location="Schedule!$D$82" display="4.3.6.3"/>
    <hyperlink ref="B56" location="Schedule!$D$83" display="4.3.6.4"/>
    <hyperlink ref="B57" location="Schedule!$D$84" display="4.3.6.5"/>
    <hyperlink ref="B42" location="Schedule!$D$85" display="4.3.6.6"/>
    <hyperlink ref="B10" location="Schedule!$D$87" display="4.3.7.1"/>
    <hyperlink ref="B11" location="Schedule!$D$88" display="4.3.7.2"/>
    <hyperlink ref="B27" location="Schedule!$D$90" display="4.3.8.1"/>
    <hyperlink ref="B58" location="Schedule!$D$91" display="4.3.8.2"/>
    <hyperlink ref="B28" location="Schedule!$D$92" display="4.3.9"/>
    <hyperlink ref="B35" location="Schedule!$D$94" display="4.3.10.1"/>
    <hyperlink ref="B36" location="Schedule!$D$96" display="4.3.11.1"/>
    <hyperlink ref="B21" location="Schedule!$D$99" display="4.3.12.1"/>
    <hyperlink ref="B22" location="Schedule!$D$100" display="4.3.12.2"/>
    <hyperlink ref="B23" location="Schedule!$D$101" display="4.3.12.3"/>
    <hyperlink ref="B24" location="Schedule!$D$102" display="4.3.12.4"/>
    <hyperlink ref="B16" location="Schedule!$D$104" display="4.3.13.1"/>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91"/>
  <sheetViews>
    <sheetView showGridLines="0" zoomScale="85" zoomScaleNormal="85" workbookViewId="0">
      <pane ySplit="1" topLeftCell="A2" activePane="bottomLeft" state="frozenSplit"/>
      <selection pane="bottomLeft" activeCell="D15" sqref="D15"/>
    </sheetView>
  </sheetViews>
  <sheetFormatPr defaultColWidth="10" defaultRowHeight="15"/>
  <cols>
    <col min="1" max="1" width="31.625" style="86" customWidth="1"/>
    <col min="2" max="2" width="14.5" style="86" customWidth="1"/>
    <col min="3" max="3" width="7.625" style="86" customWidth="1"/>
    <col min="4" max="4" width="21.5" style="86" customWidth="1"/>
    <col min="5" max="5" width="14.125" style="86" customWidth="1"/>
    <col min="6" max="6" width="10" style="86"/>
    <col min="7" max="7" width="24.25" style="86" customWidth="1"/>
    <col min="8" max="8" width="18.375" style="86" bestFit="1" customWidth="1"/>
    <col min="9" max="9" width="11.125" style="86" bestFit="1" customWidth="1"/>
    <col min="10" max="10" width="27.375" style="86" bestFit="1" customWidth="1"/>
    <col min="11" max="19" width="10" style="86"/>
    <col min="20" max="23" width="10" style="86" customWidth="1"/>
    <col min="24" max="16384" width="10" style="86"/>
  </cols>
  <sheetData>
    <row r="1" spans="1:10" s="80" customFormat="1" ht="36.950000000000003" customHeight="1">
      <c r="A1" s="17" t="s">
        <v>1003</v>
      </c>
      <c r="B1" s="17"/>
      <c r="C1" s="17"/>
      <c r="D1" s="17"/>
      <c r="E1" s="17"/>
      <c r="F1" s="17"/>
      <c r="G1" s="17"/>
      <c r="H1" s="17"/>
    </row>
    <row r="2" spans="1:10" s="81" customFormat="1" ht="78.75" customHeight="1">
      <c r="A2" s="253" t="s">
        <v>1004</v>
      </c>
      <c r="B2" s="253"/>
      <c r="C2" s="253"/>
      <c r="D2" s="253"/>
      <c r="E2" s="253"/>
      <c r="F2" s="253"/>
      <c r="G2" s="253"/>
      <c r="H2" s="253"/>
    </row>
    <row r="3" spans="1:10" s="81" customFormat="1" ht="24.75" customHeight="1">
      <c r="A3" s="254" t="s">
        <v>1005</v>
      </c>
      <c r="B3" s="254"/>
      <c r="D3" s="254" t="s">
        <v>1006</v>
      </c>
      <c r="E3" s="254"/>
      <c r="G3" s="254" t="s">
        <v>1007</v>
      </c>
      <c r="H3" s="254"/>
    </row>
    <row r="4" spans="1:10" s="83" customFormat="1" ht="19.5" customHeight="1">
      <c r="A4" s="82" t="s">
        <v>1008</v>
      </c>
      <c r="B4" s="82" t="s">
        <v>1010</v>
      </c>
      <c r="D4" s="82" t="s">
        <v>1009</v>
      </c>
      <c r="E4" s="82" t="s">
        <v>1011</v>
      </c>
      <c r="G4" s="82" t="s">
        <v>1009</v>
      </c>
      <c r="H4" s="82" t="s">
        <v>1010</v>
      </c>
    </row>
    <row r="5" spans="1:10" ht="16.5">
      <c r="A5" s="118" t="s">
        <v>964</v>
      </c>
      <c r="B5" s="119">
        <v>43466</v>
      </c>
      <c r="C5" s="86" t="str">
        <f t="shared" ref="C5:C54" si="0">IF(B5&gt;0,TEXT(B5,"(aaa)"),"")</f>
        <v>(화)</v>
      </c>
      <c r="D5" s="84"/>
      <c r="E5" s="85"/>
      <c r="F5" s="86" t="str">
        <f t="shared" ref="F5:F54" si="1">IF(E5&gt;0,TEXT(E5,"(aaa)"),"")</f>
        <v/>
      </c>
      <c r="G5" s="84"/>
      <c r="H5" s="85"/>
      <c r="I5" s="86" t="str">
        <f t="shared" ref="I5:I54" si="2">IF(H5&gt;0,TEXT(H5,"(aaa)"),"")</f>
        <v/>
      </c>
      <c r="J5" s="87"/>
    </row>
    <row r="6" spans="1:10" ht="16.5">
      <c r="A6" s="118" t="s">
        <v>965</v>
      </c>
      <c r="B6" s="119">
        <v>43500</v>
      </c>
      <c r="C6" s="86" t="str">
        <f t="shared" si="0"/>
        <v>(월)</v>
      </c>
      <c r="D6" s="84"/>
      <c r="E6" s="85"/>
      <c r="F6" s="86" t="str">
        <f t="shared" si="1"/>
        <v/>
      </c>
      <c r="G6" s="84"/>
      <c r="H6" s="85"/>
      <c r="I6" s="86" t="str">
        <f t="shared" si="2"/>
        <v/>
      </c>
      <c r="J6" s="87"/>
    </row>
    <row r="7" spans="1:10" ht="16.5">
      <c r="A7" s="118" t="s">
        <v>966</v>
      </c>
      <c r="B7" s="119">
        <v>43501</v>
      </c>
      <c r="C7" s="86" t="str">
        <f t="shared" si="0"/>
        <v>(화)</v>
      </c>
      <c r="D7" s="84"/>
      <c r="E7" s="85"/>
      <c r="F7" s="86" t="str">
        <f t="shared" si="1"/>
        <v/>
      </c>
      <c r="G7" s="84"/>
      <c r="H7" s="85"/>
      <c r="I7" s="86" t="str">
        <f t="shared" si="2"/>
        <v/>
      </c>
    </row>
    <row r="8" spans="1:10" ht="16.5">
      <c r="A8" s="118" t="s">
        <v>965</v>
      </c>
      <c r="B8" s="119">
        <v>43502</v>
      </c>
      <c r="C8" s="86" t="str">
        <f t="shared" si="0"/>
        <v>(수)</v>
      </c>
      <c r="D8" s="84"/>
      <c r="E8" s="85"/>
      <c r="F8" s="86" t="str">
        <f t="shared" si="1"/>
        <v/>
      </c>
      <c r="G8" s="84"/>
      <c r="H8" s="85"/>
      <c r="I8" s="86" t="str">
        <f t="shared" si="2"/>
        <v/>
      </c>
    </row>
    <row r="9" spans="1:10" ht="16.5">
      <c r="A9" s="118" t="s">
        <v>967</v>
      </c>
      <c r="B9" s="119">
        <v>43525</v>
      </c>
      <c r="C9" s="86" t="str">
        <f t="shared" si="0"/>
        <v>(금)</v>
      </c>
      <c r="D9" s="84"/>
      <c r="E9" s="85"/>
      <c r="F9" s="86" t="str">
        <f t="shared" si="1"/>
        <v/>
      </c>
      <c r="G9" s="84"/>
      <c r="H9" s="85"/>
      <c r="I9" s="86" t="str">
        <f t="shared" si="2"/>
        <v/>
      </c>
    </row>
    <row r="10" spans="1:10" ht="16.5">
      <c r="A10" s="118" t="s">
        <v>968</v>
      </c>
      <c r="B10" s="119">
        <v>43591</v>
      </c>
      <c r="C10" s="86" t="str">
        <f t="shared" si="0"/>
        <v>(월)</v>
      </c>
      <c r="D10" s="84"/>
      <c r="E10" s="85"/>
      <c r="F10" s="86" t="str">
        <f t="shared" si="1"/>
        <v/>
      </c>
      <c r="G10" s="84"/>
      <c r="H10" s="85"/>
      <c r="I10" s="86" t="str">
        <f t="shared" si="2"/>
        <v/>
      </c>
    </row>
    <row r="11" spans="1:10" ht="16.5">
      <c r="A11" s="118" t="s">
        <v>969</v>
      </c>
      <c r="B11" s="119">
        <v>43622</v>
      </c>
      <c r="C11" s="86" t="str">
        <f t="shared" si="0"/>
        <v>(목)</v>
      </c>
      <c r="D11" s="84"/>
      <c r="E11" s="85"/>
      <c r="F11" s="86" t="str">
        <f t="shared" si="1"/>
        <v/>
      </c>
      <c r="G11" s="84"/>
      <c r="H11" s="85"/>
      <c r="I11" s="86" t="str">
        <f t="shared" si="2"/>
        <v/>
      </c>
    </row>
    <row r="12" spans="1:10" ht="16.5">
      <c r="A12" s="118" t="s">
        <v>970</v>
      </c>
      <c r="B12" s="119">
        <v>43692</v>
      </c>
      <c r="C12" s="86" t="str">
        <f t="shared" si="0"/>
        <v>(목)</v>
      </c>
      <c r="D12" s="84"/>
      <c r="E12" s="85"/>
      <c r="F12" s="86" t="str">
        <f t="shared" si="1"/>
        <v/>
      </c>
      <c r="G12" s="84"/>
      <c r="H12" s="85"/>
      <c r="I12" s="86" t="str">
        <f t="shared" si="2"/>
        <v/>
      </c>
    </row>
    <row r="13" spans="1:10" ht="16.5">
      <c r="A13" s="118" t="s">
        <v>971</v>
      </c>
      <c r="B13" s="119">
        <v>43720</v>
      </c>
      <c r="C13" s="86" t="str">
        <f t="shared" si="0"/>
        <v>(목)</v>
      </c>
      <c r="D13" s="84"/>
      <c r="E13" s="85"/>
      <c r="F13" s="86" t="str">
        <f t="shared" si="1"/>
        <v/>
      </c>
      <c r="G13" s="84"/>
      <c r="H13" s="85"/>
      <c r="I13" s="86" t="str">
        <f t="shared" si="2"/>
        <v/>
      </c>
    </row>
    <row r="14" spans="1:10" ht="16.5">
      <c r="A14" s="118" t="s">
        <v>972</v>
      </c>
      <c r="B14" s="119">
        <v>43721</v>
      </c>
      <c r="C14" s="86" t="str">
        <f t="shared" si="0"/>
        <v>(금)</v>
      </c>
      <c r="D14" s="84"/>
      <c r="E14" s="85"/>
      <c r="F14" s="86" t="str">
        <f t="shared" si="1"/>
        <v/>
      </c>
      <c r="G14" s="84"/>
      <c r="H14" s="85"/>
      <c r="I14" s="86" t="str">
        <f t="shared" si="2"/>
        <v/>
      </c>
    </row>
    <row r="15" spans="1:10" ht="16.5">
      <c r="A15" s="118" t="s">
        <v>973</v>
      </c>
      <c r="B15" s="119">
        <v>43741</v>
      </c>
      <c r="C15" s="86" t="str">
        <f t="shared" si="0"/>
        <v>(목)</v>
      </c>
      <c r="D15" s="84"/>
      <c r="E15" s="85"/>
      <c r="F15" s="86" t="str">
        <f t="shared" si="1"/>
        <v/>
      </c>
      <c r="G15" s="84"/>
      <c r="H15" s="85"/>
      <c r="I15" s="86" t="str">
        <f t="shared" si="2"/>
        <v/>
      </c>
    </row>
    <row r="16" spans="1:10" ht="16.5">
      <c r="A16" s="118" t="s">
        <v>974</v>
      </c>
      <c r="B16" s="119">
        <v>43747</v>
      </c>
      <c r="C16" s="86" t="str">
        <f t="shared" si="0"/>
        <v>(수)</v>
      </c>
      <c r="D16" s="84"/>
      <c r="E16" s="85"/>
      <c r="F16" s="86" t="str">
        <f t="shared" si="1"/>
        <v/>
      </c>
      <c r="G16" s="84"/>
      <c r="H16" s="85"/>
      <c r="I16" s="86" t="str">
        <f t="shared" si="2"/>
        <v/>
      </c>
    </row>
    <row r="17" spans="1:9" ht="16.5">
      <c r="A17" s="118" t="s">
        <v>975</v>
      </c>
      <c r="B17" s="119">
        <v>43824</v>
      </c>
      <c r="C17" s="86" t="str">
        <f t="shared" si="0"/>
        <v>(수)</v>
      </c>
      <c r="D17" s="84"/>
      <c r="E17" s="85"/>
      <c r="F17" s="86" t="str">
        <f t="shared" si="1"/>
        <v/>
      </c>
      <c r="G17" s="84"/>
      <c r="H17" s="85"/>
      <c r="I17" s="86" t="str">
        <f t="shared" si="2"/>
        <v/>
      </c>
    </row>
    <row r="18" spans="1:9">
      <c r="A18" s="118"/>
      <c r="B18" s="119"/>
      <c r="C18" s="86" t="str">
        <f t="shared" si="0"/>
        <v/>
      </c>
      <c r="D18" s="84"/>
      <c r="E18" s="85"/>
      <c r="F18" s="86" t="str">
        <f t="shared" si="1"/>
        <v/>
      </c>
      <c r="G18" s="84"/>
      <c r="H18" s="85"/>
      <c r="I18" s="86" t="str">
        <f t="shared" si="2"/>
        <v/>
      </c>
    </row>
    <row r="19" spans="1:9">
      <c r="A19" s="118"/>
      <c r="B19" s="119"/>
      <c r="C19" s="86" t="str">
        <f t="shared" si="0"/>
        <v/>
      </c>
      <c r="D19" s="84"/>
      <c r="E19" s="85"/>
      <c r="F19" s="86" t="str">
        <f t="shared" si="1"/>
        <v/>
      </c>
      <c r="G19" s="84"/>
      <c r="H19" s="85"/>
      <c r="I19" s="86" t="str">
        <f t="shared" si="2"/>
        <v/>
      </c>
    </row>
    <row r="20" spans="1:9">
      <c r="A20" s="118"/>
      <c r="B20" s="119"/>
      <c r="C20" s="86" t="str">
        <f t="shared" si="0"/>
        <v/>
      </c>
      <c r="D20" s="84"/>
      <c r="E20" s="85"/>
      <c r="F20" s="86" t="str">
        <f t="shared" si="1"/>
        <v/>
      </c>
      <c r="G20" s="84"/>
      <c r="H20" s="85"/>
      <c r="I20" s="86" t="str">
        <f t="shared" si="2"/>
        <v/>
      </c>
    </row>
    <row r="21" spans="1:9">
      <c r="A21" s="118"/>
      <c r="B21" s="119"/>
      <c r="C21" s="86" t="str">
        <f t="shared" si="0"/>
        <v/>
      </c>
      <c r="D21" s="84"/>
      <c r="E21" s="85"/>
      <c r="F21" s="86" t="str">
        <f t="shared" si="1"/>
        <v/>
      </c>
      <c r="G21" s="84"/>
      <c r="H21" s="85"/>
      <c r="I21" s="86" t="str">
        <f t="shared" si="2"/>
        <v/>
      </c>
    </row>
    <row r="22" spans="1:9">
      <c r="A22" s="118"/>
      <c r="B22" s="119"/>
      <c r="C22" s="86" t="str">
        <f t="shared" si="0"/>
        <v/>
      </c>
      <c r="D22" s="84"/>
      <c r="E22" s="85"/>
      <c r="F22" s="86" t="str">
        <f t="shared" si="1"/>
        <v/>
      </c>
      <c r="G22" s="84"/>
      <c r="H22" s="85"/>
      <c r="I22" s="86" t="str">
        <f t="shared" si="2"/>
        <v/>
      </c>
    </row>
    <row r="23" spans="1:9">
      <c r="A23" s="118"/>
      <c r="B23" s="119"/>
      <c r="C23" s="86" t="str">
        <f t="shared" si="0"/>
        <v/>
      </c>
      <c r="D23" s="84"/>
      <c r="E23" s="85"/>
      <c r="F23" s="86" t="str">
        <f t="shared" si="1"/>
        <v/>
      </c>
      <c r="G23" s="84"/>
      <c r="H23" s="85"/>
      <c r="I23" s="86" t="str">
        <f t="shared" si="2"/>
        <v/>
      </c>
    </row>
    <row r="24" spans="1:9">
      <c r="A24" s="118"/>
      <c r="B24" s="119"/>
      <c r="C24" s="86" t="str">
        <f t="shared" si="0"/>
        <v/>
      </c>
      <c r="D24" s="84"/>
      <c r="E24" s="85"/>
      <c r="F24" s="86" t="str">
        <f t="shared" si="1"/>
        <v/>
      </c>
      <c r="G24" s="84"/>
      <c r="H24" s="85"/>
      <c r="I24" s="86" t="str">
        <f t="shared" si="2"/>
        <v/>
      </c>
    </row>
    <row r="25" spans="1:9">
      <c r="A25" s="118"/>
      <c r="B25" s="119"/>
      <c r="C25" s="86" t="str">
        <f t="shared" si="0"/>
        <v/>
      </c>
      <c r="D25" s="84"/>
      <c r="E25" s="85"/>
      <c r="F25" s="86" t="str">
        <f t="shared" si="1"/>
        <v/>
      </c>
      <c r="G25" s="84"/>
      <c r="H25" s="85"/>
      <c r="I25" s="86" t="str">
        <f t="shared" si="2"/>
        <v/>
      </c>
    </row>
    <row r="26" spans="1:9">
      <c r="A26" s="118"/>
      <c r="B26" s="119"/>
      <c r="C26" s="86" t="str">
        <f t="shared" si="0"/>
        <v/>
      </c>
      <c r="D26" s="84"/>
      <c r="E26" s="85"/>
      <c r="F26" s="86" t="str">
        <f t="shared" si="1"/>
        <v/>
      </c>
      <c r="G26" s="84"/>
      <c r="H26" s="85"/>
      <c r="I26" s="86" t="str">
        <f t="shared" si="2"/>
        <v/>
      </c>
    </row>
    <row r="27" spans="1:9">
      <c r="A27" s="118"/>
      <c r="B27" s="119"/>
      <c r="C27" s="86" t="str">
        <f t="shared" si="0"/>
        <v/>
      </c>
      <c r="D27" s="84"/>
      <c r="E27" s="85"/>
      <c r="F27" s="86" t="str">
        <f t="shared" si="1"/>
        <v/>
      </c>
      <c r="G27" s="84"/>
      <c r="H27" s="85"/>
      <c r="I27" s="86" t="str">
        <f t="shared" si="2"/>
        <v/>
      </c>
    </row>
    <row r="28" spans="1:9">
      <c r="A28" s="118"/>
      <c r="B28" s="119"/>
      <c r="C28" s="86" t="str">
        <f t="shared" si="0"/>
        <v/>
      </c>
      <c r="D28" s="84"/>
      <c r="E28" s="85"/>
      <c r="F28" s="86" t="str">
        <f t="shared" si="1"/>
        <v/>
      </c>
      <c r="G28" s="84"/>
      <c r="H28" s="85"/>
      <c r="I28" s="86" t="str">
        <f t="shared" si="2"/>
        <v/>
      </c>
    </row>
    <row r="29" spans="1:9">
      <c r="A29" s="118"/>
      <c r="B29" s="119"/>
      <c r="C29" s="86" t="str">
        <f t="shared" si="0"/>
        <v/>
      </c>
      <c r="D29" s="84"/>
      <c r="E29" s="85"/>
      <c r="F29" s="86" t="str">
        <f t="shared" si="1"/>
        <v/>
      </c>
      <c r="G29" s="84"/>
      <c r="H29" s="85"/>
      <c r="I29" s="86" t="str">
        <f t="shared" si="2"/>
        <v/>
      </c>
    </row>
    <row r="30" spans="1:9">
      <c r="A30" s="118"/>
      <c r="B30" s="119"/>
      <c r="C30" s="86" t="str">
        <f t="shared" si="0"/>
        <v/>
      </c>
      <c r="D30" s="84"/>
      <c r="E30" s="85"/>
      <c r="F30" s="86" t="str">
        <f t="shared" si="1"/>
        <v/>
      </c>
      <c r="G30" s="84"/>
      <c r="H30" s="85"/>
      <c r="I30" s="86" t="str">
        <f t="shared" si="2"/>
        <v/>
      </c>
    </row>
    <row r="31" spans="1:9">
      <c r="A31" s="118"/>
      <c r="B31" s="119"/>
      <c r="C31" s="86" t="str">
        <f t="shared" si="0"/>
        <v/>
      </c>
      <c r="D31" s="84"/>
      <c r="E31" s="85"/>
      <c r="F31" s="86" t="str">
        <f t="shared" si="1"/>
        <v/>
      </c>
      <c r="G31" s="84"/>
      <c r="H31" s="85"/>
      <c r="I31" s="86" t="str">
        <f t="shared" si="2"/>
        <v/>
      </c>
    </row>
    <row r="32" spans="1:9">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ref="C55:C118" si="3">IF(B55&gt;0,TEXT(B55,"(aaa)"),"")</f>
        <v/>
      </c>
      <c r="D55" s="84"/>
      <c r="E55" s="85"/>
      <c r="F55" s="86" t="str">
        <f t="shared" ref="F55:F118" si="4">IF(E55&gt;0,TEXT(E55,"(aaa)"),"")</f>
        <v/>
      </c>
      <c r="G55" s="84"/>
      <c r="H55" s="85"/>
      <c r="I55" s="86" t="str">
        <f t="shared" ref="I55:I118" si="5">IF(H55&gt;0,TEXT(H55,"(aaa)"),"")</f>
        <v/>
      </c>
    </row>
    <row r="56" spans="1:9">
      <c r="A56" s="118"/>
      <c r="B56" s="119"/>
      <c r="C56" s="86" t="str">
        <f t="shared" si="3"/>
        <v/>
      </c>
      <c r="D56" s="84"/>
      <c r="E56" s="85"/>
      <c r="F56" s="86" t="str">
        <f t="shared" si="4"/>
        <v/>
      </c>
      <c r="G56" s="84"/>
      <c r="H56" s="85"/>
      <c r="I56" s="86" t="str">
        <f t="shared" si="5"/>
        <v/>
      </c>
    </row>
    <row r="57" spans="1:9">
      <c r="A57" s="118"/>
      <c r="B57" s="119"/>
      <c r="C57" s="86" t="str">
        <f t="shared" si="3"/>
        <v/>
      </c>
      <c r="D57" s="84"/>
      <c r="E57" s="85"/>
      <c r="F57" s="86" t="str">
        <f t="shared" si="4"/>
        <v/>
      </c>
      <c r="G57" s="84"/>
      <c r="H57" s="85"/>
      <c r="I57" s="86" t="str">
        <f t="shared" si="5"/>
        <v/>
      </c>
    </row>
    <row r="58" spans="1:9">
      <c r="A58" s="118"/>
      <c r="B58" s="119"/>
      <c r="C58" s="86" t="str">
        <f t="shared" si="3"/>
        <v/>
      </c>
      <c r="D58" s="84"/>
      <c r="E58" s="85"/>
      <c r="F58" s="86" t="str">
        <f t="shared" si="4"/>
        <v/>
      </c>
      <c r="G58" s="84"/>
      <c r="H58" s="85"/>
      <c r="I58" s="86" t="str">
        <f t="shared" si="5"/>
        <v/>
      </c>
    </row>
    <row r="59" spans="1:9">
      <c r="A59" s="118"/>
      <c r="B59" s="119"/>
      <c r="C59" s="86" t="str">
        <f t="shared" si="3"/>
        <v/>
      </c>
      <c r="D59" s="84"/>
      <c r="E59" s="85"/>
      <c r="F59" s="86" t="str">
        <f t="shared" si="4"/>
        <v/>
      </c>
      <c r="G59" s="84"/>
      <c r="H59" s="85"/>
      <c r="I59" s="86" t="str">
        <f t="shared" si="5"/>
        <v/>
      </c>
    </row>
    <row r="60" spans="1:9">
      <c r="A60" s="118"/>
      <c r="B60" s="119"/>
      <c r="C60" s="86" t="str">
        <f t="shared" si="3"/>
        <v/>
      </c>
      <c r="D60" s="84"/>
      <c r="E60" s="85"/>
      <c r="F60" s="86" t="str">
        <f t="shared" si="4"/>
        <v/>
      </c>
      <c r="G60" s="84"/>
      <c r="H60" s="85"/>
      <c r="I60" s="86" t="str">
        <f t="shared" si="5"/>
        <v/>
      </c>
    </row>
    <row r="61" spans="1:9">
      <c r="A61" s="118"/>
      <c r="B61" s="119"/>
      <c r="C61" s="86" t="str">
        <f t="shared" si="3"/>
        <v/>
      </c>
      <c r="D61" s="84"/>
      <c r="E61" s="85"/>
      <c r="F61" s="86" t="str">
        <f t="shared" si="4"/>
        <v/>
      </c>
      <c r="G61" s="84"/>
      <c r="H61" s="85"/>
      <c r="I61" s="86" t="str">
        <f t="shared" si="5"/>
        <v/>
      </c>
    </row>
    <row r="62" spans="1:9">
      <c r="A62" s="118"/>
      <c r="B62" s="119"/>
      <c r="C62" s="86" t="str">
        <f t="shared" si="3"/>
        <v/>
      </c>
      <c r="D62" s="84"/>
      <c r="E62" s="85"/>
      <c r="F62" s="86" t="str">
        <f t="shared" si="4"/>
        <v/>
      </c>
      <c r="G62" s="84"/>
      <c r="H62" s="85"/>
      <c r="I62" s="86" t="str">
        <f t="shared" si="5"/>
        <v/>
      </c>
    </row>
    <row r="63" spans="1:9">
      <c r="A63" s="118"/>
      <c r="B63" s="119"/>
      <c r="C63" s="86" t="str">
        <f t="shared" si="3"/>
        <v/>
      </c>
      <c r="D63" s="84"/>
      <c r="E63" s="85"/>
      <c r="F63" s="86" t="str">
        <f t="shared" si="4"/>
        <v/>
      </c>
      <c r="G63" s="84"/>
      <c r="H63" s="85"/>
      <c r="I63" s="86" t="str">
        <f t="shared" si="5"/>
        <v/>
      </c>
    </row>
    <row r="64" spans="1:9">
      <c r="A64" s="118"/>
      <c r="B64" s="119"/>
      <c r="C64" s="86" t="str">
        <f t="shared" si="3"/>
        <v/>
      </c>
      <c r="D64" s="84"/>
      <c r="E64" s="85"/>
      <c r="F64" s="86" t="str">
        <f t="shared" si="4"/>
        <v/>
      </c>
      <c r="G64" s="84"/>
      <c r="H64" s="85"/>
      <c r="I64" s="86" t="str">
        <f t="shared" si="5"/>
        <v/>
      </c>
    </row>
    <row r="65" spans="1:9">
      <c r="A65" s="118"/>
      <c r="B65" s="119"/>
      <c r="C65" s="86" t="str">
        <f t="shared" si="3"/>
        <v/>
      </c>
      <c r="D65" s="84"/>
      <c r="E65" s="85"/>
      <c r="F65" s="86" t="str">
        <f t="shared" si="4"/>
        <v/>
      </c>
      <c r="G65" s="84"/>
      <c r="H65" s="85"/>
      <c r="I65" s="86" t="str">
        <f t="shared" si="5"/>
        <v/>
      </c>
    </row>
    <row r="66" spans="1:9">
      <c r="A66" s="118"/>
      <c r="B66" s="119"/>
      <c r="C66" s="86" t="str">
        <f t="shared" si="3"/>
        <v/>
      </c>
      <c r="D66" s="84"/>
      <c r="E66" s="85"/>
      <c r="F66" s="86" t="str">
        <f t="shared" si="4"/>
        <v/>
      </c>
      <c r="G66" s="84"/>
      <c r="H66" s="85"/>
      <c r="I66" s="86" t="str">
        <f t="shared" si="5"/>
        <v/>
      </c>
    </row>
    <row r="67" spans="1:9">
      <c r="A67" s="118"/>
      <c r="B67" s="119"/>
      <c r="C67" s="86" t="str">
        <f t="shared" si="3"/>
        <v/>
      </c>
      <c r="D67" s="84"/>
      <c r="E67" s="85"/>
      <c r="F67" s="86" t="str">
        <f t="shared" si="4"/>
        <v/>
      </c>
      <c r="G67" s="84"/>
      <c r="H67" s="85"/>
      <c r="I67" s="86" t="str">
        <f t="shared" si="5"/>
        <v/>
      </c>
    </row>
    <row r="68" spans="1:9">
      <c r="A68" s="118"/>
      <c r="B68" s="119"/>
      <c r="C68" s="86" t="str">
        <f t="shared" si="3"/>
        <v/>
      </c>
      <c r="D68" s="84"/>
      <c r="E68" s="85"/>
      <c r="F68" s="86" t="str">
        <f t="shared" si="4"/>
        <v/>
      </c>
      <c r="G68" s="84"/>
      <c r="H68" s="85"/>
      <c r="I68" s="86" t="str">
        <f t="shared" si="5"/>
        <v/>
      </c>
    </row>
    <row r="69" spans="1:9">
      <c r="A69" s="118"/>
      <c r="B69" s="119"/>
      <c r="C69" s="86" t="str">
        <f t="shared" si="3"/>
        <v/>
      </c>
      <c r="D69" s="84"/>
      <c r="E69" s="85"/>
      <c r="F69" s="86" t="str">
        <f t="shared" si="4"/>
        <v/>
      </c>
      <c r="G69" s="84"/>
      <c r="H69" s="85"/>
      <c r="I69" s="86" t="str">
        <f t="shared" si="5"/>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20"/>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ref="C119:C182" si="6">IF(B119&gt;0,TEXT(B119,"(aaa)"),"")</f>
        <v/>
      </c>
      <c r="D119" s="84"/>
      <c r="E119" s="85"/>
      <c r="F119" s="86" t="str">
        <f t="shared" ref="F119:F182" si="7">IF(E119&gt;0,TEXT(E119,"(aaa)"),"")</f>
        <v/>
      </c>
      <c r="G119" s="84"/>
      <c r="H119" s="85"/>
      <c r="I119" s="86" t="str">
        <f t="shared" ref="I119:I182" si="8">IF(H119&gt;0,TEXT(H119,"(aaa)"),"")</f>
        <v/>
      </c>
    </row>
    <row r="120" spans="1:9">
      <c r="A120" s="118"/>
      <c r="B120" s="119"/>
      <c r="C120" s="86" t="str">
        <f t="shared" si="6"/>
        <v/>
      </c>
      <c r="D120" s="84"/>
      <c r="E120" s="85"/>
      <c r="F120" s="86" t="str">
        <f t="shared" si="7"/>
        <v/>
      </c>
      <c r="G120" s="84"/>
      <c r="H120" s="85"/>
      <c r="I120" s="86" t="str">
        <f t="shared" si="8"/>
        <v/>
      </c>
    </row>
    <row r="121" spans="1:9">
      <c r="A121" s="118"/>
      <c r="B121" s="119"/>
      <c r="C121" s="86" t="str">
        <f t="shared" si="6"/>
        <v/>
      </c>
      <c r="D121" s="84"/>
      <c r="E121" s="85"/>
      <c r="F121" s="86" t="str">
        <f t="shared" si="7"/>
        <v/>
      </c>
      <c r="G121" s="84"/>
      <c r="H121" s="85"/>
      <c r="I121" s="86" t="str">
        <f t="shared" si="8"/>
        <v/>
      </c>
    </row>
    <row r="122" spans="1:9">
      <c r="A122" s="118"/>
      <c r="B122" s="119"/>
      <c r="C122" s="86" t="str">
        <f t="shared" si="6"/>
        <v/>
      </c>
      <c r="D122" s="84"/>
      <c r="E122" s="85"/>
      <c r="F122" s="86" t="str">
        <f t="shared" si="7"/>
        <v/>
      </c>
      <c r="G122" s="84"/>
      <c r="H122" s="85"/>
      <c r="I122" s="86" t="str">
        <f t="shared" si="8"/>
        <v/>
      </c>
    </row>
    <row r="123" spans="1:9">
      <c r="A123" s="118"/>
      <c r="B123" s="119"/>
      <c r="C123" s="86" t="str">
        <f t="shared" si="6"/>
        <v/>
      </c>
      <c r="D123" s="84"/>
      <c r="E123" s="85"/>
      <c r="F123" s="86" t="str">
        <f t="shared" si="7"/>
        <v/>
      </c>
      <c r="G123" s="84"/>
      <c r="H123" s="85"/>
      <c r="I123" s="86" t="str">
        <f t="shared" si="8"/>
        <v/>
      </c>
    </row>
    <row r="124" spans="1:9">
      <c r="A124" s="118"/>
      <c r="B124" s="119"/>
      <c r="C124" s="86" t="str">
        <f t="shared" si="6"/>
        <v/>
      </c>
      <c r="D124" s="84"/>
      <c r="E124" s="85"/>
      <c r="F124" s="86" t="str">
        <f t="shared" si="7"/>
        <v/>
      </c>
      <c r="G124" s="84"/>
      <c r="H124" s="85"/>
      <c r="I124" s="86" t="str">
        <f t="shared" si="8"/>
        <v/>
      </c>
    </row>
    <row r="125" spans="1:9">
      <c r="A125" s="118"/>
      <c r="B125" s="119"/>
      <c r="C125" s="86" t="str">
        <f t="shared" si="6"/>
        <v/>
      </c>
      <c r="D125" s="84"/>
      <c r="E125" s="85"/>
      <c r="F125" s="86" t="str">
        <f t="shared" si="7"/>
        <v/>
      </c>
      <c r="G125" s="84"/>
      <c r="H125" s="85"/>
      <c r="I125" s="86" t="str">
        <f t="shared" si="8"/>
        <v/>
      </c>
    </row>
    <row r="126" spans="1:9">
      <c r="A126" s="118"/>
      <c r="B126" s="119"/>
      <c r="C126" s="86" t="str">
        <f t="shared" si="6"/>
        <v/>
      </c>
      <c r="D126" s="84"/>
      <c r="E126" s="85"/>
      <c r="F126" s="86" t="str">
        <f t="shared" si="7"/>
        <v/>
      </c>
      <c r="G126" s="84"/>
      <c r="H126" s="85"/>
      <c r="I126" s="86" t="str">
        <f t="shared" si="8"/>
        <v/>
      </c>
    </row>
    <row r="127" spans="1:9">
      <c r="A127" s="118"/>
      <c r="B127" s="119"/>
      <c r="C127" s="86" t="str">
        <f t="shared" si="6"/>
        <v/>
      </c>
      <c r="D127" s="84"/>
      <c r="E127" s="85"/>
      <c r="F127" s="86" t="str">
        <f t="shared" si="7"/>
        <v/>
      </c>
      <c r="G127" s="84"/>
      <c r="H127" s="85"/>
      <c r="I127" s="86" t="str">
        <f t="shared" si="8"/>
        <v/>
      </c>
    </row>
    <row r="128" spans="1:9">
      <c r="A128" s="118"/>
      <c r="B128" s="119"/>
      <c r="C128" s="86" t="str">
        <f t="shared" si="6"/>
        <v/>
      </c>
      <c r="D128" s="84"/>
      <c r="E128" s="85"/>
      <c r="F128" s="86" t="str">
        <f t="shared" si="7"/>
        <v/>
      </c>
      <c r="G128" s="84"/>
      <c r="H128" s="85"/>
      <c r="I128" s="86" t="str">
        <f t="shared" si="8"/>
        <v/>
      </c>
    </row>
    <row r="129" spans="1:9">
      <c r="A129" s="118"/>
      <c r="B129" s="119"/>
      <c r="C129" s="86" t="str">
        <f t="shared" si="6"/>
        <v/>
      </c>
      <c r="D129" s="84"/>
      <c r="E129" s="85"/>
      <c r="F129" s="86" t="str">
        <f t="shared" si="7"/>
        <v/>
      </c>
      <c r="G129" s="84"/>
      <c r="H129" s="85"/>
      <c r="I129" s="86" t="str">
        <f t="shared" si="8"/>
        <v/>
      </c>
    </row>
    <row r="130" spans="1:9">
      <c r="A130" s="118"/>
      <c r="B130" s="119"/>
      <c r="C130" s="86" t="str">
        <f t="shared" si="6"/>
        <v/>
      </c>
      <c r="D130" s="84"/>
      <c r="E130" s="85"/>
      <c r="F130" s="86" t="str">
        <f t="shared" si="7"/>
        <v/>
      </c>
      <c r="G130" s="84"/>
      <c r="H130" s="85"/>
      <c r="I130" s="86" t="str">
        <f t="shared" si="8"/>
        <v/>
      </c>
    </row>
    <row r="131" spans="1:9">
      <c r="A131" s="118"/>
      <c r="B131" s="119"/>
      <c r="C131" s="86" t="str">
        <f t="shared" si="6"/>
        <v/>
      </c>
      <c r="D131" s="84"/>
      <c r="E131" s="85"/>
      <c r="F131" s="86" t="str">
        <f t="shared" si="7"/>
        <v/>
      </c>
      <c r="G131" s="84"/>
      <c r="H131" s="85"/>
      <c r="I131" s="86" t="str">
        <f t="shared" si="8"/>
        <v/>
      </c>
    </row>
    <row r="132" spans="1:9">
      <c r="A132" s="118"/>
      <c r="B132" s="119"/>
      <c r="C132" s="86" t="str">
        <f t="shared" si="6"/>
        <v/>
      </c>
      <c r="D132" s="84"/>
      <c r="E132" s="85"/>
      <c r="F132" s="86" t="str">
        <f t="shared" si="7"/>
        <v/>
      </c>
      <c r="G132" s="84"/>
      <c r="H132" s="85"/>
      <c r="I132" s="86" t="str">
        <f t="shared" si="8"/>
        <v/>
      </c>
    </row>
    <row r="133" spans="1:9">
      <c r="A133" s="118"/>
      <c r="B133" s="119"/>
      <c r="C133" s="86" t="str">
        <f t="shared" si="6"/>
        <v/>
      </c>
      <c r="D133" s="84"/>
      <c r="E133" s="85"/>
      <c r="F133" s="86" t="str">
        <f t="shared" si="7"/>
        <v/>
      </c>
      <c r="G133" s="84"/>
      <c r="H133" s="85"/>
      <c r="I133" s="86" t="str">
        <f t="shared" si="8"/>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ref="C183:C246" si="9">IF(B183&gt;0,TEXT(B183,"(aaa)"),"")</f>
        <v/>
      </c>
      <c r="D183" s="84"/>
      <c r="E183" s="85"/>
      <c r="F183" s="86" t="str">
        <f t="shared" ref="F183:F246" si="10">IF(E183&gt;0,TEXT(E183,"(aaa)"),"")</f>
        <v/>
      </c>
      <c r="G183" s="84"/>
      <c r="H183" s="85"/>
      <c r="I183" s="86" t="str">
        <f t="shared" ref="I183:I246" si="11">IF(H183&gt;0,TEXT(H183,"(aaa)"),"")</f>
        <v/>
      </c>
    </row>
    <row r="184" spans="1:9">
      <c r="A184" s="118"/>
      <c r="B184" s="119"/>
      <c r="C184" s="86" t="str">
        <f t="shared" si="9"/>
        <v/>
      </c>
      <c r="D184" s="84"/>
      <c r="E184" s="85"/>
      <c r="F184" s="86" t="str">
        <f t="shared" si="10"/>
        <v/>
      </c>
      <c r="G184" s="84"/>
      <c r="H184" s="85"/>
      <c r="I184" s="86" t="str">
        <f t="shared" si="11"/>
        <v/>
      </c>
    </row>
    <row r="185" spans="1:9">
      <c r="A185" s="118"/>
      <c r="B185" s="119"/>
      <c r="C185" s="86" t="str">
        <f t="shared" si="9"/>
        <v/>
      </c>
      <c r="D185" s="84"/>
      <c r="E185" s="85"/>
      <c r="F185" s="86" t="str">
        <f t="shared" si="10"/>
        <v/>
      </c>
      <c r="G185" s="84"/>
      <c r="H185" s="85"/>
      <c r="I185" s="86" t="str">
        <f t="shared" si="11"/>
        <v/>
      </c>
    </row>
    <row r="186" spans="1:9">
      <c r="A186" s="118"/>
      <c r="B186" s="119"/>
      <c r="C186" s="86" t="str">
        <f t="shared" si="9"/>
        <v/>
      </c>
      <c r="D186" s="84"/>
      <c r="E186" s="85"/>
      <c r="F186" s="86" t="str">
        <f t="shared" si="10"/>
        <v/>
      </c>
      <c r="G186" s="84"/>
      <c r="H186" s="85"/>
      <c r="I186" s="86" t="str">
        <f t="shared" si="11"/>
        <v/>
      </c>
    </row>
    <row r="187" spans="1:9">
      <c r="A187" s="118"/>
      <c r="B187" s="119"/>
      <c r="C187" s="86" t="str">
        <f t="shared" si="9"/>
        <v/>
      </c>
      <c r="D187" s="84"/>
      <c r="E187" s="85"/>
      <c r="F187" s="86" t="str">
        <f t="shared" si="10"/>
        <v/>
      </c>
      <c r="G187" s="84"/>
      <c r="H187" s="85"/>
      <c r="I187" s="86" t="str">
        <f t="shared" si="11"/>
        <v/>
      </c>
    </row>
    <row r="188" spans="1:9">
      <c r="A188" s="118"/>
      <c r="B188" s="119"/>
      <c r="C188" s="86" t="str">
        <f t="shared" si="9"/>
        <v/>
      </c>
      <c r="D188" s="84"/>
      <c r="E188" s="85"/>
      <c r="F188" s="86" t="str">
        <f t="shared" si="10"/>
        <v/>
      </c>
      <c r="G188" s="84"/>
      <c r="H188" s="85"/>
      <c r="I188" s="86" t="str">
        <f t="shared" si="11"/>
        <v/>
      </c>
    </row>
    <row r="189" spans="1:9">
      <c r="A189" s="118"/>
      <c r="B189" s="119"/>
      <c r="C189" s="86" t="str">
        <f t="shared" si="9"/>
        <v/>
      </c>
      <c r="D189" s="84"/>
      <c r="E189" s="85"/>
      <c r="F189" s="86" t="str">
        <f t="shared" si="10"/>
        <v/>
      </c>
      <c r="G189" s="84"/>
      <c r="H189" s="85"/>
      <c r="I189" s="86" t="str">
        <f t="shared" si="11"/>
        <v/>
      </c>
    </row>
    <row r="190" spans="1:9">
      <c r="A190" s="118"/>
      <c r="B190" s="119"/>
      <c r="C190" s="86" t="str">
        <f t="shared" si="9"/>
        <v/>
      </c>
      <c r="D190" s="84"/>
      <c r="E190" s="85"/>
      <c r="F190" s="86" t="str">
        <f t="shared" si="10"/>
        <v/>
      </c>
      <c r="G190" s="84"/>
      <c r="H190" s="85"/>
      <c r="I190" s="86" t="str">
        <f t="shared" si="11"/>
        <v/>
      </c>
    </row>
    <row r="191" spans="1:9">
      <c r="A191" s="118"/>
      <c r="B191" s="119"/>
      <c r="C191" s="86" t="str">
        <f t="shared" si="9"/>
        <v/>
      </c>
      <c r="D191" s="84"/>
      <c r="E191" s="85"/>
      <c r="F191" s="86" t="str">
        <f t="shared" si="10"/>
        <v/>
      </c>
      <c r="G191" s="84"/>
      <c r="H191" s="85"/>
      <c r="I191" s="86" t="str">
        <f t="shared" si="11"/>
        <v/>
      </c>
    </row>
    <row r="192" spans="1:9">
      <c r="A192" s="118"/>
      <c r="B192" s="119"/>
      <c r="C192" s="86" t="str">
        <f t="shared" si="9"/>
        <v/>
      </c>
      <c r="D192" s="84"/>
      <c r="E192" s="85"/>
      <c r="F192" s="86" t="str">
        <f t="shared" si="10"/>
        <v/>
      </c>
      <c r="G192" s="84"/>
      <c r="H192" s="85"/>
      <c r="I192" s="86" t="str">
        <f t="shared" si="11"/>
        <v/>
      </c>
    </row>
    <row r="193" spans="1:9">
      <c r="A193" s="118"/>
      <c r="B193" s="119"/>
      <c r="C193" s="86" t="str">
        <f t="shared" si="9"/>
        <v/>
      </c>
      <c r="D193" s="84"/>
      <c r="E193" s="85"/>
      <c r="F193" s="86" t="str">
        <f t="shared" si="10"/>
        <v/>
      </c>
      <c r="G193" s="84"/>
      <c r="H193" s="85"/>
      <c r="I193" s="86" t="str">
        <f t="shared" si="11"/>
        <v/>
      </c>
    </row>
    <row r="194" spans="1:9">
      <c r="A194" s="118"/>
      <c r="B194" s="119"/>
      <c r="C194" s="86" t="str">
        <f t="shared" si="9"/>
        <v/>
      </c>
      <c r="D194" s="84"/>
      <c r="E194" s="85"/>
      <c r="F194" s="86" t="str">
        <f t="shared" si="10"/>
        <v/>
      </c>
      <c r="G194" s="84"/>
      <c r="H194" s="85"/>
      <c r="I194" s="86" t="str">
        <f t="shared" si="11"/>
        <v/>
      </c>
    </row>
    <row r="195" spans="1:9">
      <c r="A195" s="118"/>
      <c r="B195" s="119"/>
      <c r="C195" s="86" t="str">
        <f t="shared" si="9"/>
        <v/>
      </c>
      <c r="D195" s="84"/>
      <c r="E195" s="85"/>
      <c r="F195" s="86" t="str">
        <f t="shared" si="10"/>
        <v/>
      </c>
      <c r="G195" s="84"/>
      <c r="H195" s="85"/>
      <c r="I195" s="86" t="str">
        <f t="shared" si="11"/>
        <v/>
      </c>
    </row>
    <row r="196" spans="1:9">
      <c r="A196" s="118"/>
      <c r="B196" s="119"/>
      <c r="C196" s="86" t="str">
        <f t="shared" si="9"/>
        <v/>
      </c>
      <c r="D196" s="84"/>
      <c r="E196" s="85"/>
      <c r="F196" s="86" t="str">
        <f t="shared" si="10"/>
        <v/>
      </c>
      <c r="G196" s="84"/>
      <c r="H196" s="85"/>
      <c r="I196" s="86" t="str">
        <f t="shared" si="11"/>
        <v/>
      </c>
    </row>
    <row r="197" spans="1:9">
      <c r="A197" s="118"/>
      <c r="B197" s="119"/>
      <c r="C197" s="86" t="str">
        <f t="shared" si="9"/>
        <v/>
      </c>
      <c r="D197" s="84"/>
      <c r="E197" s="85"/>
      <c r="F197" s="86" t="str">
        <f t="shared" si="10"/>
        <v/>
      </c>
      <c r="G197" s="84"/>
      <c r="H197" s="85"/>
      <c r="I197" s="86" t="str">
        <f t="shared" si="11"/>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84"/>
      <c r="B228" s="85"/>
      <c r="C228" s="86" t="str">
        <f t="shared" si="9"/>
        <v/>
      </c>
      <c r="D228" s="84"/>
      <c r="E228" s="85"/>
      <c r="F228" s="86" t="str">
        <f t="shared" si="10"/>
        <v/>
      </c>
      <c r="G228" s="84"/>
      <c r="H228" s="85"/>
      <c r="I228" s="86" t="str">
        <f t="shared" si="11"/>
        <v/>
      </c>
    </row>
    <row r="229" spans="1:9">
      <c r="A229" s="84"/>
      <c r="B229" s="85"/>
      <c r="C229" s="86" t="str">
        <f t="shared" si="9"/>
        <v/>
      </c>
      <c r="D229" s="84"/>
      <c r="E229" s="85"/>
      <c r="F229" s="86" t="str">
        <f t="shared" si="10"/>
        <v/>
      </c>
      <c r="G229" s="84"/>
      <c r="H229" s="85"/>
      <c r="I229" s="86" t="str">
        <f t="shared" si="11"/>
        <v/>
      </c>
    </row>
    <row r="230" spans="1:9">
      <c r="A230" s="84"/>
      <c r="B230" s="85"/>
      <c r="C230" s="86" t="str">
        <f t="shared" si="9"/>
        <v/>
      </c>
      <c r="D230" s="84"/>
      <c r="E230" s="85"/>
      <c r="F230" s="86" t="str">
        <f t="shared" si="10"/>
        <v/>
      </c>
      <c r="G230" s="84"/>
      <c r="H230" s="85"/>
      <c r="I230" s="86" t="str">
        <f t="shared" si="11"/>
        <v/>
      </c>
    </row>
    <row r="231" spans="1:9">
      <c r="A231" s="84"/>
      <c r="B231" s="85"/>
      <c r="C231" s="86" t="str">
        <f t="shared" si="9"/>
        <v/>
      </c>
      <c r="D231" s="84"/>
      <c r="E231" s="85"/>
      <c r="F231" s="86" t="str">
        <f t="shared" si="10"/>
        <v/>
      </c>
      <c r="G231" s="84"/>
      <c r="H231" s="85"/>
      <c r="I231" s="86" t="str">
        <f t="shared" si="11"/>
        <v/>
      </c>
    </row>
    <row r="232" spans="1:9">
      <c r="A232" s="84"/>
      <c r="B232" s="85"/>
      <c r="C232" s="86" t="str">
        <f t="shared" si="9"/>
        <v/>
      </c>
      <c r="D232" s="84"/>
      <c r="E232" s="85"/>
      <c r="F232" s="86" t="str">
        <f t="shared" si="10"/>
        <v/>
      </c>
      <c r="G232" s="84"/>
      <c r="H232" s="85"/>
      <c r="I232" s="86" t="str">
        <f t="shared" si="11"/>
        <v/>
      </c>
    </row>
    <row r="233" spans="1:9">
      <c r="A233" s="84"/>
      <c r="B233" s="85"/>
      <c r="C233" s="86" t="str">
        <f t="shared" si="9"/>
        <v/>
      </c>
      <c r="D233" s="84"/>
      <c r="E233" s="85"/>
      <c r="F233" s="86" t="str">
        <f t="shared" si="10"/>
        <v/>
      </c>
      <c r="G233" s="84"/>
      <c r="H233" s="85"/>
      <c r="I233" s="86" t="str">
        <f t="shared" si="11"/>
        <v/>
      </c>
    </row>
    <row r="234" spans="1:9">
      <c r="A234" s="84"/>
      <c r="B234" s="85"/>
      <c r="C234" s="86" t="str">
        <f t="shared" si="9"/>
        <v/>
      </c>
      <c r="D234" s="84"/>
      <c r="E234" s="85"/>
      <c r="F234" s="86" t="str">
        <f t="shared" si="10"/>
        <v/>
      </c>
      <c r="G234" s="84"/>
      <c r="H234" s="85"/>
      <c r="I234" s="86" t="str">
        <f t="shared" si="11"/>
        <v/>
      </c>
    </row>
    <row r="235" spans="1:9">
      <c r="A235" s="84"/>
      <c r="B235" s="85"/>
      <c r="C235" s="86" t="str">
        <f t="shared" si="9"/>
        <v/>
      </c>
      <c r="D235" s="84"/>
      <c r="E235" s="85"/>
      <c r="F235" s="86" t="str">
        <f t="shared" si="10"/>
        <v/>
      </c>
      <c r="G235" s="84"/>
      <c r="H235" s="85"/>
      <c r="I235" s="86" t="str">
        <f t="shared" si="11"/>
        <v/>
      </c>
    </row>
    <row r="236" spans="1:9">
      <c r="A236" s="84"/>
      <c r="B236" s="85"/>
      <c r="C236" s="86" t="str">
        <f t="shared" si="9"/>
        <v/>
      </c>
      <c r="D236" s="84"/>
      <c r="E236" s="85"/>
      <c r="F236" s="86" t="str">
        <f t="shared" si="10"/>
        <v/>
      </c>
      <c r="G236" s="84"/>
      <c r="H236" s="85"/>
      <c r="I236" s="86" t="str">
        <f t="shared" si="11"/>
        <v/>
      </c>
    </row>
    <row r="237" spans="1:9">
      <c r="A237" s="84"/>
      <c r="B237" s="85"/>
      <c r="C237" s="86" t="str">
        <f t="shared" si="9"/>
        <v/>
      </c>
      <c r="D237" s="84"/>
      <c r="E237" s="85"/>
      <c r="F237" s="86" t="str">
        <f t="shared" si="10"/>
        <v/>
      </c>
      <c r="G237" s="84"/>
      <c r="H237" s="85"/>
      <c r="I237" s="86" t="str">
        <f t="shared" si="11"/>
        <v/>
      </c>
    </row>
    <row r="238" spans="1:9">
      <c r="A238" s="84"/>
      <c r="B238" s="85"/>
      <c r="C238" s="86" t="str">
        <f t="shared" si="9"/>
        <v/>
      </c>
      <c r="D238" s="84"/>
      <c r="E238" s="85"/>
      <c r="F238" s="86" t="str">
        <f t="shared" si="10"/>
        <v/>
      </c>
      <c r="G238" s="84"/>
      <c r="H238" s="85"/>
      <c r="I238" s="86" t="str">
        <f t="shared" si="11"/>
        <v/>
      </c>
    </row>
    <row r="239" spans="1:9">
      <c r="A239" s="84"/>
      <c r="B239" s="85"/>
      <c r="C239" s="86" t="str">
        <f t="shared" si="9"/>
        <v/>
      </c>
      <c r="D239" s="84"/>
      <c r="E239" s="85"/>
      <c r="F239" s="86" t="str">
        <f t="shared" si="10"/>
        <v/>
      </c>
      <c r="G239" s="84"/>
      <c r="H239" s="85"/>
      <c r="I239" s="86" t="str">
        <f t="shared" si="11"/>
        <v/>
      </c>
    </row>
    <row r="240" spans="1:9">
      <c r="A240" s="84"/>
      <c r="B240" s="85"/>
      <c r="C240" s="86" t="str">
        <f t="shared" si="9"/>
        <v/>
      </c>
      <c r="D240" s="84"/>
      <c r="E240" s="85"/>
      <c r="F240" s="86" t="str">
        <f t="shared" si="10"/>
        <v/>
      </c>
      <c r="G240" s="84"/>
      <c r="H240" s="85"/>
      <c r="I240" s="86" t="str">
        <f t="shared" si="11"/>
        <v/>
      </c>
    </row>
    <row r="241" spans="1:9">
      <c r="A241" s="84"/>
      <c r="B241" s="85"/>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ref="C247:C290" si="12">IF(B247&gt;0,TEXT(B247,"(aaa)"),"")</f>
        <v/>
      </c>
      <c r="D247" s="84"/>
      <c r="E247" s="85"/>
      <c r="F247" s="86" t="str">
        <f t="shared" ref="F247:F290" si="13">IF(E247&gt;0,TEXT(E247,"(aaa)"),"")</f>
        <v/>
      </c>
      <c r="G247" s="84"/>
      <c r="H247" s="85"/>
      <c r="I247" s="86" t="str">
        <f t="shared" ref="I247:I290" si="14">IF(H247&gt;0,TEXT(H247,"(aaa)"),"")</f>
        <v/>
      </c>
    </row>
    <row r="248" spans="1:9">
      <c r="A248" s="84"/>
      <c r="B248" s="85"/>
      <c r="C248" s="86" t="str">
        <f t="shared" si="12"/>
        <v/>
      </c>
      <c r="D248" s="84"/>
      <c r="E248" s="85"/>
      <c r="F248" s="86" t="str">
        <f t="shared" si="13"/>
        <v/>
      </c>
      <c r="G248" s="84"/>
      <c r="H248" s="85"/>
      <c r="I248" s="86" t="str">
        <f t="shared" si="14"/>
        <v/>
      </c>
    </row>
    <row r="249" spans="1:9">
      <c r="A249" s="84"/>
      <c r="B249" s="85"/>
      <c r="C249" s="86" t="str">
        <f t="shared" si="12"/>
        <v/>
      </c>
      <c r="D249" s="84"/>
      <c r="E249" s="85"/>
      <c r="F249" s="86" t="str">
        <f t="shared" si="13"/>
        <v/>
      </c>
      <c r="G249" s="84"/>
      <c r="H249" s="85"/>
      <c r="I249" s="86" t="str">
        <f t="shared" si="14"/>
        <v/>
      </c>
    </row>
    <row r="250" spans="1:9">
      <c r="A250" s="84"/>
      <c r="B250" s="85"/>
      <c r="C250" s="86" t="str">
        <f t="shared" si="12"/>
        <v/>
      </c>
      <c r="D250" s="84"/>
      <c r="E250" s="85"/>
      <c r="F250" s="86" t="str">
        <f t="shared" si="13"/>
        <v/>
      </c>
      <c r="G250" s="84"/>
      <c r="H250" s="85"/>
      <c r="I250" s="86" t="str">
        <f t="shared" si="14"/>
        <v/>
      </c>
    </row>
    <row r="251" spans="1:9">
      <c r="A251" s="84"/>
      <c r="B251" s="85"/>
      <c r="C251" s="86" t="str">
        <f t="shared" si="12"/>
        <v/>
      </c>
      <c r="D251" s="84"/>
      <c r="E251" s="85"/>
      <c r="F251" s="86" t="str">
        <f t="shared" si="13"/>
        <v/>
      </c>
      <c r="G251" s="84"/>
      <c r="H251" s="85"/>
      <c r="I251" s="86" t="str">
        <f t="shared" si="14"/>
        <v/>
      </c>
    </row>
    <row r="252" spans="1:9">
      <c r="A252" s="84"/>
      <c r="B252" s="85"/>
      <c r="C252" s="86" t="str">
        <f t="shared" si="12"/>
        <v/>
      </c>
      <c r="D252" s="84"/>
      <c r="E252" s="85"/>
      <c r="F252" s="86" t="str">
        <f t="shared" si="13"/>
        <v/>
      </c>
      <c r="G252" s="84"/>
      <c r="H252" s="85"/>
      <c r="I252" s="86" t="str">
        <f t="shared" si="14"/>
        <v/>
      </c>
    </row>
    <row r="253" spans="1:9">
      <c r="A253" s="84"/>
      <c r="B253" s="85"/>
      <c r="C253" s="86" t="str">
        <f t="shared" si="12"/>
        <v/>
      </c>
      <c r="D253" s="84"/>
      <c r="E253" s="85"/>
      <c r="F253" s="86" t="str">
        <f t="shared" si="13"/>
        <v/>
      </c>
      <c r="G253" s="84"/>
      <c r="H253" s="85"/>
      <c r="I253" s="86" t="str">
        <f t="shared" si="14"/>
        <v/>
      </c>
    </row>
    <row r="254" spans="1:9">
      <c r="A254" s="84"/>
      <c r="B254" s="85"/>
      <c r="C254" s="86" t="str">
        <f t="shared" si="12"/>
        <v/>
      </c>
      <c r="D254" s="84"/>
      <c r="E254" s="85"/>
      <c r="F254" s="86" t="str">
        <f t="shared" si="13"/>
        <v/>
      </c>
      <c r="G254" s="84"/>
      <c r="H254" s="85"/>
      <c r="I254" s="86" t="str">
        <f t="shared" si="14"/>
        <v/>
      </c>
    </row>
    <row r="255" spans="1:9">
      <c r="A255" s="84"/>
      <c r="B255" s="85"/>
      <c r="C255" s="86" t="str">
        <f t="shared" si="12"/>
        <v/>
      </c>
      <c r="D255" s="84"/>
      <c r="E255" s="85"/>
      <c r="F255" s="86" t="str">
        <f t="shared" si="13"/>
        <v/>
      </c>
      <c r="G255" s="84"/>
      <c r="H255" s="85"/>
      <c r="I255" s="86" t="str">
        <f t="shared" si="14"/>
        <v/>
      </c>
    </row>
    <row r="256" spans="1:9">
      <c r="A256" s="84"/>
      <c r="B256" s="85"/>
      <c r="C256" s="86" t="str">
        <f t="shared" si="12"/>
        <v/>
      </c>
      <c r="D256" s="84"/>
      <c r="E256" s="85"/>
      <c r="F256" s="86" t="str">
        <f t="shared" si="13"/>
        <v/>
      </c>
      <c r="G256" s="84"/>
      <c r="H256" s="85"/>
      <c r="I256" s="86" t="str">
        <f t="shared" si="14"/>
        <v/>
      </c>
    </row>
    <row r="257" spans="1:9">
      <c r="A257" s="84"/>
      <c r="B257" s="85"/>
      <c r="C257" s="86" t="str">
        <f t="shared" si="12"/>
        <v/>
      </c>
      <c r="D257" s="84"/>
      <c r="E257" s="85"/>
      <c r="F257" s="86" t="str">
        <f t="shared" si="13"/>
        <v/>
      </c>
      <c r="G257" s="84"/>
      <c r="H257" s="85"/>
      <c r="I257" s="86" t="str">
        <f t="shared" si="14"/>
        <v/>
      </c>
    </row>
    <row r="258" spans="1:9">
      <c r="A258" s="84"/>
      <c r="B258" s="85"/>
      <c r="C258" s="86" t="str">
        <f t="shared" si="12"/>
        <v/>
      </c>
      <c r="D258" s="84"/>
      <c r="E258" s="85"/>
      <c r="F258" s="86" t="str">
        <f t="shared" si="13"/>
        <v/>
      </c>
      <c r="G258" s="84"/>
      <c r="H258" s="85"/>
      <c r="I258" s="86" t="str">
        <f t="shared" si="14"/>
        <v/>
      </c>
    </row>
    <row r="259" spans="1:9">
      <c r="A259" s="84"/>
      <c r="B259" s="85"/>
      <c r="C259" s="86" t="str">
        <f t="shared" si="12"/>
        <v/>
      </c>
      <c r="D259" s="84"/>
      <c r="E259" s="85"/>
      <c r="F259" s="86" t="str">
        <f t="shared" si="13"/>
        <v/>
      </c>
      <c r="G259" s="84"/>
      <c r="H259" s="85"/>
      <c r="I259" s="86" t="str">
        <f t="shared" si="14"/>
        <v/>
      </c>
    </row>
    <row r="260" spans="1:9">
      <c r="A260" s="84"/>
      <c r="B260" s="85"/>
      <c r="C260" s="86" t="str">
        <f t="shared" si="12"/>
        <v/>
      </c>
      <c r="D260" s="84"/>
      <c r="E260" s="85"/>
      <c r="F260" s="86" t="str">
        <f t="shared" si="13"/>
        <v/>
      </c>
      <c r="G260" s="84"/>
      <c r="H260" s="85"/>
      <c r="I260" s="86" t="str">
        <f t="shared" si="14"/>
        <v/>
      </c>
    </row>
    <row r="261" spans="1:9">
      <c r="A261" s="84"/>
      <c r="B261" s="85"/>
      <c r="C261" s="86" t="str">
        <f t="shared" si="12"/>
        <v/>
      </c>
      <c r="D261" s="84"/>
      <c r="E261" s="85"/>
      <c r="F261" s="86" t="str">
        <f t="shared" si="13"/>
        <v/>
      </c>
      <c r="G261" s="84"/>
      <c r="H261" s="85"/>
      <c r="I261" s="86" t="str">
        <f t="shared" si="14"/>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8"/>
      <c r="C288" s="86" t="str">
        <f t="shared" si="12"/>
        <v/>
      </c>
      <c r="D288" s="84"/>
      <c r="E288" s="88"/>
      <c r="F288" s="86" t="str">
        <f t="shared" si="13"/>
        <v/>
      </c>
      <c r="G288" s="84"/>
      <c r="H288" s="88"/>
      <c r="I288" s="86" t="str">
        <f t="shared" si="14"/>
        <v/>
      </c>
    </row>
    <row r="289" spans="1:9">
      <c r="A289" s="84"/>
      <c r="B289" s="88"/>
      <c r="C289" s="86" t="str">
        <f t="shared" si="12"/>
        <v/>
      </c>
      <c r="D289" s="84"/>
      <c r="E289" s="88"/>
      <c r="F289" s="86" t="str">
        <f t="shared" si="13"/>
        <v/>
      </c>
      <c r="G289" s="84"/>
      <c r="H289" s="88"/>
      <c r="I289" s="86" t="str">
        <f t="shared" si="14"/>
        <v/>
      </c>
    </row>
    <row r="290" spans="1:9">
      <c r="A290" s="84"/>
      <c r="B290" s="88"/>
      <c r="C290" s="86" t="str">
        <f t="shared" si="12"/>
        <v/>
      </c>
      <c r="D290" s="84"/>
      <c r="E290" s="88"/>
      <c r="F290" s="86" t="str">
        <f t="shared" si="13"/>
        <v/>
      </c>
      <c r="G290" s="84"/>
      <c r="H290" s="88"/>
      <c r="I290" s="86" t="str">
        <f t="shared" si="14"/>
        <v/>
      </c>
    </row>
    <row r="291" spans="1:9">
      <c r="A291" s="86" t="s">
        <v>1012</v>
      </c>
      <c r="D291" s="86" t="s">
        <v>1012</v>
      </c>
      <c r="G291" s="86" t="s">
        <v>1012</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22"/>
  <sheetViews>
    <sheetView workbookViewId="0">
      <selection activeCell="C4" sqref="C4"/>
    </sheetView>
  </sheetViews>
  <sheetFormatPr defaultRowHeight="16.5"/>
  <cols>
    <col min="1" max="1" width="1.5" customWidth="1"/>
  </cols>
  <sheetData>
    <row r="3" spans="2:3">
      <c r="C3" t="s">
        <v>1262</v>
      </c>
    </row>
    <row r="4" spans="2:3">
      <c r="B4" s="255" t="s">
        <v>1136</v>
      </c>
      <c r="C4" t="s">
        <v>1127</v>
      </c>
    </row>
    <row r="5" spans="2:3">
      <c r="B5" s="255"/>
      <c r="C5" t="s">
        <v>1129</v>
      </c>
    </row>
    <row r="6" spans="2:3">
      <c r="B6" s="255"/>
      <c r="C6" t="s">
        <v>1131</v>
      </c>
    </row>
    <row r="7" spans="2:3">
      <c r="B7" s="255"/>
      <c r="C7" t="s">
        <v>1133</v>
      </c>
    </row>
    <row r="8" spans="2:3">
      <c r="B8" s="255"/>
      <c r="C8" t="s">
        <v>1134</v>
      </c>
    </row>
    <row r="9" spans="2:3">
      <c r="B9" s="255"/>
      <c r="C9" t="s">
        <v>1200</v>
      </c>
    </row>
    <row r="10" spans="2:3">
      <c r="B10" s="255"/>
      <c r="C10" t="s">
        <v>1135</v>
      </c>
    </row>
    <row r="11" spans="2:3">
      <c r="B11" s="255" t="s">
        <v>1142</v>
      </c>
      <c r="C11" t="s">
        <v>1137</v>
      </c>
    </row>
    <row r="12" spans="2:3">
      <c r="B12" s="255"/>
      <c r="C12" t="s">
        <v>1138</v>
      </c>
    </row>
    <row r="13" spans="2:3">
      <c r="B13" s="255"/>
      <c r="C13" t="s">
        <v>1139</v>
      </c>
    </row>
    <row r="14" spans="2:3">
      <c r="B14" s="255"/>
      <c r="C14" t="s">
        <v>1140</v>
      </c>
    </row>
    <row r="15" spans="2:3">
      <c r="B15" s="255"/>
      <c r="C15" t="s">
        <v>1141</v>
      </c>
    </row>
    <row r="16" spans="2:3">
      <c r="B16" s="255"/>
    </row>
    <row r="17" spans="2:3">
      <c r="B17" t="s">
        <v>1201</v>
      </c>
      <c r="C17" t="s">
        <v>1202</v>
      </c>
    </row>
    <row r="18" spans="2:3">
      <c r="C18" t="s">
        <v>1203</v>
      </c>
    </row>
    <row r="19" spans="2:3">
      <c r="C19" t="s">
        <v>1204</v>
      </c>
    </row>
    <row r="20" spans="2:3">
      <c r="C20" t="s">
        <v>1205</v>
      </c>
    </row>
    <row r="21" spans="2:3">
      <c r="C21" t="s">
        <v>1206</v>
      </c>
    </row>
    <row r="22" spans="2:3">
      <c r="C22" t="s">
        <v>1207</v>
      </c>
    </row>
  </sheetData>
  <mergeCells count="2">
    <mergeCell ref="B4:B10"/>
    <mergeCell ref="B11:B16"/>
  </mergeCells>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33</vt:i4>
      </vt:variant>
    </vt:vector>
  </HeadingPairs>
  <TitlesOfParts>
    <vt:vector size="39" baseType="lpstr">
      <vt:lpstr>TranslatedLanguages</vt:lpstr>
      <vt:lpstr>Schedule</vt:lpstr>
      <vt:lpstr>Progress</vt:lpstr>
      <vt:lpstr>AnalysisReport</vt:lpstr>
      <vt:lpstr>Calendar</vt:lpstr>
      <vt:lpstr>Team Members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john</cp:lastModifiedBy>
  <dcterms:created xsi:type="dcterms:W3CDTF">2018-02-18T09:45:14Z</dcterms:created>
  <dcterms:modified xsi:type="dcterms:W3CDTF">2019-07-23T09:35:21Z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7215c6e1-2d2a-4afe-b3d2-38c2ea1c60b5</vt:lpwstr>
  </property>
</Properties>
</file>